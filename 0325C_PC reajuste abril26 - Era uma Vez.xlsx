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671" documentId="13_ncr:1_{1A7DB1AB-A861-42C8-A123-CFC9F69DD192}" xr6:coauthVersionLast="47" xr6:coauthVersionMax="47" xr10:uidLastSave="{5E7424AD-0F01-440B-BF9C-B6D174640C57}"/>
  <workbookProtection workbookAlgorithmName="SHA-512" workbookHashValue="KILQKq+abZCUX+X7VMs2GWNA6Ik63XuY812e+wL/WDdcEfuNGaSK/IWQ9UmCoCswtLyzgIyT+tqaVaH1PbbufQ==" workbookSaltValue="p62ixqb01Z1lJohzuLXXlw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SC" sheetId="12" state="hidden" r:id="rId12"/>
    <sheet name="ST RECHEADOS" sheetId="14" state="hidden" r:id="rId13"/>
    <sheet name="PREÇOS" sheetId="4" state="hidden" r:id="rId14"/>
  </sheets>
  <externalReferences>
    <externalReference r:id="rId15"/>
  </externalReferences>
  <definedNames>
    <definedName name="_xlnm._FilterDatabase" localSheetId="13" hidden="1">PREÇOS!$A$2:$F$2</definedName>
    <definedName name="_xlnm._FilterDatabase" localSheetId="11" hidden="1">PSC!$A$1:$O$31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4" l="1"/>
  <c r="Q31" i="4"/>
  <c r="P31" i="4"/>
  <c r="O31" i="4"/>
  <c r="R30" i="4"/>
  <c r="Q30" i="4"/>
  <c r="P30" i="4"/>
  <c r="O30" i="4"/>
  <c r="R27" i="4"/>
  <c r="Q27" i="4"/>
  <c r="P27" i="4"/>
  <c r="O27" i="4"/>
  <c r="O24" i="4"/>
  <c r="O23" i="4"/>
  <c r="O22" i="4"/>
  <c r="O19" i="4"/>
  <c r="O18" i="4"/>
  <c r="O17" i="4"/>
  <c r="O16" i="4"/>
  <c r="O15" i="4"/>
  <c r="O14" i="4"/>
  <c r="R11" i="4"/>
  <c r="Q11" i="4"/>
  <c r="P11" i="4"/>
  <c r="R10" i="4"/>
  <c r="Q10" i="4"/>
  <c r="P10" i="4"/>
  <c r="O10" i="4"/>
  <c r="R9" i="4"/>
  <c r="Q9" i="4"/>
  <c r="P9" i="4"/>
  <c r="H8" i="14" s="1"/>
  <c r="O9" i="4"/>
  <c r="H8" i="13" s="1"/>
  <c r="R8" i="4"/>
  <c r="Q8" i="4"/>
  <c r="P8" i="4"/>
  <c r="O8" i="4"/>
  <c r="R7" i="4"/>
  <c r="Q7" i="4"/>
  <c r="P7" i="4"/>
  <c r="O7" i="4"/>
  <c r="R6" i="4"/>
  <c r="Q6" i="4"/>
  <c r="P6" i="4"/>
  <c r="O6" i="4"/>
  <c r="R5" i="4"/>
  <c r="Q5" i="4"/>
  <c r="P5" i="4"/>
  <c r="O5" i="4"/>
  <c r="R4" i="4"/>
  <c r="Q4" i="4"/>
  <c r="P4" i="4"/>
  <c r="O4" i="4"/>
  <c r="H3" i="13" s="1"/>
  <c r="J3" i="13" s="1"/>
  <c r="R3" i="4"/>
  <c r="Q3" i="4"/>
  <c r="P3" i="4"/>
  <c r="H2" i="14" s="1"/>
  <c r="O3" i="4"/>
  <c r="H2" i="13" s="1"/>
  <c r="O11" i="4"/>
  <c r="H10" i="13" s="1"/>
  <c r="R12" i="4"/>
  <c r="Q12" i="4"/>
  <c r="P12" i="4"/>
  <c r="O12" i="4"/>
  <c r="K59" i="1"/>
  <c r="K58" i="1"/>
  <c r="K56" i="1"/>
  <c r="K55" i="1"/>
  <c r="K54" i="1"/>
  <c r="L79" i="1"/>
  <c r="O79" i="1" s="1"/>
  <c r="L77" i="1"/>
  <c r="O77" i="1" s="1"/>
  <c r="L76" i="1"/>
  <c r="L75" i="1"/>
  <c r="L74" i="1"/>
  <c r="M74" i="1" s="1"/>
  <c r="L72" i="1"/>
  <c r="L64" i="1"/>
  <c r="O64" i="1" s="1"/>
  <c r="R64" i="1" s="1"/>
  <c r="L63" i="1"/>
  <c r="O63" i="1" s="1"/>
  <c r="R63" i="1" s="1"/>
  <c r="L62" i="1"/>
  <c r="O62" i="1" s="1"/>
  <c r="R62" i="1" s="1"/>
  <c r="L61" i="1"/>
  <c r="O61" i="1" s="1"/>
  <c r="R61" i="1" s="1"/>
  <c r="H30" i="13"/>
  <c r="H29" i="13"/>
  <c r="H28" i="13"/>
  <c r="H27" i="13"/>
  <c r="H26" i="13"/>
  <c r="H24" i="13"/>
  <c r="H23" i="13"/>
  <c r="H22" i="13"/>
  <c r="H21" i="13"/>
  <c r="H20" i="13"/>
  <c r="J20" i="13" s="1"/>
  <c r="H18" i="13"/>
  <c r="H17" i="13"/>
  <c r="H16" i="13"/>
  <c r="H15" i="13"/>
  <c r="H14" i="13"/>
  <c r="J14" i="13" s="1"/>
  <c r="H13" i="13"/>
  <c r="H12" i="13"/>
  <c r="J12" i="13" s="1"/>
  <c r="H11" i="13"/>
  <c r="H9" i="13"/>
  <c r="H7" i="13"/>
  <c r="H6" i="13"/>
  <c r="H5" i="13"/>
  <c r="J5" i="13" s="1"/>
  <c r="H4" i="13"/>
  <c r="H29" i="14"/>
  <c r="H28" i="14"/>
  <c r="H26" i="14"/>
  <c r="H24" i="14"/>
  <c r="H23" i="14"/>
  <c r="H22" i="14"/>
  <c r="H21" i="14"/>
  <c r="H18" i="14"/>
  <c r="H17" i="14"/>
  <c r="H16" i="14"/>
  <c r="H15" i="14"/>
  <c r="H14" i="14"/>
  <c r="H13" i="14"/>
  <c r="H12" i="14"/>
  <c r="J12" i="14" s="1"/>
  <c r="H11" i="14"/>
  <c r="H10" i="14"/>
  <c r="H9" i="14"/>
  <c r="H7" i="14"/>
  <c r="H6" i="14"/>
  <c r="H5" i="14"/>
  <c r="H4" i="14"/>
  <c r="H3" i="14"/>
  <c r="I3" i="14" s="1"/>
  <c r="V20" i="4"/>
  <c r="V35" i="4" s="1"/>
  <c r="U20" i="4"/>
  <c r="U35" i="4" s="1"/>
  <c r="T20" i="4"/>
  <c r="L73" i="1" s="1"/>
  <c r="O73" i="1" s="1"/>
  <c r="S20" i="4"/>
  <c r="S35" i="4" s="1"/>
  <c r="R29" i="4"/>
  <c r="Q29" i="4"/>
  <c r="P29" i="4"/>
  <c r="O29" i="4"/>
  <c r="R28" i="4"/>
  <c r="Q28" i="4"/>
  <c r="P28" i="4"/>
  <c r="H27" i="14" s="1"/>
  <c r="O28" i="4"/>
  <c r="R26" i="4"/>
  <c r="Q26" i="4"/>
  <c r="P26" i="4"/>
  <c r="H25" i="14" s="1"/>
  <c r="O26" i="4"/>
  <c r="H25" i="13" s="1"/>
  <c r="R25" i="4"/>
  <c r="Q25" i="4"/>
  <c r="P25" i="4"/>
  <c r="O25" i="4"/>
  <c r="R21" i="4"/>
  <c r="Q21" i="4"/>
  <c r="P21" i="4"/>
  <c r="H20" i="14" s="1"/>
  <c r="J20" i="14" s="1"/>
  <c r="O21" i="4"/>
  <c r="R20" i="4"/>
  <c r="L66" i="1" s="1"/>
  <c r="O66" i="1" s="1"/>
  <c r="R66" i="1" s="1"/>
  <c r="Q20" i="4"/>
  <c r="P20" i="4"/>
  <c r="L59" i="1" s="1"/>
  <c r="M59" i="1" s="1"/>
  <c r="Q59" i="1" s="1"/>
  <c r="T35" i="4"/>
  <c r="Q35" i="4"/>
  <c r="N35" i="4"/>
  <c r="M35" i="4"/>
  <c r="L35" i="4"/>
  <c r="K35" i="4"/>
  <c r="J35" i="4"/>
  <c r="I35" i="4"/>
  <c r="H35" i="4"/>
  <c r="G35" i="4"/>
  <c r="F35" i="4"/>
  <c r="E35" i="4"/>
  <c r="D35" i="4"/>
  <c r="C35" i="4"/>
  <c r="J29" i="14"/>
  <c r="I29" i="14"/>
  <c r="C29" i="14"/>
  <c r="G28" i="14"/>
  <c r="E28" i="14"/>
  <c r="B28" i="14"/>
  <c r="C27" i="14"/>
  <c r="C28" i="14" s="1"/>
  <c r="I28" i="14" s="1"/>
  <c r="J26" i="14"/>
  <c r="I26" i="14"/>
  <c r="J25" i="14"/>
  <c r="I25" i="14"/>
  <c r="C25" i="14"/>
  <c r="J24" i="14"/>
  <c r="I24" i="14"/>
  <c r="C24" i="14"/>
  <c r="J23" i="14"/>
  <c r="I23" i="14"/>
  <c r="C23" i="14"/>
  <c r="J22" i="14"/>
  <c r="I22" i="14"/>
  <c r="C22" i="14"/>
  <c r="J21" i="14"/>
  <c r="I21" i="14"/>
  <c r="C21" i="14"/>
  <c r="J19" i="14"/>
  <c r="I19" i="14"/>
  <c r="J18" i="14"/>
  <c r="I18" i="14"/>
  <c r="C18" i="14"/>
  <c r="J17" i="14"/>
  <c r="I17" i="14"/>
  <c r="C17" i="14"/>
  <c r="J16" i="14"/>
  <c r="I16" i="14"/>
  <c r="C16" i="14"/>
  <c r="J15" i="14"/>
  <c r="I15" i="14"/>
  <c r="C15" i="14"/>
  <c r="C14" i="14"/>
  <c r="J14" i="14" s="1"/>
  <c r="J13" i="14"/>
  <c r="I13" i="14"/>
  <c r="C13" i="14"/>
  <c r="J11" i="14"/>
  <c r="I11" i="14"/>
  <c r="C11" i="14"/>
  <c r="J10" i="14"/>
  <c r="I10" i="14"/>
  <c r="C10" i="14"/>
  <c r="J9" i="14"/>
  <c r="I9" i="14"/>
  <c r="C9" i="14"/>
  <c r="J8" i="14"/>
  <c r="I8" i="14"/>
  <c r="C8" i="14"/>
  <c r="J7" i="14"/>
  <c r="I7" i="14"/>
  <c r="C7" i="14"/>
  <c r="J6" i="14"/>
  <c r="I6" i="14"/>
  <c r="C6" i="14"/>
  <c r="C5" i="14"/>
  <c r="J5" i="14" s="1"/>
  <c r="J4" i="14"/>
  <c r="I4" i="14"/>
  <c r="C4" i="14"/>
  <c r="J2" i="14"/>
  <c r="I2" i="14"/>
  <c r="C2" i="14"/>
  <c r="J30" i="13"/>
  <c r="I30" i="13"/>
  <c r="J29" i="13"/>
  <c r="I29" i="13"/>
  <c r="J28" i="13"/>
  <c r="I28" i="13"/>
  <c r="C28" i="13"/>
  <c r="B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K79" i="1"/>
  <c r="K78" i="1"/>
  <c r="K77" i="1"/>
  <c r="K76" i="1"/>
  <c r="K75" i="1"/>
  <c r="K74" i="1"/>
  <c r="K73" i="1"/>
  <c r="K72" i="1"/>
  <c r="K71" i="1"/>
  <c r="K70" i="1"/>
  <c r="K69" i="1"/>
  <c r="K68" i="1"/>
  <c r="K66" i="1"/>
  <c r="K64" i="1"/>
  <c r="K63" i="1"/>
  <c r="K62" i="1"/>
  <c r="K61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G56" i="1"/>
  <c r="G55" i="1"/>
  <c r="G54" i="1"/>
  <c r="I14" i="14" l="1"/>
  <c r="O74" i="1"/>
  <c r="R73" i="1"/>
  <c r="O72" i="1"/>
  <c r="R72" i="1" s="1"/>
  <c r="O75" i="1"/>
  <c r="R75" i="1" s="1"/>
  <c r="O76" i="1"/>
  <c r="R76" i="1" s="1"/>
  <c r="R79" i="1"/>
  <c r="R77" i="1"/>
  <c r="M79" i="1"/>
  <c r="Q79" i="1" s="1"/>
  <c r="M77" i="1"/>
  <c r="Q77" i="1" s="1"/>
  <c r="M75" i="1"/>
  <c r="Q75" i="1" s="1"/>
  <c r="M76" i="1"/>
  <c r="Q76" i="1" s="1"/>
  <c r="M73" i="1"/>
  <c r="Q73" i="1" s="1"/>
  <c r="Q74" i="1"/>
  <c r="M72" i="1"/>
  <c r="Q72" i="1" s="1"/>
  <c r="L78" i="1"/>
  <c r="O78" i="1" s="1"/>
  <c r="L68" i="1"/>
  <c r="O68" i="1" s="1"/>
  <c r="L69" i="1"/>
  <c r="O69" i="1" s="1"/>
  <c r="L70" i="1"/>
  <c r="O70" i="1" s="1"/>
  <c r="L71" i="1"/>
  <c r="O71" i="1" s="1"/>
  <c r="R35" i="4"/>
  <c r="N58" i="1"/>
  <c r="P35" i="4"/>
  <c r="H19" i="14"/>
  <c r="J27" i="14"/>
  <c r="L58" i="1"/>
  <c r="I27" i="14"/>
  <c r="N59" i="1" s="1"/>
  <c r="O59" i="1" s="1"/>
  <c r="R59" i="1" s="1"/>
  <c r="J28" i="14"/>
  <c r="I5" i="14"/>
  <c r="O20" i="4"/>
  <c r="I12" i="14"/>
  <c r="I20" i="14"/>
  <c r="J3" i="14"/>
  <c r="I3" i="13"/>
  <c r="I12" i="13"/>
  <c r="I20" i="13"/>
  <c r="I5" i="13"/>
  <c r="I14" i="13"/>
  <c r="R74" i="1"/>
  <c r="M62" i="1"/>
  <c r="Q62" i="1" s="1"/>
  <c r="M58" i="1"/>
  <c r="Q58" i="1" s="1"/>
  <c r="M64" i="1"/>
  <c r="Q64" i="1" s="1"/>
  <c r="M61" i="1"/>
  <c r="Q61" i="1" s="1"/>
  <c r="M63" i="1"/>
  <c r="Q63" i="1" s="1"/>
  <c r="M66" i="1"/>
  <c r="Q66" i="1" s="1"/>
  <c r="R69" i="1" l="1"/>
  <c r="M69" i="1"/>
  <c r="Q69" i="1" s="1"/>
  <c r="R78" i="1"/>
  <c r="M78" i="1"/>
  <c r="Q78" i="1" s="1"/>
  <c r="R71" i="1"/>
  <c r="M71" i="1"/>
  <c r="Q71" i="1" s="1"/>
  <c r="R70" i="1"/>
  <c r="M70" i="1"/>
  <c r="Q70" i="1" s="1"/>
  <c r="R68" i="1"/>
  <c r="M68" i="1"/>
  <c r="Q68" i="1" s="1"/>
  <c r="O58" i="1"/>
  <c r="R58" i="1" s="1"/>
  <c r="O35" i="4"/>
  <c r="L56" i="1"/>
  <c r="L55" i="1"/>
  <c r="L54" i="1"/>
  <c r="H19" i="13"/>
  <c r="I27" i="6"/>
  <c r="K52" i="1"/>
  <c r="K51" i="1"/>
  <c r="K50" i="1"/>
  <c r="K49" i="1"/>
  <c r="K34" i="1"/>
  <c r="J19" i="13" l="1"/>
  <c r="I19" i="13"/>
  <c r="M54" i="1"/>
  <c r="Q54" i="1" s="1"/>
  <c r="M55" i="1"/>
  <c r="Q55" i="1" s="1"/>
  <c r="M56" i="1"/>
  <c r="Q56" i="1" s="1"/>
  <c r="G50" i="1"/>
  <c r="G51" i="1"/>
  <c r="G52" i="1"/>
  <c r="G49" i="1"/>
  <c r="L50" i="1"/>
  <c r="O50" i="1" s="1"/>
  <c r="R50" i="1" s="1"/>
  <c r="L51" i="1"/>
  <c r="O51" i="1" s="1"/>
  <c r="R51" i="1" s="1"/>
  <c r="L52" i="1"/>
  <c r="O52" i="1" s="1"/>
  <c r="R52" i="1" s="1"/>
  <c r="L49" i="1"/>
  <c r="O49" i="1" s="1"/>
  <c r="R49" i="1" s="1"/>
  <c r="N56" i="1" l="1"/>
  <c r="O56" i="1" s="1"/>
  <c r="R56" i="1" s="1"/>
  <c r="N55" i="1"/>
  <c r="O55" i="1" s="1"/>
  <c r="R55" i="1" s="1"/>
  <c r="N54" i="1"/>
  <c r="O54" i="1" s="1"/>
  <c r="R54" i="1" s="1"/>
  <c r="M50" i="1"/>
  <c r="Q50" i="1" s="1"/>
  <c r="M51" i="1"/>
  <c r="Q51" i="1" s="1"/>
  <c r="M49" i="1"/>
  <c r="Q49" i="1" s="1"/>
  <c r="M52" i="1"/>
  <c r="Q52" i="1" s="1"/>
  <c r="L47" i="1"/>
  <c r="M47" i="1" s="1"/>
  <c r="Q47" i="1" s="1"/>
  <c r="L46" i="1"/>
  <c r="M46" i="1" s="1"/>
  <c r="Q46" i="1" s="1"/>
  <c r="K47" i="1"/>
  <c r="K46" i="1"/>
  <c r="G47" i="1"/>
  <c r="G46" i="1"/>
  <c r="L14" i="1"/>
  <c r="M14" i="1" s="1"/>
  <c r="L15" i="1"/>
  <c r="M15" i="1" s="1"/>
  <c r="G15" i="1"/>
  <c r="G14" i="1"/>
  <c r="K15" i="1"/>
  <c r="K14" i="1"/>
  <c r="G12" i="1"/>
  <c r="Q14" i="1" l="1"/>
  <c r="O14" i="1"/>
  <c r="R14" i="1" s="1"/>
  <c r="Q15" i="1"/>
  <c r="O15" i="1"/>
  <c r="R15" i="1" s="1"/>
  <c r="G45" i="1" l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1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9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3" i="11" s="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9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2" i="9" s="1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I12" i="11" l="1"/>
  <c r="J4" i="9"/>
  <c r="J14" i="9"/>
  <c r="J14" i="11"/>
  <c r="I12" i="10"/>
  <c r="I28" i="9"/>
  <c r="I4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Q41" i="1" s="1"/>
  <c r="M38" i="1"/>
  <c r="Q38" i="1" s="1"/>
  <c r="M40" i="1"/>
  <c r="Q40" i="1" s="1"/>
  <c r="M39" i="1"/>
  <c r="Q39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0" i="1" l="1"/>
  <c r="O40" i="1" s="1"/>
  <c r="R40" i="1" s="1"/>
  <c r="I28" i="11"/>
  <c r="N41" i="1" s="1"/>
  <c r="O41" i="1" s="1"/>
  <c r="R41" i="1" s="1"/>
  <c r="N39" i="1"/>
  <c r="O39" i="1" s="1"/>
  <c r="R39" i="1" s="1"/>
  <c r="N38" i="1"/>
  <c r="O38" i="1" s="1"/>
  <c r="R38" i="1" s="1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Q12" i="1" s="1"/>
  <c r="M11" i="1"/>
  <c r="Q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O46" i="1" s="1"/>
  <c r="R46" i="1" s="1"/>
  <c r="N47" i="1"/>
  <c r="O47" i="1" s="1"/>
  <c r="R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Q43" i="1" s="1"/>
  <c r="M44" i="1"/>
  <c r="Q44" i="1" s="1"/>
  <c r="M45" i="1"/>
  <c r="Q45" i="1" s="1"/>
  <c r="N45" i="1" l="1"/>
  <c r="O45" i="1" s="1"/>
  <c r="R45" i="1" s="1"/>
  <c r="N43" i="1"/>
  <c r="O43" i="1" s="1"/>
  <c r="R43" i="1" s="1"/>
  <c r="O44" i="1"/>
  <c r="R44" i="1" s="1"/>
  <c r="M22" i="1"/>
  <c r="Q22" i="1" s="1"/>
  <c r="K22" i="1"/>
  <c r="K36" i="1"/>
  <c r="K35" i="1"/>
  <c r="K32" i="1"/>
  <c r="K29" i="1"/>
  <c r="K31" i="1"/>
  <c r="K28" i="1"/>
  <c r="K26" i="1"/>
  <c r="K25" i="1"/>
  <c r="K24" i="1"/>
  <c r="K21" i="1"/>
  <c r="K20" i="1"/>
  <c r="K19" i="1"/>
  <c r="K18" i="1"/>
  <c r="O22" i="1" l="1"/>
  <c r="R22" i="1" s="1"/>
  <c r="O35" i="1"/>
  <c r="R35" i="1" s="1"/>
  <c r="O34" i="1"/>
  <c r="R34" i="1" s="1"/>
  <c r="M32" i="1"/>
  <c r="Q32" i="1" s="1"/>
  <c r="M28" i="1"/>
  <c r="Q28" i="1" s="1"/>
  <c r="M25" i="1"/>
  <c r="Q25" i="1" s="1"/>
  <c r="M20" i="1"/>
  <c r="Q20" i="1" s="1"/>
  <c r="M19" i="1"/>
  <c r="M18" i="1"/>
  <c r="O18" i="1" s="1"/>
  <c r="M21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O36" i="1" l="1"/>
  <c r="R36" i="1" s="1"/>
  <c r="M36" i="1"/>
  <c r="Q36" i="1" s="1"/>
  <c r="Q21" i="1"/>
  <c r="O21" i="1"/>
  <c r="R21" i="1" s="1"/>
  <c r="M31" i="1"/>
  <c r="Q31" i="1" s="1"/>
  <c r="M29" i="1"/>
  <c r="Q29" i="1" s="1"/>
  <c r="M26" i="1"/>
  <c r="Q26" i="1" s="1"/>
  <c r="M24" i="1"/>
  <c r="Q24" i="1" s="1"/>
  <c r="O19" i="1"/>
  <c r="R19" i="1" s="1"/>
  <c r="Q19" i="1"/>
  <c r="Q17" i="1"/>
  <c r="O17" i="1"/>
  <c r="R17" i="1" s="1"/>
  <c r="R18" i="1"/>
  <c r="Q18" i="1"/>
  <c r="O20" i="1"/>
  <c r="R20" i="1" s="1"/>
  <c r="M35" i="1"/>
  <c r="Q35" i="1" s="1"/>
  <c r="M34" i="1"/>
  <c r="Q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R82" i="1" l="1"/>
  <c r="I19" i="6"/>
  <c r="I5" i="6"/>
  <c r="I3" i="6"/>
  <c r="I2" i="6"/>
  <c r="J14" i="6"/>
  <c r="I4" i="6"/>
  <c r="I12" i="6"/>
  <c r="I20" i="6"/>
  <c r="N25" i="1" l="1"/>
  <c r="O25" i="1" s="1"/>
  <c r="R25" i="1" s="1"/>
  <c r="N24" i="1"/>
  <c r="O24" i="1" s="1"/>
  <c r="R24" i="1" s="1"/>
  <c r="N26" i="1"/>
  <c r="O26" i="1" s="1"/>
  <c r="R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O12" i="1" l="1"/>
  <c r="R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O11" i="1" l="1"/>
  <c r="R11" i="1" s="1"/>
  <c r="N31" i="1"/>
  <c r="O31" i="1" s="1"/>
  <c r="R31" i="1" s="1"/>
  <c r="N32" i="1"/>
  <c r="O32" i="1" s="1"/>
  <c r="R32" i="1" s="1"/>
  <c r="N29" i="1"/>
  <c r="O29" i="1" s="1"/>
  <c r="R29" i="1" s="1"/>
  <c r="N28" i="1"/>
  <c r="O28" i="1" s="1"/>
  <c r="R28" i="1" s="1"/>
  <c r="R86" i="1" l="1"/>
  <c r="R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<sst xmlns="http://schemas.openxmlformats.org/spreadsheetml/2006/main" count="778" uniqueCount="194">
  <si>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</si>
  <si>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</si>
  <si>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</si>
  <si>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</si>
  <si>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</si>
  <si>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</si>
  <si>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</si>
  <si>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 xml:space="preserve">    </t>
  </si>
  <si>
    <t>Endereço:</t>
  </si>
  <si>
    <t>Municipio:</t>
  </si>
  <si>
    <t>UF:</t>
  </si>
  <si>
    <t>ES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</si>
  <si>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</si>
  <si>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</si>
  <si>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</si>
  <si>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</si>
  <si>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</si>
  <si>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</si>
  <si>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</si>
  <si>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</si>
  <si>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</si>
  <si>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</si>
  <si>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</si>
  <si>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</si>
  <si>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</si>
  <si>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</si>
  <si>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</si>
  <si>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</si>
  <si>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</si>
  <si>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</si>
  <si>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</si>
  <si>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</si>
  <si>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</si>
  <si>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</si>
  <si>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</si>
  <si>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</si>
  <si>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</si>
  <si>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</si>
  <si>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</si>
  <si>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</si>
  <si>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</si>
  <si>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</si>
  <si>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</si>
  <si>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</si>
  <si>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</si>
  <si>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</si>
  <si>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</si>
  <si>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</si>
  <si>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</si>
  <si>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</si>
  <si>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</si>
  <si>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</si>
  <si>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</si>
  <si>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</si>
  <si>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</si>
  <si>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</si>
  <si>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</si>
  <si>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</si>
  <si>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</si>
  <si>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</si>
  <si>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</si>
  <si>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</si>
  <si>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</si>
  <si>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</si>
  <si>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</si>
  <si>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</si>
  <si>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</si>
  <si>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</si>
  <si>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</si>
  <si>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</si>
  <si>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</si>
  <si>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</si>
  <si>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</si>
  <si>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</si>
  <si>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</si>
  <si>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</si>
  <si>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</si>
  <si>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</si>
  <si>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</si>
  <si>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</si>
  <si>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</si>
  <si>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</si>
  <si>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</si>
  <si>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</si>
  <si>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</si>
  <si>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</si>
  <si>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</si>
  <si>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</si>
  <si>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</si>
  <si>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</si>
  <si>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</si>
  <si>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</si>
  <si>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</si>
  <si>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</si>
  <si>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</si>
  <si>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</si>
  <si>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</si>
  <si>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</si>
  <si>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</si>
  <si>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</si>
  <si>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</si>
  <si>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</si>
  <si>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</si>
  <si>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</si>
  <si>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</si>
  <si>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</si>
  <si>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</si>
  <si>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</si>
  <si>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</si>
  <si>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</si>
  <si>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</si>
  <si>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</si>
  <si>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</si>
  <si>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</si>
  <si>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</si>
  <si>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</si>
  <si>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</si>
  <si>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</si>
  <si>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</si>
  <si>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</si>
  <si>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</si>
  <si>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</si>
  <si>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</si>
  <si>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</si>
  <si>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</si>
  <si>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</si>
  <si>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</si>
  <si>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</si>
  <si>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</si>
  <si>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</si>
  <si>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</si>
  <si>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</si>
  <si>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</si>
  <si>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</si>
  <si>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</si>
  <si>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</si>
  <si>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</si>
  <si>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CONSUMIDOR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</si>
  <si>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</si>
  <si>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</si>
  <si>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</si>
  <si>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</si>
  <si>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</si>
  <si>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</si>
  <si>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</si>
  <si>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</si>
  <si>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</si>
  <si>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</si>
  <si>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</si>
  <si>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</si>
  <si>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</si>
  <si>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</si>
  <si>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0325Vv</t>
  </si>
  <si>
    <t>VAREJO cinco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</si>
  <si>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</si>
  <si>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</si>
  <si>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</si>
  <si>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</si>
  <si>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</si>
  <si>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</si>
  <si>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</si>
  <si>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</si>
  <si>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</si>
  <si>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</si>
  <si>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</si>
  <si>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</si>
  <si>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</si>
  <si>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</si>
  <si>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</si>
  <si>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</si>
  <si>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</si>
  <si>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</si>
  <si>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</si>
  <si>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</si>
  <si>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</si>
  <si>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</si>
  <si>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</si>
  <si>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</si>
  <si>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</si>
  <si>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</si>
  <si>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</si>
  <si>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</si>
  <si>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</si>
  <si>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</si>
  <si>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</si>
  <si>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</si>
  <si>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</si>
  <si>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</si>
  <si>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</si>
  <si>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</si>
  <si>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</si>
  <si>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</si>
  <si>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</si>
  <si>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0325C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</si>
</sst>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5" fillId="9" borderId="17" xfId="7" applyNumberFormat="1" applyFont="1" applyBorder="1" applyAlignment="1" applyProtection="1">
      <alignment horizontal="center" vertical="center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5" fillId="9" borderId="17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7" xfId="7" applyFont="1" applyBorder="1" applyAlignment="1" applyProtection="1">
      <alignment horizontal="center"/>
    </xf>
    <xf numFmtId="9" fontId="15" fillId="9" borderId="17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 vertical="center"/>
    </xf>
    <xf numFmtId="44" fontId="14" fillId="9" borderId="17" xfId="7" applyNumberFormat="1" applyFont="1" applyBorder="1" applyAlignment="1" applyProtection="1">
      <alignment horizontal="center"/>
    </xf>
    <xf numFmtId="0" fontId="14" fillId="6" borderId="17" xfId="0" applyFont="1" applyFill="1" applyBorder="1" applyAlignment="1" applyProtection="1">
      <alignment horizontal="center"/>
      <protection locked="0"/>
    </xf>
    <xf numFmtId="44" fontId="15" fillId="9" borderId="15" xfId="7" applyNumberFormat="1" applyFont="1" applyBorder="1" applyAlignment="1" applyProtection="1">
      <alignment horizontal="center"/>
    </xf>
    <xf numFmtId="2" fontId="24" fillId="9" borderId="17" xfId="7" applyNumberFormat="1" applyFont="1" applyBorder="1" applyAlignment="1" applyProtection="1">
      <alignment horizontal="center" vertical="center"/>
    </xf>
    <xf numFmtId="2" fontId="24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0" fontId="8" fillId="0" borderId="13" xfId="0" applyFont="1" applyBorder="1" applyAlignment="1">
      <alignment horizontal="center" vertic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6" fillId="24" borderId="0" xfId="0" applyNumberFormat="1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" fontId="15" fillId="9" borderId="5" xfId="7" applyNumberFormat="1" applyFont="1" applyBorder="1" applyAlignment="1" applyProtection="1">
      <alignment horizontal="center" vertical="center"/>
    </xf>
    <xf numFmtId="1" fontId="15" fillId="9" borderId="3" xfId="7" applyNumberFormat="1" applyFont="1" applyBorder="1" applyAlignment="1" applyProtection="1">
      <alignment horizontal="center" vertic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0" fontId="14" fillId="9" borderId="4" xfId="7" applyFont="1" applyBorder="1" applyAlignment="1" applyProtection="1">
      <alignment vertic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44" fontId="12" fillId="27" borderId="0" xfId="1" applyFont="1" applyFill="1" applyBorder="1"/>
    <xf numFmtId="43" fontId="0" fillId="27" borderId="0" xfId="8" applyFont="1" applyFill="1"/>
    <xf numFmtId="0" fontId="0" fillId="27" borderId="0" xfId="0" applyFill="1"/>
    <xf numFmtId="10" fontId="0" fillId="0" borderId="0" xfId="2" applyNumberFormat="1" applyFont="1"/>
    <xf numFmtId="43" fontId="0" fillId="27" borderId="0" xfId="0" applyNumberFormat="1" applyFill="1"/>
    <xf numFmtId="43" fontId="0" fillId="0" borderId="0" xfId="0" applyNumberFormat="1"/>
    <xf numFmtId="0" fontId="12" fillId="28" borderId="0" xfId="0" applyFont="1" applyFill="1" applyAlignment="1">
      <alignment horizontal="center" vertical="center"/>
    </xf>
    <xf numFmtId="44" fontId="12" fillId="28" borderId="0" xfId="1" applyFont="1" applyFill="1" applyBorder="1"/>
    <xf numFmtId="44" fontId="23" fillId="28" borderId="0" xfId="1" applyFont="1" applyFill="1" applyBorder="1"/>
    <xf numFmtId="44" fontId="23" fillId="28" borderId="0" xfId="0" applyNumberFormat="1" applyFont="1" applyFill="1"/>
    <xf numFmtId="43" fontId="0" fillId="29" borderId="0" xfId="8" applyFont="1" applyFill="1"/>
    <xf numFmtId="0" fontId="0" fillId="29" borderId="0" xfId="0" applyFill="1"/>
    <xf numFmtId="43" fontId="0" fillId="30" borderId="0" xfId="8" applyFont="1" applyFill="1"/>
    <xf numFmtId="0" fontId="14" fillId="10" borderId="5" xfId="0" applyFont="1" applyFill="1" applyBorder="1" applyAlignment="1">
      <alignment horizontal="left" vertical="center"/>
    </xf>
    <xf numFmtId="0" fontId="14" fillId="0" borderId="4" xfId="0" applyFont="1" applyBorder="1"/>
    <xf numFmtId="0" fontId="14" fillId="9" borderId="5" xfId="7" applyFont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10" borderId="4" xfId="0" applyFont="1" applyFill="1" applyBorder="1" applyAlignment="1">
      <alignment horizontal="left" vertical="center"/>
    </xf>
    <xf numFmtId="0" fontId="14" fillId="9" borderId="15" xfId="7" applyFont="1" applyBorder="1" applyAlignment="1" applyProtection="1">
      <alignment horizontal="left" vertical="center"/>
    </xf>
    <xf numFmtId="0" fontId="14" fillId="0" borderId="16" xfId="0" applyFont="1" applyBorder="1"/>
    <xf numFmtId="0" fontId="14" fillId="0" borderId="5" xfId="7" applyFont="1" applyFill="1" applyBorder="1" applyAlignment="1" applyProtection="1">
      <alignment horizontal="left" vertical="center"/>
    </xf>
    <xf numFmtId="0" fontId="14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1672595</xdr:colOff>
      <xdr:row>3</xdr:row>
      <xdr:rowOff>136525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R87"/>
  <sheetViews>
    <sheetView showGridLines="0" tabSelected="1" zoomScale="70" zoomScaleNormal="70" workbookViewId="0">
      <pane xSplit="3" ySplit="10" topLeftCell="D45" activePane="bottomRight" state="frozen"/>
      <selection pane="topRight" activeCell="M3" sqref="M3"/>
      <selection pane="bottomLeft" activeCell="M3" sqref="M3"/>
      <selection pane="bottomRight" activeCell="F61" sqref="F61"/>
    </sheetView>
  </sheetViews>
  <sheetFormatPr defaultRowHeight="14.4" x14ac:dyDescent="0.3"/>
  <cols>
    <col min="1" max="1" width="2.44140625" customWidth="1"/>
    <col min="2" max="2" width="26.5546875" customWidth="1"/>
    <col min="3" max="3" width="35.88671875" customWidth="1"/>
    <col min="4" max="4" width="21.5546875" customWidth="1"/>
    <col min="5" max="5" width="13.109375" bestFit="1" customWidth="1"/>
    <col min="6" max="6" width="14.109375" bestFit="1" customWidth="1"/>
    <col min="7" max="7" width="12.77734375" customWidth="1"/>
    <col min="8" max="8" width="11.44140625" bestFit="1" customWidth="1"/>
    <col min="9" max="9" width="15.5546875" customWidth="1"/>
    <col min="10" max="10" width="18.5546875" customWidth="1"/>
    <col min="11" max="12" width="15" customWidth="1"/>
    <col min="13" max="13" width="15.5546875" customWidth="1"/>
    <col min="14" max="14" width="16.44140625" customWidth="1"/>
    <col min="15" max="15" width="14.44140625" customWidth="1"/>
    <col min="16" max="16" width="9.5546875" customWidth="1"/>
    <col min="17" max="17" width="14.44140625" customWidth="1"/>
    <col min="18" max="18" width="17.5546875" customWidth="1"/>
    <col min="22" max="22" width="19.44140625" customWidth="1"/>
  </cols>
  <sheetData>
    <row r="1" spans="1:18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25"/>
      <c r="R6" s="26" t="s">
        <v>7</v>
      </c>
    </row>
    <row r="7" spans="1:18" ht="23.25" customHeight="1" thickBot="1" x14ac:dyDescent="0.35">
      <c r="A7" s="49"/>
      <c r="B7" s="60" t="s">
        <v>8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9</v>
      </c>
      <c r="M7" s="18"/>
      <c r="N7" s="18"/>
      <c r="O7" s="21"/>
      <c r="P7" s="62" t="s">
        <v>10</v>
      </c>
      <c r="Q7" s="190" t="s">
        <v>133</v>
      </c>
      <c r="R7" s="191"/>
    </row>
    <row r="8" spans="1:18" ht="34.5" customHeight="1" thickBot="1" x14ac:dyDescent="0.35">
      <c r="A8" s="49"/>
      <c r="B8" s="63" t="s">
        <v>12</v>
      </c>
      <c r="C8" s="22"/>
      <c r="D8" s="23"/>
      <c r="E8" s="23"/>
      <c r="F8" s="24"/>
      <c r="G8" s="64" t="s">
        <v>13</v>
      </c>
      <c r="H8" s="19"/>
      <c r="I8" s="20"/>
      <c r="J8" s="65" t="s">
        <v>14</v>
      </c>
      <c r="K8" s="29" t="s">
        <v>15</v>
      </c>
      <c r="L8" s="66" t="s">
        <v>16</v>
      </c>
      <c r="M8" s="20"/>
      <c r="N8" s="20"/>
      <c r="O8" s="30"/>
      <c r="P8" s="67" t="s">
        <v>17</v>
      </c>
      <c r="Q8" s="31"/>
      <c r="R8" s="32"/>
    </row>
    <row r="9" spans="1:18" s="50" customFormat="1" ht="17.399999999999999" x14ac:dyDescent="0.3">
      <c r="A9" s="68"/>
      <c r="B9" s="69" t="s">
        <v>193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</row>
    <row r="10" spans="1:18" ht="28.2" thickBot="1" x14ac:dyDescent="0.35">
      <c r="A10" s="49"/>
      <c r="B10" s="109" t="s">
        <v>18</v>
      </c>
      <c r="C10" s="109"/>
      <c r="D10" s="71" t="s">
        <v>19</v>
      </c>
      <c r="E10" s="71" t="s">
        <v>20</v>
      </c>
      <c r="F10" s="71" t="s">
        <v>21</v>
      </c>
      <c r="G10" s="71" t="s">
        <v>22</v>
      </c>
      <c r="H10" s="71" t="s">
        <v>23</v>
      </c>
      <c r="I10" s="71" t="s">
        <v>24</v>
      </c>
      <c r="J10" s="71" t="s">
        <v>25</v>
      </c>
      <c r="K10" s="71" t="s">
        <v>26</v>
      </c>
      <c r="L10" s="71" t="s">
        <v>27</v>
      </c>
      <c r="M10" s="71" t="s">
        <v>28</v>
      </c>
      <c r="N10" s="71" t="s">
        <v>29</v>
      </c>
      <c r="O10" s="71" t="s">
        <v>30</v>
      </c>
      <c r="P10" s="71" t="s">
        <v>31</v>
      </c>
      <c r="Q10" s="71" t="s">
        <v>32</v>
      </c>
      <c r="R10" s="71" t="s">
        <v>33</v>
      </c>
    </row>
    <row r="11" spans="1:18" ht="16.05" customHeight="1" thickTop="1" x14ac:dyDescent="0.3">
      <c r="A11" s="49"/>
      <c r="B11" s="193" t="s">
        <v>34</v>
      </c>
      <c r="C11" s="194"/>
      <c r="D11" s="110">
        <v>5313</v>
      </c>
      <c r="E11" s="110" t="s">
        <v>35</v>
      </c>
      <c r="F11" s="110" t="s">
        <v>36</v>
      </c>
      <c r="G11" s="112">
        <f>VLOOKUP($Q$7,PSC!$A$2:$L$31,9,FALSE)</f>
        <v>13.49</v>
      </c>
      <c r="H11" s="33" t="s">
        <v>37</v>
      </c>
      <c r="I11" s="33">
        <v>7898969895316</v>
      </c>
      <c r="J11" s="33">
        <v>17898969895313</v>
      </c>
      <c r="K11" s="111">
        <f>VLOOKUP($Q$7,'ST BISCOITINHOS'!A:B,2,FALSE)</f>
        <v>0.04</v>
      </c>
      <c r="L11" s="112">
        <f>VLOOKUP($Q$7,PREÇOS!$A$2:$L$31,9,FALSE)</f>
        <v>7.7220000000000004</v>
      </c>
      <c r="M11" s="113">
        <f>L11*12</f>
        <v>92.664000000000001</v>
      </c>
      <c r="N11" s="116">
        <v>0</v>
      </c>
      <c r="O11" s="43">
        <f>(L11+N11)*12</f>
        <v>92.664000000000001</v>
      </c>
      <c r="P11" s="114"/>
      <c r="Q11" s="115">
        <f t="shared" ref="Q11:Q12" si="0">P11*M11</f>
        <v>0</v>
      </c>
      <c r="R11" s="43">
        <f t="shared" ref="R11:R12" si="1">P11*O11</f>
        <v>0</v>
      </c>
    </row>
    <row r="12" spans="1:18" ht="16.05" customHeight="1" x14ac:dyDescent="0.3">
      <c r="A12" s="49"/>
      <c r="B12" s="187" t="s">
        <v>38</v>
      </c>
      <c r="C12" s="188"/>
      <c r="D12" s="72">
        <v>5320</v>
      </c>
      <c r="E12" s="73" t="s">
        <v>35</v>
      </c>
      <c r="F12" s="73" t="s">
        <v>36</v>
      </c>
      <c r="G12" s="44">
        <f>VLOOKUP($Q$7,PSC!$A$2:$L$31,9,FALSE)</f>
        <v>13.49</v>
      </c>
      <c r="H12" s="72" t="s">
        <v>37</v>
      </c>
      <c r="I12" s="72">
        <v>7898969895323</v>
      </c>
      <c r="J12" s="72">
        <v>17898969895320</v>
      </c>
      <c r="K12" s="74">
        <f>VLOOKUP($Q$7,'ST BISCOITINHOS'!A:B,2,FALSE)</f>
        <v>0.04</v>
      </c>
      <c r="L12" s="44">
        <f>VLOOKUP($Q$7,PREÇOS!$A$2:$L$31,9,FALSE)</f>
        <v>7.7220000000000004</v>
      </c>
      <c r="M12" s="45">
        <f>L12*12</f>
        <v>92.664000000000001</v>
      </c>
      <c r="N12" s="117">
        <v>0</v>
      </c>
      <c r="O12" s="46">
        <f>(L12+N12)*12</f>
        <v>92.664000000000001</v>
      </c>
      <c r="P12" s="41"/>
      <c r="Q12" s="47">
        <f t="shared" si="0"/>
        <v>0</v>
      </c>
      <c r="R12" s="46">
        <f t="shared" si="1"/>
        <v>0</v>
      </c>
    </row>
    <row r="13" spans="1:18" s="145" customFormat="1" ht="16.05" customHeight="1" x14ac:dyDescent="0.3">
      <c r="A13" s="143"/>
      <c r="B13" s="109"/>
      <c r="C13" s="109"/>
      <c r="D13" s="109"/>
      <c r="E13" s="109"/>
      <c r="F13" s="109"/>
      <c r="G13" s="144"/>
      <c r="H13" s="109"/>
      <c r="I13" s="109"/>
      <c r="J13" s="109"/>
      <c r="K13" s="144"/>
      <c r="L13" s="144"/>
      <c r="M13" s="144"/>
      <c r="N13" s="109"/>
      <c r="O13" s="109"/>
      <c r="P13" s="109"/>
      <c r="Q13" s="109"/>
      <c r="R13" s="109"/>
    </row>
    <row r="14" spans="1:18" ht="16.05" customHeight="1" x14ac:dyDescent="0.3">
      <c r="A14" s="49"/>
      <c r="B14" s="189" t="s">
        <v>39</v>
      </c>
      <c r="C14" s="188"/>
      <c r="D14" s="35">
        <v>5566</v>
      </c>
      <c r="E14" s="34" t="s">
        <v>40</v>
      </c>
      <c r="F14" s="34" t="s">
        <v>41</v>
      </c>
      <c r="G14" s="37">
        <f>VLOOKUP($Q$7,PSC!$A$2:$M$31,13,FALSE)</f>
        <v>9.49</v>
      </c>
      <c r="H14" s="35" t="s">
        <v>37</v>
      </c>
      <c r="I14" s="35">
        <v>7898969895569</v>
      </c>
      <c r="J14" s="35">
        <v>27898969895563</v>
      </c>
      <c r="K14" s="36">
        <f>VLOOKUP($Q$7,'ST BISCOITINHOS'!A:B,2,FALSE)</f>
        <v>0.04</v>
      </c>
      <c r="L14" s="37">
        <f>VLOOKUP($Q$7,PREÇOS!$A$2:$M$31,13,FALSE)</f>
        <v>5.44</v>
      </c>
      <c r="M14" s="38">
        <f>L14*16</f>
        <v>87.04</v>
      </c>
      <c r="N14" s="39">
        <v>0</v>
      </c>
      <c r="O14" s="40">
        <f>M14</f>
        <v>87.04</v>
      </c>
      <c r="P14" s="41"/>
      <c r="Q14" s="42">
        <f t="shared" ref="Q14:Q15" si="2">P14*M14</f>
        <v>0</v>
      </c>
      <c r="R14" s="40">
        <f t="shared" ref="R14:R15" si="3">P14*O14</f>
        <v>0</v>
      </c>
    </row>
    <row r="15" spans="1:18" ht="16.05" customHeight="1" x14ac:dyDescent="0.3">
      <c r="A15" s="49"/>
      <c r="B15" s="187" t="s">
        <v>42</v>
      </c>
      <c r="C15" s="188"/>
      <c r="D15" s="72">
        <v>5573</v>
      </c>
      <c r="E15" s="72" t="s">
        <v>40</v>
      </c>
      <c r="F15" s="72" t="s">
        <v>41</v>
      </c>
      <c r="G15" s="44">
        <f>VLOOKUP($Q$7,PSC!$A$2:$M$31,13,FALSE)</f>
        <v>9.49</v>
      </c>
      <c r="H15" s="73" t="s">
        <v>37</v>
      </c>
      <c r="I15" s="72">
        <v>7898969895576</v>
      </c>
      <c r="J15" s="72">
        <v>27898969895570</v>
      </c>
      <c r="K15" s="74">
        <f>VLOOKUP($Q$7,'ST BISCOITINHOS'!A:B,2,FALSE)</f>
        <v>0.04</v>
      </c>
      <c r="L15" s="44">
        <f>VLOOKUP($Q$7,PREÇOS!$A$2:$M$31,13,FALSE)</f>
        <v>5.44</v>
      </c>
      <c r="M15" s="45">
        <f>L15*16</f>
        <v>87.04</v>
      </c>
      <c r="N15" s="75">
        <v>0</v>
      </c>
      <c r="O15" s="46">
        <f>M15</f>
        <v>87.04</v>
      </c>
      <c r="P15" s="41"/>
      <c r="Q15" s="47">
        <f t="shared" si="2"/>
        <v>0</v>
      </c>
      <c r="R15" s="46">
        <f t="shared" si="3"/>
        <v>0</v>
      </c>
    </row>
    <row r="16" spans="1:18" ht="16.05" customHeight="1" x14ac:dyDescent="0.3">
      <c r="A16" s="49"/>
      <c r="B16" s="109"/>
      <c r="C16" s="109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</row>
    <row r="17" spans="1:18" ht="16.05" customHeight="1" x14ac:dyDescent="0.3">
      <c r="A17" s="49"/>
      <c r="B17" s="189" t="s">
        <v>43</v>
      </c>
      <c r="C17" s="188"/>
      <c r="D17" s="35">
        <v>17898994908729</v>
      </c>
      <c r="E17" s="34" t="s">
        <v>44</v>
      </c>
      <c r="F17" s="34" t="s">
        <v>45</v>
      </c>
      <c r="G17" s="37">
        <f>VLOOKUP($Q$7,PSC!$A$2:$L$31,2,FALSE)</f>
        <v>9.49</v>
      </c>
      <c r="H17" s="35" t="s">
        <v>37</v>
      </c>
      <c r="I17" s="35" t="s">
        <v>46</v>
      </c>
      <c r="J17" s="35">
        <v>17898994908729</v>
      </c>
      <c r="K17" s="36">
        <f>VLOOKUP($Q$7,'ST BISCOITINHOS'!A:B,2,FALSE)</f>
        <v>0.04</v>
      </c>
      <c r="L17" s="37">
        <f>VLOOKUP($Q$7,PREÇOS!$A$2:$L$31,2,FALSE)</f>
        <v>5.44</v>
      </c>
      <c r="M17" s="38">
        <f>L17*12</f>
        <v>65.28</v>
      </c>
      <c r="N17" s="39">
        <v>0</v>
      </c>
      <c r="O17" s="40">
        <f>M17</f>
        <v>65.28</v>
      </c>
      <c r="P17" s="41"/>
      <c r="Q17" s="42">
        <f t="shared" ref="Q17:Q36" si="4">P17*M17</f>
        <v>0</v>
      </c>
      <c r="R17" s="40">
        <f t="shared" ref="R17:R36" si="5">P17*O17</f>
        <v>0</v>
      </c>
    </row>
    <row r="18" spans="1:18" ht="16.05" customHeight="1" x14ac:dyDescent="0.3">
      <c r="A18" s="49"/>
      <c r="B18" s="187" t="s">
        <v>47</v>
      </c>
      <c r="C18" s="188"/>
      <c r="D18" s="72">
        <v>17898994908736</v>
      </c>
      <c r="E18" s="73" t="s">
        <v>44</v>
      </c>
      <c r="F18" s="73" t="s">
        <v>45</v>
      </c>
      <c r="G18" s="44">
        <f>VLOOKUP($Q$7,PSC!$A$2:$L$31,2,FALSE)</f>
        <v>9.49</v>
      </c>
      <c r="H18" s="72" t="s">
        <v>37</v>
      </c>
      <c r="I18" s="72" t="s">
        <v>48</v>
      </c>
      <c r="J18" s="72">
        <v>17898994908736</v>
      </c>
      <c r="K18" s="74">
        <f>VLOOKUP($Q$7,'ST BISCOITINHOS'!A:B,2,FALSE)</f>
        <v>0.04</v>
      </c>
      <c r="L18" s="44">
        <f>VLOOKUP($Q$7,PREÇOS!$A$2:$L$31,2,FALSE)</f>
        <v>5.44</v>
      </c>
      <c r="M18" s="45">
        <f t="shared" ref="M18:M22" si="6">L18*12</f>
        <v>65.28</v>
      </c>
      <c r="N18" s="75">
        <v>0</v>
      </c>
      <c r="O18" s="46">
        <f>M18</f>
        <v>65.28</v>
      </c>
      <c r="P18" s="41"/>
      <c r="Q18" s="47">
        <f t="shared" si="4"/>
        <v>0</v>
      </c>
      <c r="R18" s="46">
        <f t="shared" si="5"/>
        <v>0</v>
      </c>
    </row>
    <row r="19" spans="1:18" ht="16.05" customHeight="1" x14ac:dyDescent="0.3">
      <c r="A19" s="49"/>
      <c r="B19" s="189" t="s">
        <v>49</v>
      </c>
      <c r="C19" s="188"/>
      <c r="D19" s="35">
        <v>17898994908712</v>
      </c>
      <c r="E19" s="34" t="s">
        <v>44</v>
      </c>
      <c r="F19" s="34" t="s">
        <v>45</v>
      </c>
      <c r="G19" s="37">
        <f>VLOOKUP($Q$7,PSC!$A$2:$L$31,2,FALSE)</f>
        <v>9.49</v>
      </c>
      <c r="H19" s="35" t="s">
        <v>37</v>
      </c>
      <c r="I19" s="35" t="s">
        <v>50</v>
      </c>
      <c r="J19" s="35">
        <v>17898994908712</v>
      </c>
      <c r="K19" s="36">
        <f>VLOOKUP($Q$7,'ST BISCOITINHOS'!A:B,2,FALSE)</f>
        <v>0.04</v>
      </c>
      <c r="L19" s="37">
        <f>VLOOKUP($Q$7,PREÇOS!$A$2:$L$31,2,FALSE)</f>
        <v>5.44</v>
      </c>
      <c r="M19" s="38">
        <f t="shared" si="6"/>
        <v>65.28</v>
      </c>
      <c r="N19" s="39">
        <v>0</v>
      </c>
      <c r="O19" s="40">
        <f>M19</f>
        <v>65.28</v>
      </c>
      <c r="P19" s="41"/>
      <c r="Q19" s="42">
        <f t="shared" si="4"/>
        <v>0</v>
      </c>
      <c r="R19" s="40">
        <f t="shared" si="5"/>
        <v>0</v>
      </c>
    </row>
    <row r="20" spans="1:18" ht="16.05" customHeight="1" x14ac:dyDescent="0.3">
      <c r="A20" s="49"/>
      <c r="B20" s="187" t="s">
        <v>51</v>
      </c>
      <c r="C20" s="188"/>
      <c r="D20" s="72">
        <v>17898994908750</v>
      </c>
      <c r="E20" s="73" t="s">
        <v>44</v>
      </c>
      <c r="F20" s="73" t="s">
        <v>45</v>
      </c>
      <c r="G20" s="44">
        <f>VLOOKUP($Q$7,PSC!$A$2:$L$31,2,FALSE)</f>
        <v>9.49</v>
      </c>
      <c r="H20" s="72" t="s">
        <v>37</v>
      </c>
      <c r="I20" s="72" t="s">
        <v>52</v>
      </c>
      <c r="J20" s="72">
        <v>17898994908750</v>
      </c>
      <c r="K20" s="74">
        <f>VLOOKUP($Q$7,'ST BISCOITINHOS'!A:B,2,FALSE)</f>
        <v>0.04</v>
      </c>
      <c r="L20" s="44">
        <f>VLOOKUP($Q$7,PREÇOS!$A$2:$L$31,2,FALSE)</f>
        <v>5.44</v>
      </c>
      <c r="M20" s="45">
        <f t="shared" si="6"/>
        <v>65.28</v>
      </c>
      <c r="N20" s="75">
        <v>0</v>
      </c>
      <c r="O20" s="46">
        <f>M20</f>
        <v>65.28</v>
      </c>
      <c r="P20" s="41"/>
      <c r="Q20" s="47">
        <f t="shared" si="4"/>
        <v>0</v>
      </c>
      <c r="R20" s="46">
        <f t="shared" si="5"/>
        <v>0</v>
      </c>
    </row>
    <row r="21" spans="1:18" ht="16.05" customHeight="1" x14ac:dyDescent="0.3">
      <c r="A21" s="49"/>
      <c r="B21" s="189" t="s">
        <v>53</v>
      </c>
      <c r="C21" s="188"/>
      <c r="D21" s="35">
        <v>27898994908757</v>
      </c>
      <c r="E21" s="34" t="s">
        <v>44</v>
      </c>
      <c r="F21" s="34" t="s">
        <v>45</v>
      </c>
      <c r="G21" s="37">
        <f>VLOOKUP($Q$7,PSC!$A$2:$L$31,2,FALSE)</f>
        <v>9.49</v>
      </c>
      <c r="H21" s="35" t="s">
        <v>37</v>
      </c>
      <c r="I21" s="35" t="s">
        <v>54</v>
      </c>
      <c r="J21" s="35">
        <v>27898994908757</v>
      </c>
      <c r="K21" s="36">
        <f>VLOOKUP($Q$7,'ST BISCOITINHOS'!A:B,2,FALSE)</f>
        <v>0.04</v>
      </c>
      <c r="L21" s="37">
        <f>VLOOKUP($Q$7,PREÇOS!$A$2:$L$31,2,FALSE)</f>
        <v>5.44</v>
      </c>
      <c r="M21" s="38">
        <f t="shared" si="6"/>
        <v>65.28</v>
      </c>
      <c r="N21" s="39">
        <v>0</v>
      </c>
      <c r="O21" s="40">
        <f>M21</f>
        <v>65.28</v>
      </c>
      <c r="P21" s="41"/>
      <c r="Q21" s="42">
        <f t="shared" si="4"/>
        <v>0</v>
      </c>
      <c r="R21" s="40">
        <f t="shared" si="5"/>
        <v>0</v>
      </c>
    </row>
    <row r="22" spans="1:18" ht="16.05" customHeight="1" x14ac:dyDescent="0.3">
      <c r="A22" s="49"/>
      <c r="B22" s="187" t="s">
        <v>55</v>
      </c>
      <c r="C22" s="192"/>
      <c r="D22" s="72">
        <v>5306</v>
      </c>
      <c r="E22" s="73" t="s">
        <v>44</v>
      </c>
      <c r="F22" s="73" t="s">
        <v>45</v>
      </c>
      <c r="G22" s="44">
        <f>VLOOKUP($Q$7,PSC!$A$2:$L$31,2,FALSE)</f>
        <v>9.49</v>
      </c>
      <c r="H22" s="72" t="s">
        <v>37</v>
      </c>
      <c r="I22" s="72">
        <v>7898969895309</v>
      </c>
      <c r="J22" s="72">
        <v>17898969895306</v>
      </c>
      <c r="K22" s="74">
        <f>VLOOKUP($Q$7,'ST BISCOITINHOS'!A:B,2,FALSE)</f>
        <v>0.04</v>
      </c>
      <c r="L22" s="44">
        <f>VLOOKUP($Q$7,PREÇOS!$A$2:$L$31,2,FALSE)</f>
        <v>5.44</v>
      </c>
      <c r="M22" s="45">
        <f t="shared" si="6"/>
        <v>65.28</v>
      </c>
      <c r="N22" s="75">
        <v>0</v>
      </c>
      <c r="O22" s="46">
        <f t="shared" ref="O22" si="7">M22</f>
        <v>65.28</v>
      </c>
      <c r="P22" s="41"/>
      <c r="Q22" s="47">
        <f t="shared" si="4"/>
        <v>0</v>
      </c>
      <c r="R22" s="46">
        <f t="shared" si="5"/>
        <v>0</v>
      </c>
    </row>
    <row r="23" spans="1:18" ht="16.05" customHeight="1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</row>
    <row r="24" spans="1:18" ht="16.05" customHeight="1" x14ac:dyDescent="0.3">
      <c r="A24" s="49"/>
      <c r="B24" s="189" t="s">
        <v>56</v>
      </c>
      <c r="C24" s="188"/>
      <c r="D24" s="35">
        <v>5085</v>
      </c>
      <c r="E24" s="34" t="s">
        <v>57</v>
      </c>
      <c r="F24" s="34" t="s">
        <v>58</v>
      </c>
      <c r="G24" s="37">
        <f>VLOOKUP($Q$7,PSC!$A$2:$L$31,3,FALSE)</f>
        <v>5.79</v>
      </c>
      <c r="H24" s="35" t="s">
        <v>59</v>
      </c>
      <c r="I24" s="35">
        <v>7898969895088</v>
      </c>
      <c r="J24" s="35">
        <v>17898969895085</v>
      </c>
      <c r="K24" s="36">
        <f>VLOOKUP($Q$7,'ST PALITINHOS'!A:B,2,FALSE)</f>
        <v>0.12</v>
      </c>
      <c r="L24" s="37">
        <f>VLOOKUP($Q$7,PREÇOS!$A$2:$L$31,3,FALSE)</f>
        <v>3.58</v>
      </c>
      <c r="M24" s="38">
        <f>L24*16</f>
        <v>57.28</v>
      </c>
      <c r="N24" s="39">
        <f>IF($K$8="SIM",VLOOKUP($Q$7,'ST PALITINHOS'!$A$1:$J$31,10,FALSE),VLOOKUP($Q$7,'ST PALITINHOS'!$A$1:$J$31,9,FALSE))</f>
        <v>0</v>
      </c>
      <c r="O24" s="40">
        <f>(L24+N24)*16</f>
        <v>57.28</v>
      </c>
      <c r="P24" s="41"/>
      <c r="Q24" s="42">
        <f t="shared" si="4"/>
        <v>0</v>
      </c>
      <c r="R24" s="40">
        <f t="shared" si="5"/>
        <v>0</v>
      </c>
    </row>
    <row r="25" spans="1:18" ht="16.05" customHeight="1" x14ac:dyDescent="0.3">
      <c r="A25" s="49"/>
      <c r="B25" s="187" t="s">
        <v>60</v>
      </c>
      <c r="C25" s="188"/>
      <c r="D25" s="72">
        <v>5078</v>
      </c>
      <c r="E25" s="73" t="s">
        <v>57</v>
      </c>
      <c r="F25" s="73" t="s">
        <v>58</v>
      </c>
      <c r="G25" s="44">
        <f>VLOOKUP($Q$7,PSC!$A$2:$L$31,3,FALSE)</f>
        <v>5.79</v>
      </c>
      <c r="H25" s="72" t="s">
        <v>59</v>
      </c>
      <c r="I25" s="72">
        <v>7898969895071</v>
      </c>
      <c r="J25" s="72">
        <v>17898969895078</v>
      </c>
      <c r="K25" s="74">
        <f>VLOOKUP($Q$7,'ST PALITINHOS'!A:B,2,FALSE)</f>
        <v>0.12</v>
      </c>
      <c r="L25" s="44">
        <f>VLOOKUP($Q$7,PREÇOS!$A$2:$L$31,3,FALSE)</f>
        <v>3.58</v>
      </c>
      <c r="M25" s="45">
        <f>L25*16</f>
        <v>57.28</v>
      </c>
      <c r="N25" s="75">
        <f>IF($K$8="SIM",VLOOKUP($Q$7,'ST PALITINHOS'!$A$1:$J$31,10,FALSE),VLOOKUP($Q$7,'ST PALITINHOS'!$A$1:$J$31,9,FALSE))</f>
        <v>0</v>
      </c>
      <c r="O25" s="46">
        <f>(L25+N25)*16</f>
        <v>57.28</v>
      </c>
      <c r="P25" s="41"/>
      <c r="Q25" s="47">
        <f t="shared" si="4"/>
        <v>0</v>
      </c>
      <c r="R25" s="46">
        <f t="shared" si="5"/>
        <v>0</v>
      </c>
    </row>
    <row r="26" spans="1:18" ht="16.05" customHeight="1" x14ac:dyDescent="0.3">
      <c r="A26" s="49"/>
      <c r="B26" s="189" t="s">
        <v>61</v>
      </c>
      <c r="C26" s="188"/>
      <c r="D26" s="35">
        <v>5061</v>
      </c>
      <c r="E26" s="34" t="s">
        <v>57</v>
      </c>
      <c r="F26" s="34" t="s">
        <v>58</v>
      </c>
      <c r="G26" s="37">
        <f>VLOOKUP($Q$7,PSC!$A$2:$L$31,3,FALSE)</f>
        <v>5.79</v>
      </c>
      <c r="H26" s="35" t="s">
        <v>59</v>
      </c>
      <c r="I26" s="35">
        <v>7898969895064</v>
      </c>
      <c r="J26" s="35">
        <v>17898969895061</v>
      </c>
      <c r="K26" s="36">
        <f>VLOOKUP($Q$7,'ST PALITINHOS'!A:B,2,FALSE)</f>
        <v>0.12</v>
      </c>
      <c r="L26" s="37">
        <f>VLOOKUP($Q$7,PREÇOS!$A$2:$L$31,3,FALSE)</f>
        <v>3.58</v>
      </c>
      <c r="M26" s="38">
        <f>L26*16</f>
        <v>57.28</v>
      </c>
      <c r="N26" s="39">
        <f>IF($K$8="SIM",VLOOKUP($Q$7,'ST PALITINHOS'!$A$1:$J$31,10,FALSE),VLOOKUP($Q$7,'ST PALITINHOS'!$A$1:$J$31,9,FALSE))</f>
        <v>0</v>
      </c>
      <c r="O26" s="40">
        <f>(L26+N26)*16</f>
        <v>57.28</v>
      </c>
      <c r="P26" s="41"/>
      <c r="Q26" s="42">
        <f t="shared" si="4"/>
        <v>0</v>
      </c>
      <c r="R26" s="40">
        <f t="shared" si="5"/>
        <v>0</v>
      </c>
    </row>
    <row r="27" spans="1:18" ht="16.05" customHeight="1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6.05" customHeight="1" x14ac:dyDescent="0.3">
      <c r="A28" s="49"/>
      <c r="B28" s="189" t="s">
        <v>62</v>
      </c>
      <c r="C28" s="188"/>
      <c r="D28" s="35">
        <v>8774</v>
      </c>
      <c r="E28" s="34" t="s">
        <v>63</v>
      </c>
      <c r="F28" s="34" t="s">
        <v>41</v>
      </c>
      <c r="G28" s="37">
        <f>VLOOKUP($Q$7,PSC!$A$2:$L$31,4,FALSE)</f>
        <v>19.989999999999998</v>
      </c>
      <c r="H28" s="35" t="s">
        <v>64</v>
      </c>
      <c r="I28" s="35">
        <v>7898994908777</v>
      </c>
      <c r="J28" s="35">
        <v>17898994908774</v>
      </c>
      <c r="K28" s="36">
        <f>VLOOKUP($Q$7,'ST BISCOITINHOS'!A:B,2,FALSE)</f>
        <v>0.04</v>
      </c>
      <c r="L28" s="37">
        <f>VLOOKUP($Q$7,PREÇOS!$A$2:$L$31,4,FALSE)</f>
        <v>11.443299999999999</v>
      </c>
      <c r="M28" s="38">
        <f>L28*12</f>
        <v>137.31959999999998</v>
      </c>
      <c r="N28" s="39">
        <f>IF($K$8="SIM",VLOOKUP($Q$7,'ST BISCOITINHOS'!$A$1:$J$31,10,FALSE),VLOOKUP($Q$7,'ST BISCOITINHOS'!$A$1:$J$31,9,FALSE))</f>
        <v>2.8750146919999993</v>
      </c>
      <c r="O28" s="40">
        <f>(L28+N28)*12</f>
        <v>171.81977630399996</v>
      </c>
      <c r="P28" s="41"/>
      <c r="Q28" s="42">
        <f t="shared" si="4"/>
        <v>0</v>
      </c>
      <c r="R28" s="40">
        <f t="shared" si="5"/>
        <v>0</v>
      </c>
    </row>
    <row r="29" spans="1:18" ht="16.05" customHeight="1" x14ac:dyDescent="0.3">
      <c r="A29" s="49"/>
      <c r="B29" s="187" t="s">
        <v>65</v>
      </c>
      <c r="C29" s="188"/>
      <c r="D29" s="72">
        <v>8767</v>
      </c>
      <c r="E29" s="73" t="s">
        <v>63</v>
      </c>
      <c r="F29" s="73" t="s">
        <v>41</v>
      </c>
      <c r="G29" s="44">
        <f>VLOOKUP($Q$7,PSC!$A$2:$L$31,4,FALSE)</f>
        <v>19.989999999999998</v>
      </c>
      <c r="H29" s="72" t="s">
        <v>64</v>
      </c>
      <c r="I29" s="72">
        <v>7898994908760</v>
      </c>
      <c r="J29" s="72">
        <v>17898994908767</v>
      </c>
      <c r="K29" s="74">
        <f>VLOOKUP($Q$7,'ST BISCOITINHOS'!A:B,2,FALSE)</f>
        <v>0.04</v>
      </c>
      <c r="L29" s="44">
        <f>VLOOKUP($Q$7,PREÇOS!$A$2:$L$31,4,FALSE)</f>
        <v>11.443299999999999</v>
      </c>
      <c r="M29" s="45">
        <f>L29*12</f>
        <v>137.31959999999998</v>
      </c>
      <c r="N29" s="75">
        <f>IF($K$8="SIM",VLOOKUP($Q$7,'ST BISCOITINHOS'!$A$1:$J$31,10,FALSE),VLOOKUP($Q$7,'ST BISCOITINHOS'!$A$1:$J$31,9,FALSE))</f>
        <v>2.8750146919999993</v>
      </c>
      <c r="O29" s="46">
        <f>(L29+N29)*12</f>
        <v>171.81977630399996</v>
      </c>
      <c r="P29" s="41"/>
      <c r="Q29" s="47">
        <f t="shared" si="4"/>
        <v>0</v>
      </c>
      <c r="R29" s="46">
        <f t="shared" si="5"/>
        <v>0</v>
      </c>
    </row>
    <row r="30" spans="1:18" ht="16.05" customHeight="1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6.05" customHeight="1" x14ac:dyDescent="0.3">
      <c r="A31" s="49"/>
      <c r="B31" s="189" t="s">
        <v>66</v>
      </c>
      <c r="C31" s="188"/>
      <c r="D31" s="35">
        <v>5290</v>
      </c>
      <c r="E31" s="34" t="s">
        <v>67</v>
      </c>
      <c r="F31" s="34" t="s">
        <v>68</v>
      </c>
      <c r="G31" s="37">
        <f>VLOOKUP($Q$7,PSC!$A$2:$L$31,5,FALSE)</f>
        <v>13.69</v>
      </c>
      <c r="H31" s="35" t="s">
        <v>69</v>
      </c>
      <c r="I31" s="35">
        <v>7898969895293</v>
      </c>
      <c r="J31" s="35">
        <v>17898969895293</v>
      </c>
      <c r="K31" s="36">
        <f>VLOOKUP($Q$7,'ST PAPAPASTA'!A:B,2,FALSE)</f>
        <v>0.12</v>
      </c>
      <c r="L31" s="37">
        <f>VLOOKUP($Q$7,PREÇOS!$A$2:$L$31,5,FALSE)</f>
        <v>8.07</v>
      </c>
      <c r="M31" s="38">
        <f>L31*12</f>
        <v>96.84</v>
      </c>
      <c r="N31" s="39">
        <f>IF($K$8="SIM",VLOOKUP($Q$7,'ST PAPAPASTA'!$A$1:$J$31,10,FALSE),VLOOKUP($Q$7,'ST PAPAPASTA'!$A$1:$J$31,9,FALSE))</f>
        <v>0</v>
      </c>
      <c r="O31" s="40">
        <f>(L31+N31)*12</f>
        <v>96.84</v>
      </c>
      <c r="P31" s="41"/>
      <c r="Q31" s="42">
        <f t="shared" si="4"/>
        <v>0</v>
      </c>
      <c r="R31" s="40">
        <f t="shared" si="5"/>
        <v>0</v>
      </c>
    </row>
    <row r="32" spans="1:18" ht="16.05" customHeight="1" x14ac:dyDescent="0.3">
      <c r="A32" s="49"/>
      <c r="B32" s="187" t="s">
        <v>70</v>
      </c>
      <c r="C32" s="188"/>
      <c r="D32" s="72">
        <v>5283</v>
      </c>
      <c r="E32" s="73" t="s">
        <v>67</v>
      </c>
      <c r="F32" s="73" t="s">
        <v>68</v>
      </c>
      <c r="G32" s="44">
        <f>VLOOKUP($Q$7,PSC!$A$2:$L$31,5,FALSE)</f>
        <v>13.69</v>
      </c>
      <c r="H32" s="72" t="s">
        <v>69</v>
      </c>
      <c r="I32" s="72">
        <v>7898969895286</v>
      </c>
      <c r="J32" s="72">
        <v>17898969895286</v>
      </c>
      <c r="K32" s="74">
        <f>VLOOKUP($Q$7,'ST PAPAPASTA'!A:B,2,FALSE)</f>
        <v>0.12</v>
      </c>
      <c r="L32" s="44">
        <f>VLOOKUP($Q$7,PREÇOS!$A$2:$L$31,5,FALSE)</f>
        <v>8.07</v>
      </c>
      <c r="M32" s="45">
        <f>L32*12</f>
        <v>96.84</v>
      </c>
      <c r="N32" s="75">
        <f>IF($K$8="SIM",VLOOKUP($Q$7,'ST PAPAPASTA'!$A$1:$J$31,10,FALSE),VLOOKUP($Q$7,'ST PAPAPASTA'!$A$1:$J$31,9,FALSE))</f>
        <v>0</v>
      </c>
      <c r="O32" s="46">
        <f>(L32+N32)*12</f>
        <v>96.84</v>
      </c>
      <c r="P32" s="41"/>
      <c r="Q32" s="47">
        <f t="shared" si="4"/>
        <v>0</v>
      </c>
      <c r="R32" s="46">
        <f t="shared" si="5"/>
        <v>0</v>
      </c>
    </row>
    <row r="33" spans="1:18" ht="16.05" customHeight="1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6.05" customHeight="1" x14ac:dyDescent="0.3">
      <c r="B34" s="189" t="s">
        <v>71</v>
      </c>
      <c r="C34" s="188"/>
      <c r="D34" s="35">
        <v>5276</v>
      </c>
      <c r="E34" s="34" t="s">
        <v>72</v>
      </c>
      <c r="F34" s="34" t="s">
        <v>45</v>
      </c>
      <c r="G34" s="37">
        <f>VLOOKUP($Q$7,PSC!$A$2:$L$31,6,FALSE)</f>
        <v>17.989999999999998</v>
      </c>
      <c r="H34" s="35" t="s">
        <v>37</v>
      </c>
      <c r="I34" s="35">
        <v>7898969895279</v>
      </c>
      <c r="J34" s="35">
        <v>17898969895276</v>
      </c>
      <c r="K34" s="36">
        <f>VLOOKUP($Q$7,'ST PAPAPASTA'!A:B,2,FALSE)</f>
        <v>0.12</v>
      </c>
      <c r="L34" s="37">
        <f>VLOOKUP($Q$7,PREÇOS!$A$2:$L$31,6,FALSE)</f>
        <v>11.15</v>
      </c>
      <c r="M34" s="38">
        <f>L34*6</f>
        <v>66.900000000000006</v>
      </c>
      <c r="N34" s="39">
        <v>0</v>
      </c>
      <c r="O34" s="40">
        <f>(L34+N34)*6</f>
        <v>66.900000000000006</v>
      </c>
      <c r="P34" s="41"/>
      <c r="Q34" s="42">
        <f t="shared" si="4"/>
        <v>0</v>
      </c>
      <c r="R34" s="40">
        <f t="shared" si="5"/>
        <v>0</v>
      </c>
    </row>
    <row r="35" spans="1:18" ht="16.05" customHeight="1" x14ac:dyDescent="0.3">
      <c r="B35" s="187" t="s">
        <v>73</v>
      </c>
      <c r="C35" s="188"/>
      <c r="D35" s="72">
        <v>5269</v>
      </c>
      <c r="E35" s="73" t="s">
        <v>72</v>
      </c>
      <c r="F35" s="73" t="s">
        <v>45</v>
      </c>
      <c r="G35" s="44">
        <f>VLOOKUP($Q$7,PSC!$A$2:$L$31,6,FALSE)</f>
        <v>17.989999999999998</v>
      </c>
      <c r="H35" s="72" t="s">
        <v>37</v>
      </c>
      <c r="I35" s="72">
        <v>7898969895262</v>
      </c>
      <c r="J35" s="72">
        <v>17898969895269</v>
      </c>
      <c r="K35" s="74">
        <f>VLOOKUP($Q$7,'ST PAPAPASTA'!A:B,2,FALSE)</f>
        <v>0.12</v>
      </c>
      <c r="L35" s="44">
        <f>VLOOKUP($Q$7,PREÇOS!$A$2:$L$31,6,FALSE)</f>
        <v>11.15</v>
      </c>
      <c r="M35" s="45">
        <f>L35*6</f>
        <v>66.900000000000006</v>
      </c>
      <c r="N35" s="75">
        <v>0</v>
      </c>
      <c r="O35" s="46">
        <f>(L35+N35)*6</f>
        <v>66.900000000000006</v>
      </c>
      <c r="P35" s="41"/>
      <c r="Q35" s="47">
        <f t="shared" si="4"/>
        <v>0</v>
      </c>
      <c r="R35" s="46">
        <f t="shared" si="5"/>
        <v>0</v>
      </c>
    </row>
    <row r="36" spans="1:18" ht="16.05" customHeight="1" x14ac:dyDescent="0.3">
      <c r="B36" s="189" t="s">
        <v>74</v>
      </c>
      <c r="C36" s="188"/>
      <c r="D36" s="35">
        <v>5252</v>
      </c>
      <c r="E36" s="34" t="s">
        <v>72</v>
      </c>
      <c r="F36" s="34" t="s">
        <v>45</v>
      </c>
      <c r="G36" s="37">
        <f>VLOOKUP($Q$7,PSC!$A$2:$L$31,6,FALSE)</f>
        <v>17.989999999999998</v>
      </c>
      <c r="H36" s="35" t="s">
        <v>37</v>
      </c>
      <c r="I36" s="35">
        <v>7898969895255</v>
      </c>
      <c r="J36" s="35">
        <v>17898969895252</v>
      </c>
      <c r="K36" s="36">
        <f>VLOOKUP($Q$7,'ST PAPAPASTA'!A:B,2,FALSE)</f>
        <v>0.12</v>
      </c>
      <c r="L36" s="37">
        <f>VLOOKUP($Q$7,PREÇOS!$A$2:$L$31,6,FALSE)</f>
        <v>11.15</v>
      </c>
      <c r="M36" s="38">
        <f>L36*6</f>
        <v>66.900000000000006</v>
      </c>
      <c r="N36" s="39">
        <v>0</v>
      </c>
      <c r="O36" s="40">
        <f>(L36+N36)*6</f>
        <v>66.900000000000006</v>
      </c>
      <c r="P36" s="41"/>
      <c r="Q36" s="42">
        <f t="shared" si="4"/>
        <v>0</v>
      </c>
      <c r="R36" s="40">
        <f t="shared" si="5"/>
        <v>0</v>
      </c>
    </row>
    <row r="37" spans="1:18" ht="16.05" customHeight="1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6.05" customHeight="1" x14ac:dyDescent="0.3">
      <c r="B38" s="189" t="s">
        <v>77</v>
      </c>
      <c r="C38" s="188"/>
      <c r="D38" s="35">
        <v>5402</v>
      </c>
      <c r="E38" s="35" t="s">
        <v>75</v>
      </c>
      <c r="F38" s="34" t="s">
        <v>36</v>
      </c>
      <c r="G38" s="37">
        <f>VLOOKUP($Q$7,PSC!$A$2:$L$31,10,FALSE)</f>
        <v>9.99</v>
      </c>
      <c r="H38" s="35" t="s">
        <v>76</v>
      </c>
      <c r="I38" s="35">
        <v>7898969895408</v>
      </c>
      <c r="J38" s="35">
        <v>27898969895402</v>
      </c>
      <c r="K38" s="36">
        <f>VLOOKUP($Q$7,'ST CEREAL SABOR POUCH 170'!A:B,2,FALSE)</f>
        <v>0.12</v>
      </c>
      <c r="L38" s="37">
        <f>VLOOKUP($Q$7,PREÇOS!$A$2:$L$31,10,FALSE)</f>
        <v>5.78</v>
      </c>
      <c r="M38" s="38">
        <f t="shared" ref="M38:M41" si="8">L38*12</f>
        <v>69.36</v>
      </c>
      <c r="N38" s="39">
        <f>IF($K$8="SIM",VLOOKUP($Q$7,'ST CEREAL SABOR POUCH 170'!$A$1:$J$31,10,FALSE),VLOOKUP($Q$7,'ST CEREAL SABOR POUCH 170'!$A$1:$J$31,9,FALSE))</f>
        <v>0.82850520000000016</v>
      </c>
      <c r="O38" s="40">
        <f t="shared" ref="O38:O41" si="9">(L38+N38)*12</f>
        <v>79.302062400000011</v>
      </c>
      <c r="P38" s="41"/>
      <c r="Q38" s="42">
        <f t="shared" ref="Q38" si="10">P38*M38</f>
        <v>0</v>
      </c>
      <c r="R38" s="40">
        <f t="shared" ref="R38" si="11">P38*O38</f>
        <v>0</v>
      </c>
    </row>
    <row r="39" spans="1:18" ht="16.05" customHeight="1" x14ac:dyDescent="0.3">
      <c r="B39" s="187" t="s">
        <v>78</v>
      </c>
      <c r="C39" s="188"/>
      <c r="D39" s="72">
        <v>5419</v>
      </c>
      <c r="E39" s="72" t="s">
        <v>75</v>
      </c>
      <c r="F39" s="73" t="s">
        <v>36</v>
      </c>
      <c r="G39" s="44">
        <f>VLOOKUP($Q$7,PSC!$A$2:$L$31,10,FALSE)</f>
        <v>9.99</v>
      </c>
      <c r="H39" s="72" t="s">
        <v>76</v>
      </c>
      <c r="I39" s="72">
        <v>7898969895415</v>
      </c>
      <c r="J39" s="72">
        <v>27898969895419</v>
      </c>
      <c r="K39" s="74">
        <f>VLOOKUP($Q$7,'ST CEREAL SABOR POUCH 170'!A:B,2,FALSE)</f>
        <v>0.12</v>
      </c>
      <c r="L39" s="44">
        <f>VLOOKUP($Q$7,PREÇOS!$A$2:$L$31,10,FALSE)</f>
        <v>5.78</v>
      </c>
      <c r="M39" s="45">
        <f t="shared" si="8"/>
        <v>69.36</v>
      </c>
      <c r="N39" s="75">
        <f>IF($K$8="SIM",VLOOKUP($Q$7,'ST CEREAL SABOR POUCH 170'!$A$1:$J$31,10,FALSE),VLOOKUP($Q$7,'ST CEREAL SABOR POUCH 170'!$A$1:$J$31,9,FALSE))</f>
        <v>0.82850520000000016</v>
      </c>
      <c r="O39" s="46">
        <f t="shared" si="9"/>
        <v>79.302062400000011</v>
      </c>
      <c r="P39" s="41"/>
      <c r="Q39" s="47">
        <f>P39*M39</f>
        <v>0</v>
      </c>
      <c r="R39" s="46">
        <f t="shared" ref="R39:R41" si="12">P39*O39</f>
        <v>0</v>
      </c>
    </row>
    <row r="40" spans="1:18" ht="16.05" customHeight="1" x14ac:dyDescent="0.3">
      <c r="B40" s="189" t="s">
        <v>79</v>
      </c>
      <c r="C40" s="188"/>
      <c r="D40" s="35">
        <v>5429</v>
      </c>
      <c r="E40" s="35" t="s">
        <v>75</v>
      </c>
      <c r="F40" s="34" t="s">
        <v>36</v>
      </c>
      <c r="G40" s="37">
        <f>VLOOKUP($Q$7,PSC!$A$2:$L$31,11,FALSE)</f>
        <v>9.99</v>
      </c>
      <c r="H40" s="35" t="s">
        <v>76</v>
      </c>
      <c r="I40" s="35">
        <v>7898969895422</v>
      </c>
      <c r="J40" s="35">
        <v>17898969895429</v>
      </c>
      <c r="K40" s="36">
        <f>VLOOKUP($Q$7,'ST MULTI 170 POUCH'!A:B,2,FALSE)</f>
        <v>0.12</v>
      </c>
      <c r="L40" s="37">
        <f>VLOOKUP($Q$7,PREÇOS!$A$2:$L$31,11,FALSE)</f>
        <v>5.78</v>
      </c>
      <c r="M40" s="38">
        <f t="shared" si="8"/>
        <v>69.36</v>
      </c>
      <c r="N40" s="39">
        <f>IF($K$8="SIM",VLOOKUP($Q$7,'ST MULTI 170 POUCH'!$A$1:$J$31,10,FALSE),VLOOKUP($Q$7,'ST MULTI 170 POUCH'!$A$1:$J$31,9,FALSE))</f>
        <v>0.82850520000000016</v>
      </c>
      <c r="O40" s="40">
        <f t="shared" si="9"/>
        <v>79.302062400000011</v>
      </c>
      <c r="P40" s="41"/>
      <c r="Q40" s="42">
        <f t="shared" ref="Q40" si="13">P40*M40</f>
        <v>0</v>
      </c>
      <c r="R40" s="40">
        <f t="shared" si="12"/>
        <v>0</v>
      </c>
    </row>
    <row r="41" spans="1:18" ht="16.05" customHeight="1" x14ac:dyDescent="0.3">
      <c r="B41" s="189" t="s">
        <v>80</v>
      </c>
      <c r="C41" s="188"/>
      <c r="D41" s="35">
        <v>5399</v>
      </c>
      <c r="E41" s="35" t="s">
        <v>81</v>
      </c>
      <c r="F41" s="34" t="s">
        <v>36</v>
      </c>
      <c r="G41" s="37">
        <f>VLOOKUP($Q$7,PSC!$A$2:$L$31,12,FALSE)</f>
        <v>24.99</v>
      </c>
      <c r="H41" s="35" t="s">
        <v>76</v>
      </c>
      <c r="I41" s="35">
        <v>7898969895392</v>
      </c>
      <c r="J41" s="35">
        <v>17898969895399</v>
      </c>
      <c r="K41" s="36">
        <f>VLOOKUP($Q$7,'ST MULTI 500 POUCH'!A:B,2,FALSE)</f>
        <v>0.12</v>
      </c>
      <c r="L41" s="37">
        <f>VLOOKUP($Q$7,PREÇOS!$A$2:$L$31,12,FALSE)</f>
        <v>14.21</v>
      </c>
      <c r="M41" s="38">
        <f t="shared" si="8"/>
        <v>170.52</v>
      </c>
      <c r="N41" s="39">
        <f>IF($K$8="SIM",VLOOKUP($Q$7,'ST MULTI 500 POUCH'!$A$1:$J$31,10,FALSE),VLOOKUP($Q$7,'ST MULTI 500 POUCH'!$A$1:$J$31,9,FALSE))</f>
        <v>2.0368614000000003</v>
      </c>
      <c r="O41" s="40">
        <f t="shared" si="9"/>
        <v>194.9623368</v>
      </c>
      <c r="P41" s="41"/>
      <c r="Q41" s="42">
        <f>P41*M41</f>
        <v>0</v>
      </c>
      <c r="R41" s="40">
        <f t="shared" si="12"/>
        <v>0</v>
      </c>
    </row>
    <row r="42" spans="1:18" ht="16.05" customHeight="1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55"/>
      <c r="Q42" s="55"/>
      <c r="R42" s="55"/>
    </row>
    <row r="43" spans="1:18" ht="16.05" customHeight="1" x14ac:dyDescent="0.3">
      <c r="B43" s="189" t="s">
        <v>82</v>
      </c>
      <c r="C43" s="188"/>
      <c r="D43" s="35">
        <v>5375</v>
      </c>
      <c r="E43" s="34" t="s">
        <v>83</v>
      </c>
      <c r="F43" s="34" t="s">
        <v>84</v>
      </c>
      <c r="G43" s="37">
        <f>VLOOKUP($Q$7,PSC!$A$2:$L$31,8,FALSE)</f>
        <v>13.49</v>
      </c>
      <c r="H43" s="35" t="s">
        <v>64</v>
      </c>
      <c r="I43" s="35">
        <v>7898969895378</v>
      </c>
      <c r="J43" s="35">
        <v>17898969895375</v>
      </c>
      <c r="K43" s="36">
        <f>VLOOKUP($Q$7,'ST BISCOTTI'!A:B,2,FALSE)</f>
        <v>0.12</v>
      </c>
      <c r="L43" s="37">
        <f>VLOOKUP($Q$7,PREÇOS!$A$2:$L$31,8,FALSE)</f>
        <v>7.73</v>
      </c>
      <c r="M43" s="38">
        <f>L43*12</f>
        <v>92.76</v>
      </c>
      <c r="N43" s="39">
        <f>IF($K$8="SIM",VLOOKUP($Q$7,'ST BISCOTTI'!$A$1:$J$31,10,FALSE),VLOOKUP($Q$7,'ST BISCOTTI'!$A$1:$J$31,9,FALSE))</f>
        <v>1.2870913800000001</v>
      </c>
      <c r="O43" s="40">
        <f>(L43+N43)*12</f>
        <v>108.20509656</v>
      </c>
      <c r="P43" s="41"/>
      <c r="Q43" s="42">
        <f t="shared" ref="Q43:Q47" si="14">P43*M43</f>
        <v>0</v>
      </c>
      <c r="R43" s="40">
        <f t="shared" ref="R43:R47" si="15">P43*O43</f>
        <v>0</v>
      </c>
    </row>
    <row r="44" spans="1:18" ht="16.05" customHeight="1" x14ac:dyDescent="0.3">
      <c r="B44" s="187" t="s">
        <v>85</v>
      </c>
      <c r="C44" s="188"/>
      <c r="D44" s="72">
        <v>5351</v>
      </c>
      <c r="E44" s="73" t="s">
        <v>83</v>
      </c>
      <c r="F44" s="73" t="s">
        <v>84</v>
      </c>
      <c r="G44" s="44">
        <f>VLOOKUP($Q$7,PSC!$A$2:$L$31,8,FALSE)</f>
        <v>13.49</v>
      </c>
      <c r="H44" s="72" t="s">
        <v>64</v>
      </c>
      <c r="I44" s="72">
        <v>7898969895354</v>
      </c>
      <c r="J44" s="72">
        <v>17898969895351</v>
      </c>
      <c r="K44" s="74">
        <f>VLOOKUP($Q$7,'ST BISCOTTI'!A:B,2,FALSE)</f>
        <v>0.12</v>
      </c>
      <c r="L44" s="44">
        <f>VLOOKUP($Q$7,PREÇOS!$A$2:$L$31,8,FALSE)</f>
        <v>7.73</v>
      </c>
      <c r="M44" s="45">
        <f t="shared" ref="M44:M45" si="16">L44*12</f>
        <v>92.76</v>
      </c>
      <c r="N44" s="75">
        <f>IF($K$8="SIM",VLOOKUP($Q$7,'ST BISCOTTI'!$A$1:$J$31,10,FALSE),VLOOKUP($Q$7,'ST BISCOTTI'!$A$1:$J$31,9,FALSE))</f>
        <v>1.2870913800000001</v>
      </c>
      <c r="O44" s="46">
        <f t="shared" ref="O44:O47" si="17">(L44+N44)*12</f>
        <v>108.20509656</v>
      </c>
      <c r="P44" s="41"/>
      <c r="Q44" s="47">
        <f t="shared" si="14"/>
        <v>0</v>
      </c>
      <c r="R44" s="46">
        <f t="shared" si="15"/>
        <v>0</v>
      </c>
    </row>
    <row r="45" spans="1:18" ht="16.05" customHeight="1" x14ac:dyDescent="0.3">
      <c r="B45" s="189" t="s">
        <v>86</v>
      </c>
      <c r="C45" s="188"/>
      <c r="D45" s="35">
        <v>5368</v>
      </c>
      <c r="E45" s="34" t="s">
        <v>83</v>
      </c>
      <c r="F45" s="34" t="s">
        <v>84</v>
      </c>
      <c r="G45" s="37">
        <f>VLOOKUP($Q$7,PSC!$A$2:$L$31,8,FALSE)</f>
        <v>13.49</v>
      </c>
      <c r="H45" s="35" t="s">
        <v>64</v>
      </c>
      <c r="I45" s="35">
        <v>7898969895361</v>
      </c>
      <c r="J45" s="35">
        <v>17898969895368</v>
      </c>
      <c r="K45" s="36">
        <f>VLOOKUP($Q$7,'ST BISCOTTI'!A:B,2,FALSE)</f>
        <v>0.12</v>
      </c>
      <c r="L45" s="37">
        <f>VLOOKUP($Q$7,PREÇOS!$A$2:$L$31,8,FALSE)</f>
        <v>7.73</v>
      </c>
      <c r="M45" s="38">
        <f t="shared" si="16"/>
        <v>92.76</v>
      </c>
      <c r="N45" s="39">
        <f>IF($K$8="SIM",VLOOKUP($Q$7,'ST BISCOTTI'!$A$1:$J$31,10,FALSE),VLOOKUP($Q$7,'ST BISCOTTI'!$A$1:$J$31,9,FALSE))</f>
        <v>1.2870913800000001</v>
      </c>
      <c r="O45" s="40">
        <f t="shared" si="17"/>
        <v>108.20509656</v>
      </c>
      <c r="P45" s="41"/>
      <c r="Q45" s="42">
        <f t="shared" si="14"/>
        <v>0</v>
      </c>
      <c r="R45" s="40">
        <f t="shared" si="15"/>
        <v>0</v>
      </c>
    </row>
    <row r="46" spans="1:18" ht="16.05" customHeight="1" x14ac:dyDescent="0.3">
      <c r="B46" s="187" t="s">
        <v>87</v>
      </c>
      <c r="C46" s="188"/>
      <c r="D46" s="72">
        <v>5597</v>
      </c>
      <c r="E46" s="73" t="s">
        <v>83</v>
      </c>
      <c r="F46" s="73" t="s">
        <v>84</v>
      </c>
      <c r="G46" s="148">
        <f>VLOOKUP($Q$7,PSC!$A$2:$L$31,8,FALSE)</f>
        <v>13.49</v>
      </c>
      <c r="H46" s="72" t="s">
        <v>64</v>
      </c>
      <c r="I46" s="72">
        <v>7898969895590</v>
      </c>
      <c r="J46" s="72">
        <v>17898969895597</v>
      </c>
      <c r="K46" s="74">
        <f>VLOOKUP($Q$7,'ST BISCOTTI'!A:B,2,FALSE)</f>
        <v>0.12</v>
      </c>
      <c r="L46" s="44">
        <f>VLOOKUP($Q$7,PREÇOS!$A$2:$L$31,8,FALSE)</f>
        <v>7.73</v>
      </c>
      <c r="M46" s="45">
        <f>L46*12</f>
        <v>92.76</v>
      </c>
      <c r="N46" s="134">
        <f>IF($K$8="SIM",VLOOKUP($Q$7,'ST BISCOTTI'!$A$1:$J$31,10,FALSE),VLOOKUP($Q$7,'ST BISCOTTI'!$A$1:$J$31,9,FALSE))</f>
        <v>1.2870913800000001</v>
      </c>
      <c r="O46" s="40">
        <f t="shared" si="17"/>
        <v>108.20509656</v>
      </c>
      <c r="P46" s="41"/>
      <c r="Q46" s="42">
        <f t="shared" si="14"/>
        <v>0</v>
      </c>
      <c r="R46" s="40">
        <f t="shared" si="15"/>
        <v>0</v>
      </c>
    </row>
    <row r="47" spans="1:18" ht="16.05" customHeight="1" x14ac:dyDescent="0.3">
      <c r="B47" s="189" t="s">
        <v>88</v>
      </c>
      <c r="C47" s="188"/>
      <c r="D47" s="146">
        <v>5580</v>
      </c>
      <c r="E47" s="34" t="s">
        <v>83</v>
      </c>
      <c r="F47" s="34" t="s">
        <v>84</v>
      </c>
      <c r="G47" s="37">
        <f>VLOOKUP($Q$7,PSC!$A$2:$L$31,8,FALSE)</f>
        <v>13.49</v>
      </c>
      <c r="H47" s="35" t="s">
        <v>64</v>
      </c>
      <c r="I47" s="147">
        <v>7898969895583</v>
      </c>
      <c r="J47" s="147">
        <v>17898969895580</v>
      </c>
      <c r="K47" s="36">
        <f>VLOOKUP($Q$7,'ST BISCOTTI'!A:B,2,FALSE)</f>
        <v>0.12</v>
      </c>
      <c r="L47" s="37">
        <f>VLOOKUP($Q$7,PREÇOS!$A$2:$L$31,8,FALSE)</f>
        <v>7.73</v>
      </c>
      <c r="M47" s="38">
        <f>L47*12</f>
        <v>92.76</v>
      </c>
      <c r="N47" s="39">
        <f>IF($K$8="SIM",VLOOKUP($Q$7,'ST BISCOTTI'!$A$1:$J$31,10,FALSE),VLOOKUP($Q$7,'ST BISCOTTI'!$A$1:$J$31,9,FALSE))</f>
        <v>1.2870913800000001</v>
      </c>
      <c r="O47" s="40">
        <f t="shared" si="17"/>
        <v>108.20509656</v>
      </c>
      <c r="P47" s="41"/>
      <c r="Q47" s="42">
        <f t="shared" si="14"/>
        <v>0</v>
      </c>
      <c r="R47" s="40">
        <f t="shared" si="15"/>
        <v>0</v>
      </c>
    </row>
    <row r="48" spans="1:18" ht="16.05" customHeight="1" x14ac:dyDescent="0.3">
      <c r="M48" s="84"/>
    </row>
    <row r="49" spans="2:18" ht="16.05" customHeight="1" x14ac:dyDescent="0.3">
      <c r="B49" s="189" t="s">
        <v>89</v>
      </c>
      <c r="C49" s="188"/>
      <c r="D49" s="35">
        <v>5610</v>
      </c>
      <c r="E49" s="34" t="s">
        <v>90</v>
      </c>
      <c r="F49" s="34" t="s">
        <v>36</v>
      </c>
      <c r="G49" s="37">
        <f>VLOOKUP($Q$7,PSC!$A$2:$N$31,14,FALSE)</f>
        <v>18.989999999999998</v>
      </c>
      <c r="H49" s="35" t="s">
        <v>37</v>
      </c>
      <c r="I49" s="35">
        <v>7898969895613</v>
      </c>
      <c r="J49" s="35">
        <v>17898969895610</v>
      </c>
      <c r="K49" s="36">
        <f>VLOOKUP($Q$7,'ST PAPAPASTA'!A:B,2,FALSE)</f>
        <v>0.12</v>
      </c>
      <c r="L49" s="37">
        <f>VLOOKUP($Q$7,PREÇOS!$A$2:$N$31,14,FALSE)</f>
        <v>12.378947368421052</v>
      </c>
      <c r="M49" s="38">
        <f>L49*6</f>
        <v>74.273684210526312</v>
      </c>
      <c r="N49" s="39">
        <v>0</v>
      </c>
      <c r="O49" s="40">
        <f>(L49+N49)*6</f>
        <v>74.273684210526312</v>
      </c>
      <c r="P49" s="41"/>
      <c r="Q49" s="42">
        <f t="shared" ref="Q49:Q52" si="18">P49*M49</f>
        <v>0</v>
      </c>
      <c r="R49" s="40">
        <f t="shared" ref="R49:R52" si="19">P49*O49</f>
        <v>0</v>
      </c>
    </row>
    <row r="50" spans="2:18" ht="16.05" customHeight="1" x14ac:dyDescent="0.3">
      <c r="B50" s="187" t="s">
        <v>91</v>
      </c>
      <c r="C50" s="188"/>
      <c r="D50" s="72">
        <v>5634</v>
      </c>
      <c r="E50" s="73" t="s">
        <v>90</v>
      </c>
      <c r="F50" s="73" t="s">
        <v>36</v>
      </c>
      <c r="G50" s="148">
        <f>VLOOKUP($Q$7,PSC!$A$2:$N$31,14,FALSE)</f>
        <v>18.989999999999998</v>
      </c>
      <c r="H50" s="72" t="s">
        <v>37</v>
      </c>
      <c r="I50" s="72">
        <v>7898969895637</v>
      </c>
      <c r="J50" s="72">
        <v>17898969895634</v>
      </c>
      <c r="K50" s="74">
        <f>VLOOKUP($Q$7,'ST PAPAPASTA'!A:B,2,FALSE)</f>
        <v>0.12</v>
      </c>
      <c r="L50" s="44">
        <f>VLOOKUP($Q$7,PREÇOS!$A$2:$N$31,14,FALSE)</f>
        <v>12.378947368421052</v>
      </c>
      <c r="M50" s="45">
        <f>L50*6</f>
        <v>74.273684210526312</v>
      </c>
      <c r="N50" s="134">
        <v>0</v>
      </c>
      <c r="O50" s="40">
        <f t="shared" ref="O50:O52" si="20">(L50+N50)*6</f>
        <v>74.273684210526312</v>
      </c>
      <c r="P50" s="41"/>
      <c r="Q50" s="42">
        <f t="shared" si="18"/>
        <v>0</v>
      </c>
      <c r="R50" s="40">
        <f t="shared" si="19"/>
        <v>0</v>
      </c>
    </row>
    <row r="51" spans="2:18" ht="16.05" customHeight="1" x14ac:dyDescent="0.3">
      <c r="B51" s="189" t="s">
        <v>92</v>
      </c>
      <c r="C51" s="188"/>
      <c r="D51" s="35">
        <v>5627</v>
      </c>
      <c r="E51" s="34" t="s">
        <v>90</v>
      </c>
      <c r="F51" s="34" t="s">
        <v>93</v>
      </c>
      <c r="G51" s="37">
        <f>VLOOKUP($Q$7,PSC!$A$2:$N$31,14,FALSE)</f>
        <v>18.989999999999998</v>
      </c>
      <c r="H51" s="35" t="s">
        <v>37</v>
      </c>
      <c r="I51" s="35">
        <v>7898969895620</v>
      </c>
      <c r="J51" s="35">
        <v>17898969895627</v>
      </c>
      <c r="K51" s="36">
        <f>VLOOKUP($Q$7,'ST PAPAPASTA'!A:B,2,FALSE)</f>
        <v>0.12</v>
      </c>
      <c r="L51" s="37">
        <f>VLOOKUP($Q$7,PREÇOS!$A$2:$N$31,14,FALSE)</f>
        <v>12.378947368421052</v>
      </c>
      <c r="M51" s="38">
        <f t="shared" ref="M51:M52" si="21">L51*6</f>
        <v>74.273684210526312</v>
      </c>
      <c r="N51" s="39">
        <v>0</v>
      </c>
      <c r="O51" s="40">
        <f t="shared" si="20"/>
        <v>74.273684210526312</v>
      </c>
      <c r="P51" s="41"/>
      <c r="Q51" s="42">
        <f t="shared" si="18"/>
        <v>0</v>
      </c>
      <c r="R51" s="40">
        <f t="shared" si="19"/>
        <v>0</v>
      </c>
    </row>
    <row r="52" spans="2:18" ht="16.05" customHeight="1" x14ac:dyDescent="0.3">
      <c r="B52" s="187" t="s">
        <v>94</v>
      </c>
      <c r="C52" s="188"/>
      <c r="D52" s="72">
        <v>5603</v>
      </c>
      <c r="E52" s="73" t="s">
        <v>90</v>
      </c>
      <c r="F52" s="73" t="s">
        <v>93</v>
      </c>
      <c r="G52" s="148">
        <f>VLOOKUP($Q$7,PSC!$A$2:$N$31,14,FALSE)</f>
        <v>18.989999999999998</v>
      </c>
      <c r="H52" s="72" t="s">
        <v>37</v>
      </c>
      <c r="I52" s="72">
        <v>7898969895606</v>
      </c>
      <c r="J52" s="72">
        <v>17898969895603</v>
      </c>
      <c r="K52" s="74">
        <f>VLOOKUP($Q$7,'ST PAPAPASTA'!A:B,2,FALSE)</f>
        <v>0.12</v>
      </c>
      <c r="L52" s="44">
        <f>VLOOKUP($Q$7,PREÇOS!$A$2:$N$31,14,FALSE)</f>
        <v>12.378947368421052</v>
      </c>
      <c r="M52" s="45">
        <f t="shared" si="21"/>
        <v>74.273684210526312</v>
      </c>
      <c r="N52" s="134">
        <v>0</v>
      </c>
      <c r="O52" s="40">
        <f t="shared" si="20"/>
        <v>74.273684210526312</v>
      </c>
      <c r="P52" s="41"/>
      <c r="Q52" s="42">
        <f t="shared" si="18"/>
        <v>0</v>
      </c>
      <c r="R52" s="40">
        <f t="shared" si="19"/>
        <v>0</v>
      </c>
    </row>
    <row r="53" spans="2:18" ht="16.05" customHeight="1" x14ac:dyDescent="0.3">
      <c r="M53" s="84"/>
    </row>
    <row r="54" spans="2:18" ht="16.05" customHeight="1" x14ac:dyDescent="0.3">
      <c r="B54" s="189" t="s">
        <v>183</v>
      </c>
      <c r="C54" s="188"/>
      <c r="D54" s="35">
        <v>5670</v>
      </c>
      <c r="E54" s="34" t="s">
        <v>162</v>
      </c>
      <c r="F54" s="34" t="s">
        <v>58</v>
      </c>
      <c r="G54" s="37">
        <f>VLOOKUP($Q$7,PSC!$A$2:$Q$31,15,FALSE)</f>
        <v>6.99</v>
      </c>
      <c r="H54" s="35" t="s">
        <v>59</v>
      </c>
      <c r="I54" s="35">
        <v>7898969895811</v>
      </c>
      <c r="J54" s="35">
        <v>17898969895818</v>
      </c>
      <c r="K54" s="36">
        <f>VLOOKUP($Q$7,'ST EXTRUSADOS'!A:B,2,FALSE)</f>
        <v>0.12</v>
      </c>
      <c r="L54" s="37">
        <f>VLOOKUP($Q$7,PREÇOS!$A$2:$Q$31,15,FALSE)</f>
        <v>4.3499999999999996</v>
      </c>
      <c r="M54" s="38">
        <f>L54*18</f>
        <v>78.3</v>
      </c>
      <c r="N54" s="39">
        <f>IF($K$8="SIM",VLOOKUP($Q$7,'ST EXTRUSADOS'!$A$1:$J$31,10,FALSE),VLOOKUP($Q$7,'ST EXTRUSADOS'!$A$1:$J$31,9,FALSE))</f>
        <v>0</v>
      </c>
      <c r="O54" s="40">
        <f>(L54+N54)*18</f>
        <v>78.3</v>
      </c>
      <c r="P54" s="41"/>
      <c r="Q54" s="42">
        <f t="shared" ref="Q54:Q56" si="22">P54*M54</f>
        <v>0</v>
      </c>
      <c r="R54" s="40">
        <f t="shared" ref="R54:R56" si="23">P54*O54</f>
        <v>0</v>
      </c>
    </row>
    <row r="55" spans="2:18" ht="16.05" customHeight="1" x14ac:dyDescent="0.3">
      <c r="B55" s="187" t="s">
        <v>184</v>
      </c>
      <c r="C55" s="188"/>
      <c r="D55" s="72">
        <v>5671</v>
      </c>
      <c r="E55" s="73" t="s">
        <v>162</v>
      </c>
      <c r="F55" s="73" t="s">
        <v>58</v>
      </c>
      <c r="G55" s="44">
        <f>VLOOKUP($Q$7,PSC!$A$2:$Q$31,15,FALSE)</f>
        <v>6.99</v>
      </c>
      <c r="H55" s="72" t="s">
        <v>59</v>
      </c>
      <c r="I55" s="72">
        <v>7898969895804</v>
      </c>
      <c r="J55" s="72">
        <v>17898969895801</v>
      </c>
      <c r="K55" s="74">
        <f>VLOOKUP($Q$7,'ST EXTRUSADOS'!A:B,2,FALSE)</f>
        <v>0.12</v>
      </c>
      <c r="L55" s="44">
        <f>VLOOKUP($Q$7,PREÇOS!$A$2:$Q$31,15,FALSE)</f>
        <v>4.3499999999999996</v>
      </c>
      <c r="M55" s="45">
        <f t="shared" ref="M55:M56" si="24">L55*18</f>
        <v>78.3</v>
      </c>
      <c r="N55" s="75">
        <f>IF($K$8="SIM",VLOOKUP($Q$7,'ST EXTRUSADOS'!$A$1:$J$31,10,FALSE),VLOOKUP($Q$7,'ST EXTRUSADOS'!$A$1:$J$31,9,FALSE))</f>
        <v>0</v>
      </c>
      <c r="O55" s="46">
        <f t="shared" ref="O55:O56" si="25">(L55+N55)*18</f>
        <v>78.3</v>
      </c>
      <c r="P55" s="41"/>
      <c r="Q55" s="47">
        <f t="shared" si="22"/>
        <v>0</v>
      </c>
      <c r="R55" s="46">
        <f t="shared" si="23"/>
        <v>0</v>
      </c>
    </row>
    <row r="56" spans="2:18" ht="16.05" customHeight="1" x14ac:dyDescent="0.3">
      <c r="B56" s="189" t="s">
        <v>185</v>
      </c>
      <c r="C56" s="188"/>
      <c r="D56" s="35">
        <v>5673</v>
      </c>
      <c r="E56" s="34" t="s">
        <v>162</v>
      </c>
      <c r="F56" s="34" t="s">
        <v>58</v>
      </c>
      <c r="G56" s="37">
        <f>VLOOKUP($Q$7,PSC!$A$2:$Q$31,15,FALSE)</f>
        <v>6.99</v>
      </c>
      <c r="H56" s="35" t="s">
        <v>59</v>
      </c>
      <c r="I56" s="35">
        <v>7898969895798</v>
      </c>
      <c r="J56" s="35">
        <v>17898969895795</v>
      </c>
      <c r="K56" s="36">
        <f>VLOOKUP($Q$7,'ST EXTRUSADOS'!A:B,2,FALSE)</f>
        <v>0.12</v>
      </c>
      <c r="L56" s="37">
        <f>VLOOKUP($Q$7,PREÇOS!$A$2:$Q$31,15,FALSE)</f>
        <v>4.3499999999999996</v>
      </c>
      <c r="M56" s="38">
        <f t="shared" si="24"/>
        <v>78.3</v>
      </c>
      <c r="N56" s="39">
        <f>IF($K$8="SIM",VLOOKUP($Q$7,'ST EXTRUSADOS'!$A$1:$J$31,10,FALSE),VLOOKUP($Q$7,'ST EXTRUSADOS'!$A$1:$J$31,9,FALSE))</f>
        <v>0</v>
      </c>
      <c r="O56" s="40">
        <f t="shared" si="25"/>
        <v>78.3</v>
      </c>
      <c r="P56" s="41"/>
      <c r="Q56" s="42">
        <f t="shared" si="22"/>
        <v>0</v>
      </c>
      <c r="R56" s="40">
        <f t="shared" si="23"/>
        <v>0</v>
      </c>
    </row>
    <row r="57" spans="2:18" ht="16.05" customHeight="1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55"/>
      <c r="P57" s="49"/>
      <c r="Q57" s="55"/>
      <c r="R57" s="55"/>
    </row>
    <row r="58" spans="2:18" ht="16.05" customHeight="1" x14ac:dyDescent="0.3">
      <c r="B58" s="195" t="s">
        <v>186</v>
      </c>
      <c r="C58" s="188"/>
      <c r="D58" s="150">
        <v>5677</v>
      </c>
      <c r="E58" s="151" t="s">
        <v>163</v>
      </c>
      <c r="F58" s="151" t="s">
        <v>84</v>
      </c>
      <c r="G58" s="148">
        <f>VLOOKUP($Q$7,PSC!$A$2:$Q$31,16,FALSE)</f>
        <v>7.6</v>
      </c>
      <c r="H58" s="150" t="s">
        <v>64</v>
      </c>
      <c r="I58" s="150">
        <v>7898969895828</v>
      </c>
      <c r="J58" s="150">
        <v>17898969895917</v>
      </c>
      <c r="K58" s="152">
        <f>VLOOKUP($Q$7,'ST RECHEADOS'!A:B,2,FALSE)</f>
        <v>0.12</v>
      </c>
      <c r="L58" s="148">
        <f>VLOOKUP($Q$7,PREÇOS!$A$2:$Q$31,16,FALSE)</f>
        <v>5</v>
      </c>
      <c r="M58" s="153">
        <f>L58*8</f>
        <v>40</v>
      </c>
      <c r="N58" s="134">
        <f>IF($K$8="SIM",VLOOKUP($Q$7,'ST RECHEADOS'!$A$1:$J$31,10,FALSE),VLOOKUP($Q$7,'ST RECHEADOS'!$A$1:$J$31,9,FALSE))</f>
        <v>0.83252999999999988</v>
      </c>
      <c r="O58" s="154">
        <f>(L58+N58)*8</f>
        <v>46.660240000000002</v>
      </c>
      <c r="P58" s="41"/>
      <c r="Q58" s="155">
        <f t="shared" ref="Q58:Q59" si="26">P58*M58</f>
        <v>0</v>
      </c>
      <c r="R58" s="154">
        <f t="shared" ref="R58:R59" si="27">P58*O58</f>
        <v>0</v>
      </c>
    </row>
    <row r="59" spans="2:18" ht="16.05" customHeight="1" x14ac:dyDescent="0.3">
      <c r="B59" s="189" t="s">
        <v>187</v>
      </c>
      <c r="C59" s="188"/>
      <c r="D59" s="35">
        <v>5678</v>
      </c>
      <c r="E59" s="34" t="s">
        <v>163</v>
      </c>
      <c r="F59" s="34" t="s">
        <v>84</v>
      </c>
      <c r="G59" s="37">
        <f>VLOOKUP($Q$7,PSC!$A$2:$Q$31,16,FALSE)</f>
        <v>7.6</v>
      </c>
      <c r="H59" s="35" t="s">
        <v>64</v>
      </c>
      <c r="I59" s="35">
        <v>7898969895835</v>
      </c>
      <c r="J59" s="35">
        <v>17898969895900</v>
      </c>
      <c r="K59" s="36">
        <f>VLOOKUP($Q$7,'ST RECHEADOS'!A:B,2,FALSE)</f>
        <v>0.12</v>
      </c>
      <c r="L59" s="37">
        <f>VLOOKUP($Q$7,PREÇOS!$A$2:$Q$31,16,FALSE)</f>
        <v>5</v>
      </c>
      <c r="M59" s="38">
        <f>L59*8</f>
        <v>40</v>
      </c>
      <c r="N59" s="39">
        <f>IF($K$8="SIM",VLOOKUP($Q$7,'ST RECHEADOS'!$A$1:$J$31,10,FALSE),VLOOKUP($Q$7,'ST RECHEADOS'!$A$1:$J$31,9,FALSE))</f>
        <v>0.83252999999999988</v>
      </c>
      <c r="O59" s="40">
        <f>(L59+N59)*8</f>
        <v>46.660240000000002</v>
      </c>
      <c r="P59" s="41"/>
      <c r="Q59" s="42">
        <f t="shared" si="26"/>
        <v>0</v>
      </c>
      <c r="R59" s="40">
        <f t="shared" si="27"/>
        <v>0</v>
      </c>
    </row>
    <row r="60" spans="2:18" ht="16.05" customHeight="1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55"/>
      <c r="P60" s="49"/>
      <c r="Q60" s="55"/>
      <c r="R60" s="55"/>
    </row>
    <row r="61" spans="2:18" ht="16.05" customHeight="1" x14ac:dyDescent="0.3">
      <c r="B61" s="189" t="s">
        <v>188</v>
      </c>
      <c r="C61" s="188"/>
      <c r="D61" s="35">
        <v>5680</v>
      </c>
      <c r="E61" s="34" t="s">
        <v>164</v>
      </c>
      <c r="F61" s="34" t="s">
        <v>165</v>
      </c>
      <c r="G61" s="37">
        <f>VLOOKUP($Q$7,PSC!$A$2:$Q$31,17,FALSE)</f>
        <v>3.99</v>
      </c>
      <c r="H61" s="35" t="s">
        <v>166</v>
      </c>
      <c r="I61" s="35">
        <v>7898969895880</v>
      </c>
      <c r="J61" s="35">
        <v>17898969895887</v>
      </c>
      <c r="K61" s="36">
        <f>VLOOKUP($Q$7,'ST PAPAPASTA'!A:B,2,FALSE)</f>
        <v>0.12</v>
      </c>
      <c r="L61" s="37">
        <f>VLOOKUP($Q$7,PREÇOS!$A$2:$Q$31,17,FALSE)</f>
        <v>2.5</v>
      </c>
      <c r="M61" s="38">
        <f>L61*27</f>
        <v>67.5</v>
      </c>
      <c r="N61" s="39">
        <v>0</v>
      </c>
      <c r="O61" s="40">
        <f>(L61+N61)*27</f>
        <v>67.5</v>
      </c>
      <c r="P61" s="41"/>
      <c r="Q61" s="42">
        <f t="shared" ref="Q61:Q64" si="28">P61*M61</f>
        <v>0</v>
      </c>
      <c r="R61" s="40">
        <f t="shared" ref="R61:R64" si="29">P61*O61</f>
        <v>0</v>
      </c>
    </row>
    <row r="62" spans="2:18" ht="16.05" customHeight="1" x14ac:dyDescent="0.3">
      <c r="B62" s="187" t="s">
        <v>189</v>
      </c>
      <c r="C62" s="188"/>
      <c r="D62" s="72">
        <v>5681</v>
      </c>
      <c r="E62" s="73" t="s">
        <v>164</v>
      </c>
      <c r="F62" s="73" t="s">
        <v>165</v>
      </c>
      <c r="G62" s="44">
        <f>VLOOKUP($Q$7,PSC!$A$2:$Q$31,17,FALSE)</f>
        <v>3.99</v>
      </c>
      <c r="H62" s="72" t="s">
        <v>166</v>
      </c>
      <c r="I62" s="72">
        <v>7898969895859</v>
      </c>
      <c r="J62" s="72">
        <v>17898969895856</v>
      </c>
      <c r="K62" s="74">
        <f>VLOOKUP($Q$7,'ST PAPAPASTA'!A:B,2,FALSE)</f>
        <v>0.12</v>
      </c>
      <c r="L62" s="44">
        <f>VLOOKUP($Q$7,PREÇOS!$A$2:$Q$31,17,FALSE)</f>
        <v>2.5</v>
      </c>
      <c r="M62" s="45">
        <f t="shared" ref="M62:M66" si="30">L62*27</f>
        <v>67.5</v>
      </c>
      <c r="N62" s="75">
        <v>0</v>
      </c>
      <c r="O62" s="46">
        <f t="shared" ref="O62:O64" si="31">(L62+N62)*27</f>
        <v>67.5</v>
      </c>
      <c r="P62" s="41"/>
      <c r="Q62" s="47">
        <f t="shared" si="28"/>
        <v>0</v>
      </c>
      <c r="R62" s="46">
        <f t="shared" si="29"/>
        <v>0</v>
      </c>
    </row>
    <row r="63" spans="2:18" ht="16.05" customHeight="1" x14ac:dyDescent="0.3">
      <c r="B63" s="189" t="s">
        <v>190</v>
      </c>
      <c r="C63" s="188"/>
      <c r="D63" s="35">
        <v>5682</v>
      </c>
      <c r="E63" s="34" t="s">
        <v>164</v>
      </c>
      <c r="F63" s="34" t="s">
        <v>165</v>
      </c>
      <c r="G63" s="37">
        <f>VLOOKUP($Q$7,PSC!$A$2:$Q$31,17,FALSE)</f>
        <v>3.99</v>
      </c>
      <c r="H63" s="35" t="s">
        <v>166</v>
      </c>
      <c r="I63" s="35">
        <v>7898969895866</v>
      </c>
      <c r="J63" s="35">
        <v>17898969895863</v>
      </c>
      <c r="K63" s="36">
        <f>VLOOKUP($Q$7,'ST PAPAPASTA'!A:B,2,FALSE)</f>
        <v>0.12</v>
      </c>
      <c r="L63" s="37">
        <f>VLOOKUP($Q$7,PREÇOS!$A$2:$Q$31,17,FALSE)</f>
        <v>2.5</v>
      </c>
      <c r="M63" s="38">
        <f t="shared" si="30"/>
        <v>67.5</v>
      </c>
      <c r="N63" s="39">
        <v>0</v>
      </c>
      <c r="O63" s="40">
        <f t="shared" si="31"/>
        <v>67.5</v>
      </c>
      <c r="P63" s="41"/>
      <c r="Q63" s="42">
        <f t="shared" si="28"/>
        <v>0</v>
      </c>
      <c r="R63" s="40">
        <f t="shared" si="29"/>
        <v>0</v>
      </c>
    </row>
    <row r="64" spans="2:18" ht="16.05" customHeight="1" x14ac:dyDescent="0.3">
      <c r="B64" s="187" t="s">
        <v>191</v>
      </c>
      <c r="C64" s="188"/>
      <c r="D64" s="72">
        <v>5683</v>
      </c>
      <c r="E64" s="73" t="s">
        <v>164</v>
      </c>
      <c r="F64" s="73" t="s">
        <v>165</v>
      </c>
      <c r="G64" s="44">
        <f>VLOOKUP($Q$7,PSC!$A$2:$Q$31,17,FALSE)</f>
        <v>3.99</v>
      </c>
      <c r="H64" s="72" t="s">
        <v>166</v>
      </c>
      <c r="I64" s="72">
        <v>7898969895873</v>
      </c>
      <c r="J64" s="72">
        <v>17898969895870</v>
      </c>
      <c r="K64" s="74">
        <f>VLOOKUP($Q$7,'ST PAPAPASTA'!A:B,2,FALSE)</f>
        <v>0.12</v>
      </c>
      <c r="L64" s="44">
        <f>VLOOKUP($Q$7,PREÇOS!$A$2:$Q$31,17,FALSE)</f>
        <v>2.5</v>
      </c>
      <c r="M64" s="45">
        <f t="shared" si="30"/>
        <v>67.5</v>
      </c>
      <c r="N64" s="75">
        <v>0</v>
      </c>
      <c r="O64" s="46">
        <f t="shared" si="31"/>
        <v>67.5</v>
      </c>
      <c r="P64" s="41"/>
      <c r="Q64" s="47">
        <f t="shared" si="28"/>
        <v>0</v>
      </c>
      <c r="R64" s="46">
        <f t="shared" si="29"/>
        <v>0</v>
      </c>
    </row>
    <row r="65" spans="2:18" ht="16.05" customHeight="1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55"/>
      <c r="P65" s="49"/>
      <c r="Q65" s="55"/>
      <c r="R65" s="55"/>
    </row>
    <row r="66" spans="2:18" ht="16.05" customHeight="1" x14ac:dyDescent="0.3">
      <c r="B66" s="189" t="s">
        <v>192</v>
      </c>
      <c r="C66" s="188"/>
      <c r="D66" s="35">
        <v>5310</v>
      </c>
      <c r="E66" s="34" t="s">
        <v>164</v>
      </c>
      <c r="F66" s="34" t="s">
        <v>167</v>
      </c>
      <c r="G66" s="37">
        <f>VLOOKUP($Q$7,PSC!$A$2:$T$31,18,FALSE)</f>
        <v>4.99</v>
      </c>
      <c r="H66" s="35" t="s">
        <v>166</v>
      </c>
      <c r="I66" s="35">
        <v>7898969895897</v>
      </c>
      <c r="J66" s="35">
        <v>17898969895894</v>
      </c>
      <c r="K66" s="36">
        <f>VLOOKUP($Q$7,'ST PAPAPASTA'!A:B,2,FALSE)</f>
        <v>0.12</v>
      </c>
      <c r="L66" s="37">
        <f>VLOOKUP($Q$7,PREÇOS!$A$2:$T$31,18,FALSE)</f>
        <v>3.15</v>
      </c>
      <c r="M66" s="38">
        <f t="shared" si="30"/>
        <v>85.05</v>
      </c>
      <c r="N66" s="39">
        <v>0</v>
      </c>
      <c r="O66" s="40">
        <f t="shared" ref="O66" si="32">(L66+N66)*27</f>
        <v>85.05</v>
      </c>
      <c r="P66" s="41"/>
      <c r="Q66" s="42">
        <f t="shared" ref="Q66" si="33">P66*M66</f>
        <v>0</v>
      </c>
      <c r="R66" s="40">
        <f t="shared" ref="R66" si="34">P66*O66</f>
        <v>0</v>
      </c>
    </row>
    <row r="67" spans="2:18" ht="16.05" customHeight="1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55"/>
      <c r="P67" s="49"/>
      <c r="Q67" s="55"/>
      <c r="R67" s="55"/>
    </row>
    <row r="68" spans="2:18" ht="16.05" customHeight="1" x14ac:dyDescent="0.3">
      <c r="B68" s="189" t="s">
        <v>168</v>
      </c>
      <c r="C68" s="196"/>
      <c r="D68" s="35">
        <v>5641</v>
      </c>
      <c r="E68" s="34" t="s">
        <v>169</v>
      </c>
      <c r="F68" s="34" t="s">
        <v>170</v>
      </c>
      <c r="G68" s="37">
        <f>VLOOKUP($Q$7,PSC!$A$2:$V$31,19,FALSE)</f>
        <v>35</v>
      </c>
      <c r="H68" s="35" t="s">
        <v>171</v>
      </c>
      <c r="I68" s="35">
        <v>7898969895644</v>
      </c>
      <c r="J68" s="35">
        <v>17898969895641</v>
      </c>
      <c r="K68" s="36">
        <f>VLOOKUP($Q$7,'ST BISCOITINHOS'!A:B,2,FALSE)</f>
        <v>0.04</v>
      </c>
      <c r="L68" s="37">
        <f>VLOOKUP($Q$7,PREÇOS!$A$2:$V$31,19,FALSE)</f>
        <v>15</v>
      </c>
      <c r="M68" s="38">
        <f>L68</f>
        <v>15</v>
      </c>
      <c r="N68" s="39">
        <v>0</v>
      </c>
      <c r="O68" s="40">
        <f>(L68+N68)</f>
        <v>15</v>
      </c>
      <c r="P68" s="41"/>
      <c r="Q68" s="42">
        <f t="shared" ref="Q68:Q79" si="35">P68*M68</f>
        <v>0</v>
      </c>
      <c r="R68" s="40">
        <f t="shared" ref="R68:R79" si="36">P68*O68</f>
        <v>0</v>
      </c>
    </row>
    <row r="69" spans="2:18" ht="16.05" customHeight="1" x14ac:dyDescent="0.3">
      <c r="B69" s="156" t="s">
        <v>172</v>
      </c>
      <c r="C69" s="157"/>
      <c r="D69" s="158">
        <v>5658</v>
      </c>
      <c r="E69" s="159" t="s">
        <v>169</v>
      </c>
      <c r="F69" s="159" t="s">
        <v>170</v>
      </c>
      <c r="G69" s="160">
        <f>VLOOKUP($Q$7,PSC!$A$2:$V$31,19,FALSE)</f>
        <v>35</v>
      </c>
      <c r="H69" s="158" t="s">
        <v>171</v>
      </c>
      <c r="I69" s="158">
        <v>7898969895651</v>
      </c>
      <c r="J69" s="158">
        <v>17898969895658</v>
      </c>
      <c r="K69" s="161">
        <f>VLOOKUP($Q$7,'ST BISCOITINHOS'!A:B,2,FALSE)</f>
        <v>0.04</v>
      </c>
      <c r="L69" s="160">
        <f>VLOOKUP($Q$7,PREÇOS!$A$2:$V$31,19,FALSE)</f>
        <v>15</v>
      </c>
      <c r="M69" s="38">
        <f t="shared" ref="M69:M79" si="37">L69</f>
        <v>15</v>
      </c>
      <c r="N69" s="162">
        <v>0</v>
      </c>
      <c r="O69" s="40">
        <f t="shared" ref="O69:O79" si="38">(L69+N69)</f>
        <v>15</v>
      </c>
      <c r="P69" s="41"/>
      <c r="Q69" s="164">
        <f t="shared" si="35"/>
        <v>0</v>
      </c>
      <c r="R69" s="163">
        <f t="shared" si="36"/>
        <v>0</v>
      </c>
    </row>
    <row r="70" spans="2:18" ht="16.05" customHeight="1" x14ac:dyDescent="0.3">
      <c r="B70" s="165" t="s">
        <v>173</v>
      </c>
      <c r="C70" s="166"/>
      <c r="D70" s="35">
        <v>5665</v>
      </c>
      <c r="E70" s="34" t="s">
        <v>169</v>
      </c>
      <c r="F70" s="34" t="s">
        <v>170</v>
      </c>
      <c r="G70" s="37">
        <f>VLOOKUP($Q$7,PSC!$A$2:$V$31,19,FALSE)</f>
        <v>35</v>
      </c>
      <c r="H70" s="35" t="s">
        <v>171</v>
      </c>
      <c r="I70" s="35">
        <v>7898969895668</v>
      </c>
      <c r="J70" s="35">
        <v>17898969895665</v>
      </c>
      <c r="K70" s="36">
        <f>VLOOKUP($Q$7,'ST BISCOITINHOS'!A:B,2,FALSE)</f>
        <v>0.04</v>
      </c>
      <c r="L70" s="37">
        <f>VLOOKUP($Q$7,PREÇOS!$A$2:$V$31,19,FALSE)</f>
        <v>15</v>
      </c>
      <c r="M70" s="38">
        <f t="shared" si="37"/>
        <v>15</v>
      </c>
      <c r="N70" s="39">
        <v>0</v>
      </c>
      <c r="O70" s="40">
        <f t="shared" si="38"/>
        <v>15</v>
      </c>
      <c r="P70" s="41"/>
      <c r="Q70" s="42">
        <f t="shared" si="35"/>
        <v>0</v>
      </c>
      <c r="R70" s="40">
        <f t="shared" si="36"/>
        <v>0</v>
      </c>
    </row>
    <row r="71" spans="2:18" ht="16.05" customHeight="1" x14ac:dyDescent="0.3">
      <c r="B71" s="156" t="s">
        <v>174</v>
      </c>
      <c r="C71" s="157"/>
      <c r="D71" s="150">
        <v>5733</v>
      </c>
      <c r="E71" s="151" t="s">
        <v>169</v>
      </c>
      <c r="F71" s="151" t="s">
        <v>170</v>
      </c>
      <c r="G71" s="148">
        <f>VLOOKUP($Q$7,PSC!$A$2:$V$31,20,FALSE)</f>
        <v>35</v>
      </c>
      <c r="H71" s="150" t="s">
        <v>171</v>
      </c>
      <c r="I71" s="150">
        <v>7898969895736</v>
      </c>
      <c r="J71" s="150">
        <v>17898969895733</v>
      </c>
      <c r="K71" s="152">
        <f>VLOOKUP($Q$7,'ST BISCOITINHOS'!A:B,2,FALSE)</f>
        <v>0.04</v>
      </c>
      <c r="L71" s="148">
        <f>VLOOKUP($Q$7,PREÇOS!$A$2:$V$31,20,FALSE)</f>
        <v>13</v>
      </c>
      <c r="M71" s="38">
        <f t="shared" si="37"/>
        <v>13</v>
      </c>
      <c r="N71" s="134">
        <v>0</v>
      </c>
      <c r="O71" s="40">
        <f t="shared" si="38"/>
        <v>13</v>
      </c>
      <c r="P71" s="41"/>
      <c r="Q71" s="155">
        <f t="shared" si="35"/>
        <v>0</v>
      </c>
      <c r="R71" s="154">
        <f t="shared" si="36"/>
        <v>0</v>
      </c>
    </row>
    <row r="72" spans="2:18" ht="16.05" customHeight="1" x14ac:dyDescent="0.3">
      <c r="B72" s="165" t="s">
        <v>175</v>
      </c>
      <c r="C72" s="166"/>
      <c r="D72" s="167">
        <v>5740</v>
      </c>
      <c r="E72" s="168" t="s">
        <v>169</v>
      </c>
      <c r="F72" s="168" t="s">
        <v>170</v>
      </c>
      <c r="G72" s="169">
        <f>VLOOKUP($Q$7,PSC!$A$2:$V$31,20,FALSE)</f>
        <v>35</v>
      </c>
      <c r="H72" s="167" t="s">
        <v>171</v>
      </c>
      <c r="I72" s="167">
        <v>7898969895743</v>
      </c>
      <c r="J72" s="167">
        <v>17898969895740</v>
      </c>
      <c r="K72" s="170">
        <f>VLOOKUP($Q$7,'ST BISCOITINHOS'!A:B,2,FALSE)</f>
        <v>0.04</v>
      </c>
      <c r="L72" s="169">
        <f>VLOOKUP($Q$7,PREÇOS!$A$2:$V$31,20,FALSE)</f>
        <v>13</v>
      </c>
      <c r="M72" s="38">
        <f t="shared" si="37"/>
        <v>13</v>
      </c>
      <c r="N72" s="171">
        <v>0</v>
      </c>
      <c r="O72" s="40">
        <f t="shared" si="38"/>
        <v>13</v>
      </c>
      <c r="P72" s="41"/>
      <c r="Q72" s="173">
        <f t="shared" si="35"/>
        <v>0</v>
      </c>
      <c r="R72" s="172">
        <f t="shared" si="36"/>
        <v>0</v>
      </c>
    </row>
    <row r="73" spans="2:18" ht="16.05" customHeight="1" x14ac:dyDescent="0.3">
      <c r="B73" s="156" t="s">
        <v>176</v>
      </c>
      <c r="C73" s="157"/>
      <c r="D73" s="150">
        <v>5757</v>
      </c>
      <c r="E73" s="151" t="s">
        <v>169</v>
      </c>
      <c r="F73" s="151" t="s">
        <v>170</v>
      </c>
      <c r="G73" s="148">
        <f>VLOOKUP($Q$7,PSC!$A$2:$V$31,20,FALSE)</f>
        <v>35</v>
      </c>
      <c r="H73" s="150" t="s">
        <v>171</v>
      </c>
      <c r="I73" s="150">
        <v>7898969895750</v>
      </c>
      <c r="J73" s="150">
        <v>17898969895757</v>
      </c>
      <c r="K73" s="152">
        <f>VLOOKUP($Q$7,'ST BISCOITINHOS'!A:B,2,FALSE)</f>
        <v>0.04</v>
      </c>
      <c r="L73" s="148">
        <f>VLOOKUP($Q$7,PREÇOS!$A$2:$V$31,20,FALSE)</f>
        <v>13</v>
      </c>
      <c r="M73" s="38">
        <f t="shared" si="37"/>
        <v>13</v>
      </c>
      <c r="N73" s="134">
        <v>0</v>
      </c>
      <c r="O73" s="40">
        <f t="shared" si="38"/>
        <v>13</v>
      </c>
      <c r="P73" s="41"/>
      <c r="Q73" s="155">
        <f t="shared" si="35"/>
        <v>0</v>
      </c>
      <c r="R73" s="154">
        <f t="shared" si="36"/>
        <v>0</v>
      </c>
    </row>
    <row r="74" spans="2:18" ht="16.05" customHeight="1" x14ac:dyDescent="0.3">
      <c r="B74" s="165" t="s">
        <v>177</v>
      </c>
      <c r="C74" s="166"/>
      <c r="D74" s="35">
        <v>5702</v>
      </c>
      <c r="E74" s="34" t="s">
        <v>169</v>
      </c>
      <c r="F74" s="34" t="s">
        <v>170</v>
      </c>
      <c r="G74" s="37">
        <f>VLOOKUP($Q$7,PSC!$A$2:$V$31,21,FALSE)</f>
        <v>26</v>
      </c>
      <c r="H74" s="35" t="s">
        <v>171</v>
      </c>
      <c r="I74" s="35">
        <v>7898969895705</v>
      </c>
      <c r="J74" s="35">
        <v>17898969895702</v>
      </c>
      <c r="K74" s="36">
        <f>VLOOKUP($Q$7,'ST BISCOITINHOS'!A:B,2,FALSE)</f>
        <v>0.04</v>
      </c>
      <c r="L74" s="37">
        <f>VLOOKUP($Q$7,PREÇOS!$A$2:$V$31,21,FALSE)</f>
        <v>17</v>
      </c>
      <c r="M74" s="38">
        <f t="shared" si="37"/>
        <v>17</v>
      </c>
      <c r="N74" s="39">
        <v>0</v>
      </c>
      <c r="O74" s="40">
        <f t="shared" si="38"/>
        <v>17</v>
      </c>
      <c r="P74" s="41"/>
      <c r="Q74" s="42">
        <f t="shared" si="35"/>
        <v>0</v>
      </c>
      <c r="R74" s="40">
        <f t="shared" si="36"/>
        <v>0</v>
      </c>
    </row>
    <row r="75" spans="2:18" ht="16.05" customHeight="1" x14ac:dyDescent="0.3">
      <c r="B75" s="156" t="s">
        <v>178</v>
      </c>
      <c r="C75" s="157"/>
      <c r="D75" s="158">
        <v>5719</v>
      </c>
      <c r="E75" s="159" t="s">
        <v>169</v>
      </c>
      <c r="F75" s="159" t="s">
        <v>170</v>
      </c>
      <c r="G75" s="160">
        <f>VLOOKUP($Q$7,PSC!$A$2:$V$31,21,FALSE)</f>
        <v>26</v>
      </c>
      <c r="H75" s="158" t="s">
        <v>171</v>
      </c>
      <c r="I75" s="158">
        <v>7898969895712</v>
      </c>
      <c r="J75" s="158">
        <v>17898969895719</v>
      </c>
      <c r="K75" s="161">
        <f>VLOOKUP($Q$7,'ST BISCOITINHOS'!A:B,2,FALSE)</f>
        <v>0.04</v>
      </c>
      <c r="L75" s="160">
        <f>VLOOKUP($Q$7,PREÇOS!$A$2:$V$31,21,FALSE)</f>
        <v>17</v>
      </c>
      <c r="M75" s="38">
        <f t="shared" si="37"/>
        <v>17</v>
      </c>
      <c r="N75" s="162">
        <v>0</v>
      </c>
      <c r="O75" s="40">
        <f t="shared" si="38"/>
        <v>17</v>
      </c>
      <c r="P75" s="41"/>
      <c r="Q75" s="164">
        <f t="shared" si="35"/>
        <v>0</v>
      </c>
      <c r="R75" s="163">
        <f t="shared" si="36"/>
        <v>0</v>
      </c>
    </row>
    <row r="76" spans="2:18" ht="16.05" customHeight="1" x14ac:dyDescent="0.3">
      <c r="B76" s="165" t="s">
        <v>179</v>
      </c>
      <c r="C76" s="166"/>
      <c r="D76" s="35">
        <v>5726</v>
      </c>
      <c r="E76" s="34" t="s">
        <v>169</v>
      </c>
      <c r="F76" s="34" t="s">
        <v>170</v>
      </c>
      <c r="G76" s="37">
        <f>VLOOKUP($Q$7,PSC!$A$2:$V$31,21,FALSE)</f>
        <v>26</v>
      </c>
      <c r="H76" s="35" t="s">
        <v>171</v>
      </c>
      <c r="I76" s="35">
        <v>7898969895729</v>
      </c>
      <c r="J76" s="35">
        <v>17898969895726</v>
      </c>
      <c r="K76" s="36">
        <f>VLOOKUP($Q$7,'ST BISCOITINHOS'!A:B,2,FALSE)</f>
        <v>0.04</v>
      </c>
      <c r="L76" s="37">
        <f>VLOOKUP($Q$7,PREÇOS!$A$2:$V$31,21,FALSE)</f>
        <v>17</v>
      </c>
      <c r="M76" s="38">
        <f t="shared" si="37"/>
        <v>17</v>
      </c>
      <c r="N76" s="39">
        <v>0</v>
      </c>
      <c r="O76" s="40">
        <f t="shared" si="38"/>
        <v>17</v>
      </c>
      <c r="P76" s="41"/>
      <c r="Q76" s="42">
        <f t="shared" si="35"/>
        <v>0</v>
      </c>
      <c r="R76" s="40">
        <f t="shared" si="36"/>
        <v>0</v>
      </c>
    </row>
    <row r="77" spans="2:18" ht="16.05" customHeight="1" x14ac:dyDescent="0.3">
      <c r="B77" s="156" t="s">
        <v>180</v>
      </c>
      <c r="C77" s="157"/>
      <c r="D77" s="150">
        <v>5675</v>
      </c>
      <c r="E77" s="151" t="s">
        <v>169</v>
      </c>
      <c r="F77" s="151" t="s">
        <v>170</v>
      </c>
      <c r="G77" s="148">
        <f>VLOOKUP($Q$7,PSC!$A$2:$V$31,22,FALSE)</f>
        <v>47</v>
      </c>
      <c r="H77" s="150" t="s">
        <v>171</v>
      </c>
      <c r="I77" s="150">
        <v>7898969895675</v>
      </c>
      <c r="J77" s="150">
        <v>17898969895672</v>
      </c>
      <c r="K77" s="152">
        <f>VLOOKUP($Q$7,'ST BISCOITINHOS'!A:B,2,FALSE)</f>
        <v>0.04</v>
      </c>
      <c r="L77" s="148">
        <f>VLOOKUP($Q$7,PREÇOS!$A$2:$V$31,22,FALSE)</f>
        <v>26.29</v>
      </c>
      <c r="M77" s="38">
        <f t="shared" si="37"/>
        <v>26.29</v>
      </c>
      <c r="N77" s="134">
        <v>0</v>
      </c>
      <c r="O77" s="40">
        <f t="shared" si="38"/>
        <v>26.29</v>
      </c>
      <c r="P77" s="41"/>
      <c r="Q77" s="155">
        <f t="shared" si="35"/>
        <v>0</v>
      </c>
      <c r="R77" s="154">
        <f t="shared" si="36"/>
        <v>0</v>
      </c>
    </row>
    <row r="78" spans="2:18" ht="16.05" customHeight="1" x14ac:dyDescent="0.3">
      <c r="B78" s="165" t="s">
        <v>181</v>
      </c>
      <c r="C78" s="166"/>
      <c r="D78" s="167">
        <v>5689</v>
      </c>
      <c r="E78" s="168" t="s">
        <v>169</v>
      </c>
      <c r="F78" s="168" t="s">
        <v>170</v>
      </c>
      <c r="G78" s="169">
        <f>VLOOKUP($Q$7,PSC!$A$2:$V$31,22,FALSE)</f>
        <v>47</v>
      </c>
      <c r="H78" s="167" t="s">
        <v>171</v>
      </c>
      <c r="I78" s="167">
        <v>7898969895682</v>
      </c>
      <c r="J78" s="167">
        <v>17898969895689</v>
      </c>
      <c r="K78" s="170">
        <f>VLOOKUP($Q$7,'ST BISCOITINHOS'!A:B,2,FALSE)</f>
        <v>0.04</v>
      </c>
      <c r="L78" s="169">
        <f>VLOOKUP($Q$7,PREÇOS!$A$2:$V$31,22,FALSE)</f>
        <v>26.29</v>
      </c>
      <c r="M78" s="38">
        <f t="shared" si="37"/>
        <v>26.29</v>
      </c>
      <c r="N78" s="171">
        <v>0</v>
      </c>
      <c r="O78" s="40">
        <f t="shared" si="38"/>
        <v>26.29</v>
      </c>
      <c r="P78" s="41"/>
      <c r="Q78" s="173">
        <f t="shared" si="35"/>
        <v>0</v>
      </c>
      <c r="R78" s="172">
        <f t="shared" si="36"/>
        <v>0</v>
      </c>
    </row>
    <row r="79" spans="2:18" ht="16.05" customHeight="1" x14ac:dyDescent="0.3">
      <c r="B79" s="156" t="s">
        <v>182</v>
      </c>
      <c r="C79" s="157"/>
      <c r="D79" s="150">
        <v>5696</v>
      </c>
      <c r="E79" s="151" t="s">
        <v>169</v>
      </c>
      <c r="F79" s="151" t="s">
        <v>170</v>
      </c>
      <c r="G79" s="148">
        <f>VLOOKUP($Q$7,PSC!$A$2:$V$31,22,FALSE)</f>
        <v>47</v>
      </c>
      <c r="H79" s="150" t="s">
        <v>171</v>
      </c>
      <c r="I79" s="150">
        <v>7898969895699</v>
      </c>
      <c r="J79" s="150">
        <v>17898969895696</v>
      </c>
      <c r="K79" s="152">
        <f>VLOOKUP($Q$7,'ST BISCOITINHOS'!A:B,2,FALSE)</f>
        <v>0.04</v>
      </c>
      <c r="L79" s="148">
        <f>VLOOKUP($Q$7,PREÇOS!$A$2:$V$31,22,FALSE)</f>
        <v>26.29</v>
      </c>
      <c r="M79" s="38">
        <f t="shared" si="37"/>
        <v>26.29</v>
      </c>
      <c r="N79" s="134">
        <v>0</v>
      </c>
      <c r="O79" s="40">
        <f t="shared" si="38"/>
        <v>26.29</v>
      </c>
      <c r="P79" s="41"/>
      <c r="Q79" s="155">
        <f t="shared" si="35"/>
        <v>0</v>
      </c>
      <c r="R79" s="154">
        <f t="shared" si="36"/>
        <v>0</v>
      </c>
    </row>
    <row r="80" spans="2:18" ht="19.5" customHeight="1" x14ac:dyDescent="0.3">
      <c r="M80" s="84"/>
    </row>
    <row r="81" spans="14:18" ht="15" thickBot="1" x14ac:dyDescent="0.35"/>
    <row r="82" spans="14:18" ht="15" thickBot="1" x14ac:dyDescent="0.35">
      <c r="O82" s="85" t="s">
        <v>95</v>
      </c>
      <c r="P82" s="86"/>
      <c r="Q82" s="87"/>
      <c r="R82" s="15">
        <f>SUM(Q17:Q22,Q14:Q15,Q11:Q12,Q24:Q26,Q28:Q29,Q31:Q32,Q34:Q36,Q38:Q41,Q43:Q47,Q49:Q52,Q54:Q56,Q58:Q59,Q61:Q64,Q66,Q68:Q79)</f>
        <v>0</v>
      </c>
    </row>
    <row r="83" spans="14:18" ht="15" thickBot="1" x14ac:dyDescent="0.35">
      <c r="P83" s="49"/>
      <c r="Q83" s="88"/>
      <c r="R83" s="16"/>
    </row>
    <row r="84" spans="14:18" ht="15" thickBot="1" x14ac:dyDescent="0.35">
      <c r="O84" s="85" t="s">
        <v>96</v>
      </c>
      <c r="P84" s="86"/>
      <c r="Q84" s="87"/>
      <c r="R84" s="15">
        <f>R86-R82</f>
        <v>0</v>
      </c>
    </row>
    <row r="85" spans="14:18" ht="15" thickBot="1" x14ac:dyDescent="0.35">
      <c r="O85" s="56"/>
      <c r="P85" s="49"/>
      <c r="Q85" s="88"/>
      <c r="R85" s="16"/>
    </row>
    <row r="86" spans="14:18" ht="15" thickBot="1" x14ac:dyDescent="0.35">
      <c r="O86" s="85" t="s">
        <v>97</v>
      </c>
      <c r="P86" s="86"/>
      <c r="Q86" s="87"/>
      <c r="R86" s="15">
        <f>SUM(R17:R22,R14:R15,R11:R12,R24:R26,R28:R29,R31:R32,R34:R36,R38:R41,R43:R47,R49:R52,R54:R56,R58:R59,R61:R64,R66,R68:R79)</f>
        <v>0</v>
      </c>
    </row>
    <row r="87" spans="14:18" x14ac:dyDescent="0.3">
      <c r="N87" s="49"/>
      <c r="O87" s="49"/>
      <c r="P87" s="49"/>
      <c r="Q87" s="49"/>
    </row>
  </sheetData>
  <sheetProtection algorithmName="SHA-512" hashValue="wfIAmy40bcMsD5r8JNHZ23uUa1Gq9yRCTrwEQxo3vtYmjkZ9Ek3zkoV9k100Rmc7uLoLa1qBEX/7ui62j6KoIw==" saltValue="SGRk7SYqd7/ajR5+IvVhhQ==" spinCount="100000" sheet="1" objects="1" scenarios="1"/>
  <protectedRanges>
    <protectedRange sqref="P22" name="Intervalo1"/>
    <protectedRange sqref="P38:P42" name="Intervalo1_4"/>
    <protectedRange sqref="P49:P52" name="Intervalo1_3_1_1"/>
    <protectedRange sqref="P54:P56 P68:P79 P58:P59" name="Intervalo1_3_3"/>
    <protectedRange sqref="P61:P64 P66" name="Intervalo1_3_1_3"/>
  </protectedRanges>
  <dataConsolidate/>
  <mergeCells count="45">
    <mergeCell ref="B68:C68"/>
    <mergeCell ref="B61:C61"/>
    <mergeCell ref="B62:C62"/>
    <mergeCell ref="B63:C63"/>
    <mergeCell ref="B64:C64"/>
    <mergeCell ref="B66:C66"/>
    <mergeCell ref="B54:C54"/>
    <mergeCell ref="B55:C55"/>
    <mergeCell ref="B56:C56"/>
    <mergeCell ref="B58:C58"/>
    <mergeCell ref="B59:C59"/>
    <mergeCell ref="Q7:R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26:C26"/>
    <mergeCell ref="B35:C35"/>
    <mergeCell ref="B36:C36"/>
    <mergeCell ref="B28:C28"/>
    <mergeCell ref="B29:C29"/>
    <mergeCell ref="B31:C31"/>
    <mergeCell ref="B32:C32"/>
    <mergeCell ref="B34:C34"/>
    <mergeCell ref="B50:C50"/>
    <mergeCell ref="B52:C52"/>
    <mergeCell ref="B49:C49"/>
    <mergeCell ref="B51:C51"/>
    <mergeCell ref="B38:C38"/>
    <mergeCell ref="B39:C39"/>
    <mergeCell ref="B40:C40"/>
    <mergeCell ref="B41:C41"/>
    <mergeCell ref="B46:C46"/>
    <mergeCell ref="B47:C47"/>
    <mergeCell ref="B45:C45"/>
    <mergeCell ref="B43:C43"/>
    <mergeCell ref="B44:C44"/>
  </mergeCells>
  <phoneticPr fontId="27" type="noConversion"/>
  <pageMargins left="3.937007874015748E-2" right="3.937007874015748E-2" top="0.78740157480314965" bottom="0.78740157480314965" header="0.31496062992125984" footer="0.31496062992125984"/>
  <pageSetup paperSize="9" scale="52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Q7:R7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J27" sqref="J27"/>
    </sheetView>
  </sheetViews>
  <sheetFormatPr defaultRowHeight="14.4" x14ac:dyDescent="0.3"/>
  <sheetData>
    <row r="2" spans="3:3" x14ac:dyDescent="0.3">
      <c r="C2" t="s">
        <v>98</v>
      </c>
    </row>
    <row r="3" spans="3:3" x14ac:dyDescent="0.3">
      <c r="C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J27" sqref="J2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441406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2">
        <v>0.04</v>
      </c>
      <c r="C2" s="122">
        <v>0.04</v>
      </c>
      <c r="D2" s="123"/>
      <c r="E2" s="123"/>
      <c r="F2" s="123"/>
      <c r="G2" s="123"/>
      <c r="H2" s="4">
        <f>PREÇOS!D3</f>
        <v>11.443299999999999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4" t="s">
        <v>110</v>
      </c>
      <c r="B3" s="125">
        <v>0.04</v>
      </c>
      <c r="C3" s="125">
        <v>0.2</v>
      </c>
      <c r="D3" s="94">
        <v>0.3</v>
      </c>
      <c r="E3" s="94"/>
      <c r="F3" s="94">
        <v>0.56000000000000005</v>
      </c>
      <c r="G3" s="94"/>
      <c r="H3" s="4">
        <f>PREÇOS!D4</f>
        <v>11.443299999999999</v>
      </c>
      <c r="I3" s="4">
        <f>IF(F3=0,,H3*(1+F3)*C3-(H3*B3))</f>
        <v>3.1125775999999998</v>
      </c>
      <c r="J3" s="4">
        <f t="shared" ref="J3:J26" si="0">IF(G3=0,IF(F3=0,,H3*(1+F3)*C3-(H3*B3)),H3*(1+G3)*C3-(H3*B3))</f>
        <v>3.1125775999999998</v>
      </c>
    </row>
    <row r="4" spans="1:10" x14ac:dyDescent="0.3">
      <c r="A4" s="121" t="s">
        <v>111</v>
      </c>
      <c r="B4" s="122">
        <v>0.04</v>
      </c>
      <c r="C4" s="122">
        <v>0.04</v>
      </c>
      <c r="D4" s="123"/>
      <c r="E4" s="123"/>
      <c r="F4" s="123"/>
      <c r="G4" s="123"/>
      <c r="H4" s="4">
        <f>PREÇOS!D5</f>
        <v>11.443299999999999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1" t="s">
        <v>112</v>
      </c>
      <c r="B5" s="122">
        <v>0.04</v>
      </c>
      <c r="C5" s="122">
        <v>0.18</v>
      </c>
      <c r="D5" s="123">
        <v>0.34</v>
      </c>
      <c r="E5" s="123"/>
      <c r="F5" s="123">
        <v>0.56879999999999997</v>
      </c>
      <c r="G5" s="123"/>
      <c r="H5" s="4">
        <f>PREÇOS!D6</f>
        <v>11.443299999999999</v>
      </c>
      <c r="I5" s="4">
        <f t="shared" si="1"/>
        <v>2.7736728271999995</v>
      </c>
      <c r="J5" s="4">
        <f t="shared" si="0"/>
        <v>2.7736728271999995</v>
      </c>
    </row>
    <row r="6" spans="1:10" x14ac:dyDescent="0.3">
      <c r="A6" s="121" t="s">
        <v>113</v>
      </c>
      <c r="B6" s="122">
        <v>0.04</v>
      </c>
      <c r="C6" s="122">
        <v>0.04</v>
      </c>
      <c r="D6" s="123"/>
      <c r="E6" s="123"/>
      <c r="F6" s="123"/>
      <c r="G6" s="123"/>
      <c r="H6" s="4">
        <f>PREÇOS!D7</f>
        <v>11.443299999999999</v>
      </c>
      <c r="I6" s="4">
        <f t="shared" si="1"/>
        <v>0</v>
      </c>
      <c r="J6" s="4">
        <f t="shared" si="0"/>
        <v>0</v>
      </c>
    </row>
    <row r="7" spans="1:10" x14ac:dyDescent="0.3">
      <c r="A7" s="121" t="s">
        <v>114</v>
      </c>
      <c r="B7" s="122">
        <v>0.04</v>
      </c>
      <c r="C7" s="122">
        <v>0.04</v>
      </c>
      <c r="D7" s="123"/>
      <c r="E7" s="123"/>
      <c r="F7" s="123"/>
      <c r="G7" s="123"/>
      <c r="H7" s="4">
        <f>PREÇOS!D8</f>
        <v>11.443299999999999</v>
      </c>
      <c r="I7" s="4">
        <f t="shared" si="1"/>
        <v>0</v>
      </c>
      <c r="J7" s="4">
        <f t="shared" si="0"/>
        <v>0</v>
      </c>
    </row>
    <row r="8" spans="1:10" x14ac:dyDescent="0.3">
      <c r="A8" s="121" t="s">
        <v>115</v>
      </c>
      <c r="B8" s="122">
        <v>0.04</v>
      </c>
      <c r="C8" s="122">
        <v>0.04</v>
      </c>
      <c r="D8" s="123"/>
      <c r="E8" s="123"/>
      <c r="F8" s="123"/>
      <c r="G8" s="123"/>
      <c r="H8" s="4">
        <f>PREÇOS!D9</f>
        <v>11.443299999999999</v>
      </c>
      <c r="I8" s="4">
        <f t="shared" si="1"/>
        <v>0</v>
      </c>
      <c r="J8" s="4">
        <f t="shared" si="0"/>
        <v>0</v>
      </c>
    </row>
    <row r="9" spans="1:10" x14ac:dyDescent="0.3">
      <c r="A9" s="121" t="s">
        <v>11</v>
      </c>
      <c r="B9" s="122">
        <v>0.04</v>
      </c>
      <c r="C9" s="122">
        <v>0.04</v>
      </c>
      <c r="D9" s="123"/>
      <c r="E9" s="123"/>
      <c r="F9" s="123"/>
      <c r="G9" s="123"/>
      <c r="H9" s="4">
        <f>PREÇOS!D10</f>
        <v>11.443299999999999</v>
      </c>
      <c r="I9" s="4">
        <f t="shared" si="1"/>
        <v>0</v>
      </c>
      <c r="J9" s="4">
        <f t="shared" si="0"/>
        <v>0</v>
      </c>
    </row>
    <row r="10" spans="1:10" x14ac:dyDescent="0.3">
      <c r="A10" s="121" t="s">
        <v>116</v>
      </c>
      <c r="B10" s="122">
        <v>0.04</v>
      </c>
      <c r="C10" s="122">
        <v>0.04</v>
      </c>
      <c r="D10" s="123"/>
      <c r="E10" s="123"/>
      <c r="F10" s="123"/>
      <c r="G10" s="123"/>
      <c r="H10" s="4">
        <f>PREÇOS!D11</f>
        <v>11.443299999999999</v>
      </c>
      <c r="I10" s="4">
        <f t="shared" si="1"/>
        <v>0</v>
      </c>
      <c r="J10" s="4">
        <f t="shared" si="0"/>
        <v>0</v>
      </c>
    </row>
    <row r="11" spans="1:10" x14ac:dyDescent="0.3">
      <c r="A11" s="121" t="s">
        <v>117</v>
      </c>
      <c r="B11" s="122">
        <v>0.04</v>
      </c>
      <c r="C11" s="122">
        <v>0.04</v>
      </c>
      <c r="D11" s="123"/>
      <c r="E11" s="123"/>
      <c r="F11" s="123"/>
      <c r="G11" s="123"/>
      <c r="H11" s="4">
        <f>PREÇOS!D12</f>
        <v>11.443299999999999</v>
      </c>
      <c r="I11" s="4">
        <f t="shared" si="1"/>
        <v>0</v>
      </c>
      <c r="J11" s="4">
        <f t="shared" si="0"/>
        <v>0</v>
      </c>
    </row>
    <row r="12" spans="1:10" x14ac:dyDescent="0.3">
      <c r="A12" s="124" t="s">
        <v>118</v>
      </c>
      <c r="B12" s="125">
        <v>0.04</v>
      </c>
      <c r="C12" s="125">
        <v>0.18</v>
      </c>
      <c r="D12" s="94">
        <v>0.25</v>
      </c>
      <c r="E12" s="94"/>
      <c r="F12" s="94">
        <v>0.36359999999999998</v>
      </c>
      <c r="G12" s="94"/>
      <c r="H12" s="4">
        <f>PREÇOS!D13</f>
        <v>11.443299999999999</v>
      </c>
      <c r="I12" s="4">
        <f>IF(F12=0,,H12*(1+F12)*C12-(H12*B12))</f>
        <v>2.3510030983999992</v>
      </c>
      <c r="J12" s="4">
        <f t="shared" si="0"/>
        <v>2.3510030983999992</v>
      </c>
    </row>
    <row r="13" spans="1:10" x14ac:dyDescent="0.3">
      <c r="A13" s="121" t="s">
        <v>119</v>
      </c>
      <c r="B13" s="122">
        <v>0.04</v>
      </c>
      <c r="C13" s="122">
        <v>0.04</v>
      </c>
      <c r="D13" s="123"/>
      <c r="E13" s="123"/>
      <c r="F13" s="123"/>
      <c r="G13" s="123"/>
      <c r="H13" s="4">
        <f>PREÇOS!D14</f>
        <v>11.443299999999999</v>
      </c>
      <c r="I13" s="4">
        <f t="shared" si="1"/>
        <v>0</v>
      </c>
      <c r="J13" s="4">
        <f t="shared" si="0"/>
        <v>0</v>
      </c>
    </row>
    <row r="14" spans="1:10" x14ac:dyDescent="0.3">
      <c r="A14" s="124" t="s">
        <v>120</v>
      </c>
      <c r="B14" s="125">
        <v>0.04</v>
      </c>
      <c r="C14" s="125">
        <v>0.04</v>
      </c>
      <c r="D14" s="94"/>
      <c r="E14" s="94"/>
      <c r="F14" s="94"/>
      <c r="G14" s="94"/>
      <c r="H14" s="4">
        <f>PREÇOS!D15</f>
        <v>11.443299999999999</v>
      </c>
      <c r="I14" s="4">
        <f t="shared" si="1"/>
        <v>0</v>
      </c>
      <c r="J14" s="4">
        <f t="shared" si="0"/>
        <v>0</v>
      </c>
    </row>
    <row r="15" spans="1:10" x14ac:dyDescent="0.3">
      <c r="A15" s="126" t="s">
        <v>121</v>
      </c>
      <c r="B15" s="127">
        <v>0.04</v>
      </c>
      <c r="C15" s="127">
        <v>0.04</v>
      </c>
      <c r="D15" s="128"/>
      <c r="E15" s="128"/>
      <c r="F15" s="128"/>
      <c r="G15" s="128"/>
      <c r="H15" s="4">
        <f>PREÇOS!D16</f>
        <v>11.443299999999999</v>
      </c>
      <c r="I15" s="4">
        <f t="shared" si="1"/>
        <v>0</v>
      </c>
      <c r="J15" s="4">
        <f t="shared" si="0"/>
        <v>0</v>
      </c>
    </row>
    <row r="16" spans="1:10" x14ac:dyDescent="0.3">
      <c r="A16" s="126" t="s">
        <v>122</v>
      </c>
      <c r="B16" s="127">
        <v>0.04</v>
      </c>
      <c r="C16" s="127">
        <v>0.04</v>
      </c>
      <c r="D16" s="128"/>
      <c r="E16" s="128"/>
      <c r="F16" s="128"/>
      <c r="G16" s="128"/>
      <c r="H16" s="4">
        <f>PREÇOS!D17</f>
        <v>11.443299999999999</v>
      </c>
      <c r="I16" s="4">
        <f t="shared" si="1"/>
        <v>0</v>
      </c>
      <c r="J16" s="4">
        <f t="shared" si="0"/>
        <v>0</v>
      </c>
    </row>
    <row r="17" spans="1:16" x14ac:dyDescent="0.3">
      <c r="A17" s="126" t="s">
        <v>123</v>
      </c>
      <c r="B17" s="127">
        <v>0.04</v>
      </c>
      <c r="C17" s="127">
        <v>0.04</v>
      </c>
      <c r="D17" s="128"/>
      <c r="E17" s="128"/>
      <c r="F17" s="128"/>
      <c r="G17" s="128"/>
      <c r="H17" s="4">
        <f>PREÇOS!D18</f>
        <v>11.443299999999999</v>
      </c>
      <c r="I17" s="4">
        <f t="shared" si="1"/>
        <v>0</v>
      </c>
      <c r="J17" s="4">
        <f t="shared" si="0"/>
        <v>0</v>
      </c>
    </row>
    <row r="18" spans="1:16" x14ac:dyDescent="0.3">
      <c r="A18" s="126" t="s">
        <v>124</v>
      </c>
      <c r="B18" s="127">
        <v>0.04</v>
      </c>
      <c r="C18" s="127">
        <v>0.04</v>
      </c>
      <c r="D18" s="128"/>
      <c r="E18" s="128"/>
      <c r="F18" s="128"/>
      <c r="G18" s="128"/>
      <c r="H18" s="4">
        <f>PREÇOS!D19</f>
        <v>11.443299999999999</v>
      </c>
      <c r="I18" s="4">
        <f t="shared" si="1"/>
        <v>0</v>
      </c>
      <c r="J18" s="4">
        <f t="shared" si="0"/>
        <v>0</v>
      </c>
    </row>
    <row r="19" spans="1:16" x14ac:dyDescent="0.3">
      <c r="A19" s="126" t="s">
        <v>125</v>
      </c>
      <c r="B19" s="127">
        <v>0.12</v>
      </c>
      <c r="C19" s="127">
        <v>0.12</v>
      </c>
      <c r="D19" s="128"/>
      <c r="E19" s="128"/>
      <c r="F19" s="128"/>
      <c r="G19" s="128"/>
      <c r="H19" s="4">
        <f>PREÇOS!D20</f>
        <v>12.5351</v>
      </c>
      <c r="I19" s="4">
        <f t="shared" si="1"/>
        <v>0</v>
      </c>
      <c r="J19" s="4">
        <f t="shared" si="0"/>
        <v>0</v>
      </c>
    </row>
    <row r="20" spans="1:16" x14ac:dyDescent="0.3">
      <c r="A20" s="124" t="s">
        <v>126</v>
      </c>
      <c r="B20" s="125">
        <v>0.04</v>
      </c>
      <c r="C20" s="125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11.443299999999999</v>
      </c>
      <c r="I20" s="4">
        <f>IF(F20=0,,H20*(1+F20)*C20-(H20*B20))</f>
        <v>3.7314312640000002</v>
      </c>
      <c r="J20" s="4">
        <f t="shared" si="0"/>
        <v>3.7314312640000002</v>
      </c>
    </row>
    <row r="21" spans="1:16" x14ac:dyDescent="0.3">
      <c r="A21" s="121" t="s">
        <v>127</v>
      </c>
      <c r="B21" s="122">
        <v>0.04</v>
      </c>
      <c r="C21" s="122">
        <v>0.04</v>
      </c>
      <c r="D21" s="123"/>
      <c r="E21" s="123"/>
      <c r="F21" s="123"/>
      <c r="G21" s="123"/>
      <c r="H21" s="4">
        <f>PREÇOS!D22</f>
        <v>11.443299999999999</v>
      </c>
      <c r="I21" s="4">
        <f t="shared" si="1"/>
        <v>0</v>
      </c>
      <c r="J21" s="4">
        <f t="shared" si="0"/>
        <v>0</v>
      </c>
    </row>
    <row r="22" spans="1:16" x14ac:dyDescent="0.3">
      <c r="A22" s="121" t="s">
        <v>128</v>
      </c>
      <c r="B22" s="122">
        <v>0.04</v>
      </c>
      <c r="C22" s="122">
        <v>0.04</v>
      </c>
      <c r="D22" s="123"/>
      <c r="E22" s="123"/>
      <c r="F22" s="123"/>
      <c r="G22" s="123"/>
      <c r="H22" s="4">
        <f>PREÇOS!D23</f>
        <v>11.443299999999999</v>
      </c>
      <c r="I22" s="4">
        <f t="shared" si="1"/>
        <v>0</v>
      </c>
      <c r="J22" s="4">
        <f t="shared" si="0"/>
        <v>0</v>
      </c>
    </row>
    <row r="23" spans="1:16" x14ac:dyDescent="0.3">
      <c r="A23" s="121" t="s">
        <v>129</v>
      </c>
      <c r="B23" s="122">
        <v>0.04</v>
      </c>
      <c r="C23" s="122">
        <v>0.04</v>
      </c>
      <c r="D23" s="123"/>
      <c r="E23" s="123"/>
      <c r="F23" s="123"/>
      <c r="G23" s="123"/>
      <c r="H23" s="4">
        <f>PREÇOS!D24</f>
        <v>11.443299999999999</v>
      </c>
      <c r="I23" s="4">
        <f t="shared" si="1"/>
        <v>0</v>
      </c>
      <c r="J23" s="4">
        <f t="shared" si="0"/>
        <v>0</v>
      </c>
    </row>
    <row r="24" spans="1:16" x14ac:dyDescent="0.3">
      <c r="A24" s="121" t="s">
        <v>130</v>
      </c>
      <c r="B24" s="122">
        <v>0.04</v>
      </c>
      <c r="C24" s="122">
        <v>0.04</v>
      </c>
      <c r="D24" s="123"/>
      <c r="E24" s="123"/>
      <c r="F24" s="123"/>
      <c r="G24" s="123"/>
      <c r="H24" s="4">
        <f>PREÇOS!D25</f>
        <v>11.443299999999999</v>
      </c>
      <c r="I24" s="4">
        <f t="shared" si="1"/>
        <v>0</v>
      </c>
      <c r="J24" s="4">
        <f t="shared" si="0"/>
        <v>0</v>
      </c>
    </row>
    <row r="25" spans="1:16" x14ac:dyDescent="0.3">
      <c r="A25" s="121" t="s">
        <v>131</v>
      </c>
      <c r="B25" s="122">
        <v>0.04</v>
      </c>
      <c r="C25" s="122">
        <v>0.04</v>
      </c>
      <c r="D25" s="123"/>
      <c r="E25" s="123"/>
      <c r="F25" s="123"/>
      <c r="G25" s="123"/>
      <c r="H25" s="4">
        <f>PREÇOS!D26</f>
        <v>11.443299999999999</v>
      </c>
      <c r="I25" s="4">
        <f t="shared" si="1"/>
        <v>0</v>
      </c>
      <c r="J25" s="4">
        <f t="shared" si="0"/>
        <v>0</v>
      </c>
    </row>
    <row r="26" spans="1:16" x14ac:dyDescent="0.3">
      <c r="A26" s="121" t="s">
        <v>132</v>
      </c>
      <c r="B26" s="122">
        <v>0.04</v>
      </c>
      <c r="C26" s="122">
        <v>0.04</v>
      </c>
      <c r="D26" s="123"/>
      <c r="E26" s="123"/>
      <c r="F26" s="123"/>
      <c r="G26" s="123"/>
      <c r="H26" s="4">
        <f>PREÇOS!D27</f>
        <v>11.443299999999999</v>
      </c>
      <c r="I26" s="4">
        <f t="shared" si="1"/>
        <v>0</v>
      </c>
      <c r="J26" s="4">
        <f t="shared" si="0"/>
        <v>0</v>
      </c>
    </row>
    <row r="27" spans="1:16" x14ac:dyDescent="0.3">
      <c r="A27" s="121" t="s">
        <v>133</v>
      </c>
      <c r="B27" s="122">
        <v>0.04</v>
      </c>
      <c r="C27" s="122">
        <v>0.18</v>
      </c>
      <c r="D27" s="123">
        <v>0.48320000000000002</v>
      </c>
      <c r="E27" s="123"/>
      <c r="F27" s="123">
        <v>0.61799999999999999</v>
      </c>
      <c r="G27" s="123"/>
      <c r="H27" s="4">
        <f>PREÇOS!D28</f>
        <v>11.443299999999999</v>
      </c>
      <c r="I27" s="4">
        <f t="shared" ref="I27:I30" si="2">IF(F27=0,,H27*(1+F27)*C27-(H27*B27))</f>
        <v>2.8750146919999993</v>
      </c>
      <c r="J27" s="4">
        <f t="shared" ref="J27:J30" si="3">IF(G27=0,IF(F27=0,,H27*(1+F27)*C27-(H27*B27)),H27*(1+G27)*C27-(H27*B27))</f>
        <v>2.8750146919999993</v>
      </c>
      <c r="L27" s="6"/>
      <c r="N27" s="6"/>
      <c r="P27" s="6"/>
    </row>
    <row r="28" spans="1:16" x14ac:dyDescent="0.3">
      <c r="A28" s="124" t="s">
        <v>134</v>
      </c>
      <c r="B28" s="125">
        <f>B27</f>
        <v>0.04</v>
      </c>
      <c r="C28" s="125">
        <f t="shared" ref="C28:G28" si="4">C27</f>
        <v>0.18</v>
      </c>
      <c r="D28" s="94">
        <f t="shared" si="4"/>
        <v>0.48320000000000002</v>
      </c>
      <c r="E28" s="125">
        <f t="shared" si="4"/>
        <v>0</v>
      </c>
      <c r="F28" s="94">
        <f t="shared" si="4"/>
        <v>0.61799999999999999</v>
      </c>
      <c r="G28" s="125">
        <f t="shared" si="4"/>
        <v>0</v>
      </c>
      <c r="H28" s="118">
        <f>PREÇOS!D29</f>
        <v>11.443299999999999</v>
      </c>
      <c r="I28" s="118">
        <f t="shared" si="2"/>
        <v>2.8750146919999993</v>
      </c>
      <c r="J28" s="118">
        <f t="shared" si="3"/>
        <v>2.8750146919999993</v>
      </c>
      <c r="L28" s="6"/>
      <c r="N28" s="6"/>
      <c r="P28" s="6"/>
    </row>
    <row r="29" spans="1:16" x14ac:dyDescent="0.3">
      <c r="A29" s="121" t="s">
        <v>135</v>
      </c>
      <c r="B29" s="122">
        <v>0.04</v>
      </c>
      <c r="C29" s="122">
        <v>0.04</v>
      </c>
      <c r="D29" s="123"/>
      <c r="E29" s="123"/>
      <c r="F29" s="123"/>
      <c r="G29" s="123"/>
      <c r="H29" s="4">
        <f>PREÇOS!D30</f>
        <v>11.443299999999999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136</v>
      </c>
      <c r="H30" s="4">
        <f>PREÇOS!D31</f>
        <v>9.9292000000000016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topLeftCell="A9" zoomScale="82" zoomScaleNormal="82" workbookViewId="0">
      <selection activeCell="B12" sqref="B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7">
        <f>PREÇOS!E3</f>
        <v>7.56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0.19</v>
      </c>
      <c r="D3" s="123">
        <v>0.2</v>
      </c>
      <c r="E3" s="123"/>
      <c r="F3" s="123">
        <v>0.36099999999999999</v>
      </c>
      <c r="G3" s="123"/>
      <c r="H3" s="7">
        <f>PREÇOS!E4</f>
        <v>7.56</v>
      </c>
      <c r="I3" s="4">
        <f t="shared" si="0"/>
        <v>1.4257404</v>
      </c>
      <c r="J3" s="4">
        <f t="shared" si="1"/>
        <v>1.4257404</v>
      </c>
    </row>
    <row r="4" spans="1:10" x14ac:dyDescent="0.3">
      <c r="A4" s="121" t="s">
        <v>111</v>
      </c>
      <c r="B4" s="129">
        <v>7.0000000000000007E-2</v>
      </c>
      <c r="C4" s="129">
        <v>7.0000000000000007E-2</v>
      </c>
      <c r="D4" s="123"/>
      <c r="E4" s="123"/>
      <c r="F4" s="123"/>
      <c r="G4" s="123"/>
      <c r="H4" s="7">
        <f>PREÇOS!E5</f>
        <v>7.56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v>0.18</v>
      </c>
      <c r="D5" s="123">
        <v>0.38</v>
      </c>
      <c r="E5" s="123"/>
      <c r="F5" s="123">
        <v>0.56510000000000005</v>
      </c>
      <c r="G5" s="123"/>
      <c r="H5" s="7">
        <f>PREÇOS!E6</f>
        <v>7.56</v>
      </c>
      <c r="I5" s="4">
        <f t="shared" si="0"/>
        <v>1.6005880800000001</v>
      </c>
      <c r="J5" s="4">
        <f t="shared" si="1"/>
        <v>1.6005880800000001</v>
      </c>
    </row>
    <row r="6" spans="1:10" x14ac:dyDescent="0.3">
      <c r="A6" s="121" t="s">
        <v>113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7">
        <f>PREÇOS!E7</f>
        <v>7.56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7">
        <f>PREÇOS!E8</f>
        <v>7.56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7">
        <f>PREÇOS!E9</f>
        <v>7.56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7">
        <f>PREÇOS!E10</f>
        <v>7.56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7">
        <f>PREÇOS!E11</f>
        <v>7.56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7">
        <f>PREÇOS!E12</f>
        <v>7.56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v>0.12</v>
      </c>
      <c r="C12" s="122">
        <v>0.18</v>
      </c>
      <c r="D12" s="123">
        <v>0.35</v>
      </c>
      <c r="E12" s="123"/>
      <c r="F12" s="123">
        <v>0.35</v>
      </c>
      <c r="G12" s="123"/>
      <c r="H12" s="7">
        <f>PREÇOS!E13</f>
        <v>8.07</v>
      </c>
      <c r="I12" s="4">
        <f t="shared" si="0"/>
        <v>0.9926100000000001</v>
      </c>
      <c r="J12" s="4">
        <f t="shared" si="1"/>
        <v>0.9926100000000001</v>
      </c>
    </row>
    <row r="13" spans="1:10" x14ac:dyDescent="0.3">
      <c r="A13" s="121" t="s">
        <v>119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7">
        <f>PREÇOS!E14</f>
        <v>7.56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2">
        <v>0.17</v>
      </c>
      <c r="D14" s="123">
        <v>0.35449999999999998</v>
      </c>
      <c r="E14" s="123"/>
      <c r="F14" s="123">
        <v>0.35449999999999998</v>
      </c>
      <c r="G14" s="123"/>
      <c r="H14" s="7">
        <f>PREÇOS!E15</f>
        <v>7.56</v>
      </c>
      <c r="I14" s="4">
        <f t="shared" si="0"/>
        <v>1.2116034</v>
      </c>
      <c r="J14" s="4">
        <f t="shared" si="1"/>
        <v>1.2116034</v>
      </c>
    </row>
    <row r="15" spans="1:10" x14ac:dyDescent="0.3">
      <c r="A15" s="121" t="s">
        <v>121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7">
        <f>PREÇOS!E16</f>
        <v>7.56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7">
        <f>PREÇOS!E17</f>
        <v>7.56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7">
        <f>PREÇOS!E18</f>
        <v>7.56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7">
        <f>PREÇOS!E19</f>
        <v>7.56</v>
      </c>
      <c r="I18" s="4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2">
        <v>0.12</v>
      </c>
      <c r="D19" s="123"/>
      <c r="E19" s="123"/>
      <c r="F19" s="123"/>
      <c r="G19" s="123"/>
      <c r="H19" s="7">
        <f>PREÇOS!E20</f>
        <v>8.07</v>
      </c>
      <c r="I19" s="4">
        <f t="shared" si="0"/>
        <v>0</v>
      </c>
      <c r="J19" s="4">
        <f t="shared" si="1"/>
        <v>0</v>
      </c>
    </row>
    <row r="20" spans="1:10" x14ac:dyDescent="0.3">
      <c r="A20" s="121" t="s">
        <v>126</v>
      </c>
      <c r="B20" s="129">
        <v>0.12</v>
      </c>
      <c r="C20" s="122">
        <v>0.12</v>
      </c>
      <c r="D20" s="123"/>
      <c r="E20" s="123"/>
      <c r="F20" s="123"/>
      <c r="G20" s="123"/>
      <c r="H20" s="7">
        <f>PREÇOS!E21</f>
        <v>8.07</v>
      </c>
      <c r="I20" s="4">
        <f t="shared" si="0"/>
        <v>0</v>
      </c>
      <c r="J20" s="4">
        <f t="shared" si="1"/>
        <v>0</v>
      </c>
    </row>
    <row r="21" spans="1:10" x14ac:dyDescent="0.3">
      <c r="A21" s="121" t="s">
        <v>127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7">
        <f>PREÇOS!E22</f>
        <v>7.56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7">
        <f>PREÇOS!E23</f>
        <v>7.56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7">
        <f>PREÇOS!E24</f>
        <v>7.56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v>0.12</v>
      </c>
      <c r="C24" s="122">
        <v>0.12</v>
      </c>
      <c r="D24" s="123"/>
      <c r="E24" s="123"/>
      <c r="F24" s="123"/>
      <c r="G24" s="123"/>
      <c r="H24" s="7">
        <f>PREÇOS!E25</f>
        <v>8.07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131</v>
      </c>
      <c r="B25" s="129">
        <v>0.12</v>
      </c>
      <c r="C25" s="122">
        <v>0.12</v>
      </c>
      <c r="D25" s="123"/>
      <c r="E25" s="123"/>
      <c r="F25" s="123"/>
      <c r="G25" s="123"/>
      <c r="H25" s="7">
        <f>PREÇOS!E26</f>
        <v>8.07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7">
        <f>PREÇOS!E27</f>
        <v>7.56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133</v>
      </c>
      <c r="B27" s="129">
        <v>0.12</v>
      </c>
      <c r="C27" s="122">
        <v>0.12</v>
      </c>
      <c r="D27" s="123"/>
      <c r="E27" s="123"/>
      <c r="F27" s="123"/>
      <c r="G27" s="123"/>
      <c r="H27" s="7">
        <f>PREÇOS!E28</f>
        <v>8.07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9">
        <f>PREÇOS!E29</f>
        <v>8.07</v>
      </c>
      <c r="I28" s="118">
        <f t="shared" si="2"/>
        <v>0</v>
      </c>
      <c r="J28" s="118">
        <f t="shared" si="3"/>
        <v>0</v>
      </c>
    </row>
    <row r="29" spans="1:10" x14ac:dyDescent="0.3">
      <c r="A29" s="121" t="s">
        <v>135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7">
        <f>PREÇOS!E30</f>
        <v>7.56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136</v>
      </c>
      <c r="H30" s="7">
        <f>PREÇOS!E31</f>
        <v>6.35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topLeftCell="A6" zoomScale="85" zoomScaleNormal="85" workbookViewId="0">
      <selection activeCell="B27" sqref="B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PREÇOS!C3</f>
        <v>3.36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PREÇOS!C4</f>
        <v>3.36</v>
      </c>
      <c r="I3" s="4">
        <f t="shared" ref="I3:I26" si="0">IF(F3=0,,H3*(1+F3)*C3-(H3*B3))</f>
        <v>0.91008960000000005</v>
      </c>
      <c r="J3" s="4">
        <f t="shared" ref="J3:J26" si="1">IF(G3=0,IF(F3=0,,H3*(1+F3)*C3-(H3*B3)),H3*(1+G3)*C3-(H3*B3))</f>
        <v>0.91008960000000005</v>
      </c>
    </row>
    <row r="4" spans="1:10" x14ac:dyDescent="0.3">
      <c r="A4" s="121" t="s">
        <v>111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PREÇOS!C5</f>
        <v>3.36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PREÇOS!C6</f>
        <v>3.36</v>
      </c>
      <c r="I5" s="4">
        <f t="shared" si="0"/>
        <v>0.73193567999999987</v>
      </c>
      <c r="J5" s="4">
        <f t="shared" si="1"/>
        <v>0.73193567999999987</v>
      </c>
    </row>
    <row r="6" spans="1:10" x14ac:dyDescent="0.3">
      <c r="A6" s="121" t="s">
        <v>113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PREÇOS!C7</f>
        <v>3.36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PREÇOS!C8</f>
        <v>3.36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PREÇOS!C9</f>
        <v>3.36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PREÇOS!C10</f>
        <v>3.36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PREÇOS!C11</f>
        <v>3.36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PREÇOS!C12</f>
        <v>3.36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PREÇOS!C13</f>
        <v>3.58</v>
      </c>
      <c r="I12" s="4">
        <f t="shared" si="0"/>
        <v>0.53854656000000001</v>
      </c>
      <c r="J12" s="4">
        <f t="shared" si="1"/>
        <v>0.53854656000000001</v>
      </c>
    </row>
    <row r="13" spans="1:10" x14ac:dyDescent="0.3">
      <c r="A13" s="121" t="s">
        <v>119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PREÇOS!C14</f>
        <v>3.36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PREÇOS!C15</f>
        <v>3.36</v>
      </c>
      <c r="I14" s="4">
        <f t="shared" si="0"/>
        <v>0.69614160000000003</v>
      </c>
      <c r="J14" s="4">
        <f t="shared" si="1"/>
        <v>0.69614160000000003</v>
      </c>
    </row>
    <row r="15" spans="1:10" x14ac:dyDescent="0.3">
      <c r="A15" s="121" t="s">
        <v>121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PREÇOS!C16</f>
        <v>3.36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PREÇOS!C17</f>
        <v>3.36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PREÇOS!C18</f>
        <v>3.36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PREÇOS!C19</f>
        <v>3.36</v>
      </c>
      <c r="I18" s="4">
        <f t="shared" si="0"/>
        <v>0</v>
      </c>
      <c r="J18" s="4">
        <f t="shared" si="1"/>
        <v>0</v>
      </c>
    </row>
    <row r="19" spans="1:10" x14ac:dyDescent="0.3">
      <c r="A19" s="124" t="s">
        <v>125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3.58</v>
      </c>
      <c r="I19" s="4">
        <f t="shared" si="0"/>
        <v>0.7480947</v>
      </c>
      <c r="J19" s="4">
        <f t="shared" si="1"/>
        <v>0.40588608000000015</v>
      </c>
    </row>
    <row r="20" spans="1:10" x14ac:dyDescent="0.3">
      <c r="A20" s="124" t="s">
        <v>126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PREÇOS!C21</f>
        <v>3.58</v>
      </c>
      <c r="I20" s="4">
        <f t="shared" si="0"/>
        <v>0.87639832000000006</v>
      </c>
      <c r="J20" s="4">
        <f t="shared" si="1"/>
        <v>0.87639832000000006</v>
      </c>
    </row>
    <row r="21" spans="1:10" x14ac:dyDescent="0.3">
      <c r="A21" s="121" t="s">
        <v>127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PREÇOS!C22</f>
        <v>3.36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PREÇOS!C23</f>
        <v>3.36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PREÇOS!C24</f>
        <v>3.36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PREÇOS!C25</f>
        <v>3.58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131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PREÇOS!C26</f>
        <v>3.58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PREÇOS!C27</f>
        <v>3.36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133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PREÇOS!C28</f>
        <v>3.58</v>
      </c>
      <c r="I27" s="4">
        <f>IF(F27=0,,H27*(1+F27)*C27-(H27*B27))</f>
        <v>0</v>
      </c>
      <c r="J27" s="4">
        <f t="shared" ref="J27:J30" si="2">IF(G27=0,IF(F27=0,,H27*(1+F27)*C27-(H27*B27)),H27*(1+G27)*C27-(H27*B27))</f>
        <v>0</v>
      </c>
    </row>
    <row r="28" spans="1:10" x14ac:dyDescent="0.3">
      <c r="A28" s="124" t="s">
        <v>134</v>
      </c>
      <c r="B28" s="95">
        <f>B27</f>
        <v>0.12</v>
      </c>
      <c r="C28" s="95">
        <f t="shared" ref="C28" si="3">C27</f>
        <v>0.18</v>
      </c>
      <c r="D28" s="94"/>
      <c r="E28" s="94"/>
      <c r="F28" s="94"/>
      <c r="G28" s="95"/>
      <c r="H28" s="118">
        <f>PREÇOS!C29</f>
        <v>3.58</v>
      </c>
      <c r="I28" s="118">
        <f t="shared" ref="I28:I30" si="4">IF(F28=0,,H28*(1+F28)*C28-(H28*B28))</f>
        <v>0</v>
      </c>
      <c r="J28" s="118">
        <f t="shared" si="2"/>
        <v>0</v>
      </c>
    </row>
    <row r="29" spans="1:10" x14ac:dyDescent="0.3">
      <c r="A29" s="121" t="s">
        <v>135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PREÇOS!C30</f>
        <v>3.36</v>
      </c>
      <c r="I29" s="4">
        <f t="shared" si="4"/>
        <v>0</v>
      </c>
      <c r="J29" s="4">
        <f t="shared" si="2"/>
        <v>0</v>
      </c>
    </row>
    <row r="30" spans="1:10" x14ac:dyDescent="0.3">
      <c r="A30" s="3" t="s">
        <v>136</v>
      </c>
      <c r="H30" s="4">
        <f>PREÇOS!C31</f>
        <v>2.82</v>
      </c>
      <c r="I30" s="4">
        <f t="shared" si="4"/>
        <v>0</v>
      </c>
      <c r="J30" s="4">
        <f t="shared" si="2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20E7-BE3A-4602-8E2B-E6C9DD327C90}">
  <dimension ref="A1:J30"/>
  <sheetViews>
    <sheetView showGridLines="0" zoomScale="85" zoomScaleNormal="85" workbookViewId="0">
      <selection activeCell="B27" sqref="B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PREÇOS!O3</f>
        <v>4.1161290322580637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PREÇOS!O4</f>
        <v>4.1161290322580637</v>
      </c>
      <c r="I3" s="4">
        <f t="shared" ref="I3:I26" si="0">IF(F3=0,,H3*(1+F3)*C3-(H3*B3))</f>
        <v>1.1148947096774191</v>
      </c>
      <c r="J3" s="4">
        <f t="shared" ref="J3:J30" si="1">IF(G3=0,IF(F3=0,,H3*(1+F3)*C3-(H3*B3)),H3*(1+G3)*C3-(H3*B3))</f>
        <v>1.1148947096774191</v>
      </c>
    </row>
    <row r="4" spans="1:10" x14ac:dyDescent="0.3">
      <c r="A4" s="121" t="s">
        <v>111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PREÇOS!O5</f>
        <v>4.1161290322580637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PREÇOS!O6</f>
        <v>4.1161290322580637</v>
      </c>
      <c r="I5" s="4">
        <f t="shared" si="0"/>
        <v>0.89664931612903187</v>
      </c>
      <c r="J5" s="4">
        <f t="shared" si="1"/>
        <v>0.89664931612903187</v>
      </c>
    </row>
    <row r="6" spans="1:10" x14ac:dyDescent="0.3">
      <c r="A6" s="121" t="s">
        <v>113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PREÇOS!O7</f>
        <v>4.1161290322580637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PREÇOS!O8</f>
        <v>4.1161290322580637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PREÇOS!O9</f>
        <v>4.1161290322580637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PREÇOS!O10</f>
        <v>4.1161290322580637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PREÇOS!O11</f>
        <v>4.1161290322580637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PREÇOS!O12</f>
        <v>4.1161290322580637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PREÇOS!O13</f>
        <v>4.3499999999999996</v>
      </c>
      <c r="I12" s="4">
        <f t="shared" si="0"/>
        <v>0.65437920000000005</v>
      </c>
      <c r="J12" s="4">
        <f t="shared" si="1"/>
        <v>0.65437920000000005</v>
      </c>
    </row>
    <row r="13" spans="1:10" x14ac:dyDescent="0.3">
      <c r="A13" s="121" t="s">
        <v>119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PREÇOS!O14</f>
        <v>4.1161290322580637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PREÇOS!O15</f>
        <v>4.1161290322580637</v>
      </c>
      <c r="I14" s="4">
        <f t="shared" si="0"/>
        <v>0.8528001935483871</v>
      </c>
      <c r="J14" s="4">
        <f t="shared" si="1"/>
        <v>0.8528001935483871</v>
      </c>
    </row>
    <row r="15" spans="1:10" x14ac:dyDescent="0.3">
      <c r="A15" s="121" t="s">
        <v>121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PREÇOS!O16</f>
        <v>4.1161290322580637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PREÇOS!O17</f>
        <v>4.1161290322580637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PREÇOS!O18</f>
        <v>4.1161290322580637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PREÇOS!O19</f>
        <v>4.1161290322580637</v>
      </c>
      <c r="I18" s="4">
        <f t="shared" si="0"/>
        <v>0</v>
      </c>
      <c r="J18" s="4">
        <f t="shared" si="1"/>
        <v>0</v>
      </c>
    </row>
    <row r="19" spans="1:10" x14ac:dyDescent="0.3">
      <c r="A19" s="124" t="s">
        <v>125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4.3499999999999996</v>
      </c>
      <c r="I19" s="4">
        <f t="shared" si="0"/>
        <v>0.90899775000000005</v>
      </c>
      <c r="J19" s="4">
        <f t="shared" si="1"/>
        <v>0.49318560000000022</v>
      </c>
    </row>
    <row r="20" spans="1:10" x14ac:dyDescent="0.3">
      <c r="A20" s="124" t="s">
        <v>126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PREÇOS!O21</f>
        <v>4.3499999999999996</v>
      </c>
      <c r="I20" s="4">
        <f t="shared" si="0"/>
        <v>1.0648974</v>
      </c>
      <c r="J20" s="4">
        <f t="shared" si="1"/>
        <v>1.0648974</v>
      </c>
    </row>
    <row r="21" spans="1:10" x14ac:dyDescent="0.3">
      <c r="A21" s="121" t="s">
        <v>127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PREÇOS!O22</f>
        <v>4.1161290322580637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PREÇOS!O23</f>
        <v>4.1161290322580637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PREÇOS!O24</f>
        <v>4.1161290322580637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PREÇOS!O25</f>
        <v>4.3499999999999996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131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PREÇOS!O26</f>
        <v>4.3499999999999996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PREÇOS!O27</f>
        <v>4.1161290322580637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133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PREÇOS!O28</f>
        <v>4.3499999999999996</v>
      </c>
      <c r="I27" s="4">
        <f>IF(F27=0,,H27*(1+F27)*C27-(H27*B27))</f>
        <v>0</v>
      </c>
      <c r="J27" s="4">
        <f t="shared" si="1"/>
        <v>0</v>
      </c>
    </row>
    <row r="28" spans="1:10" x14ac:dyDescent="0.3">
      <c r="A28" s="124" t="s">
        <v>134</v>
      </c>
      <c r="B28" s="95">
        <f>B27</f>
        <v>0.12</v>
      </c>
      <c r="C28" s="95">
        <f t="shared" ref="C28" si="2">C27</f>
        <v>0.18</v>
      </c>
      <c r="D28" s="94"/>
      <c r="E28" s="94"/>
      <c r="F28" s="94"/>
      <c r="G28" s="95"/>
      <c r="H28" s="118">
        <f>PREÇOS!O29</f>
        <v>4.3499999999999996</v>
      </c>
      <c r="I28" s="118">
        <f t="shared" ref="I28:I30" si="3">IF(F28=0,,H28*(1+F28)*C28-(H28*B28))</f>
        <v>0</v>
      </c>
      <c r="J28" s="118">
        <f t="shared" si="1"/>
        <v>0</v>
      </c>
    </row>
    <row r="29" spans="1:10" x14ac:dyDescent="0.3">
      <c r="A29" s="121" t="s">
        <v>135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PREÇOS!O30</f>
        <v>4.1161290322580637</v>
      </c>
      <c r="I29" s="4">
        <f t="shared" si="3"/>
        <v>0</v>
      </c>
      <c r="J29" s="4">
        <f t="shared" si="1"/>
        <v>0</v>
      </c>
    </row>
    <row r="30" spans="1:10" x14ac:dyDescent="0.3">
      <c r="A30" s="3" t="s">
        <v>136</v>
      </c>
      <c r="H30" s="4">
        <f>PREÇOS!O31</f>
        <v>4.1161290322580637</v>
      </c>
      <c r="I30" s="4">
        <f t="shared" si="3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activeCell="B27" sqref="B27"/>
      <selection pane="topRight" activeCell="B27" sqref="B27"/>
      <selection pane="bottomLeft" activeCell="B27" sqref="B27"/>
      <selection pane="bottomRight" activeCell="B27" sqref="B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f>VLOOKUP(A2,[1]DIFAL!$C$13:$H$39,6,)</f>
        <v>0.19</v>
      </c>
      <c r="D2" s="123"/>
      <c r="E2" s="123"/>
      <c r="F2" s="123"/>
      <c r="G2" s="123"/>
      <c r="H2" s="51">
        <f>PREÇOS!H3</f>
        <v>7.24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PREÇOS!H4</f>
        <v>7.24</v>
      </c>
      <c r="I3" s="48">
        <f>IF(F3=0,,H3*(1+F3)*C3-(H3*B3))</f>
        <v>1.6815623999999998</v>
      </c>
      <c r="J3" s="48">
        <f t="shared" si="1"/>
        <v>1.6815623999999998</v>
      </c>
    </row>
    <row r="4" spans="1:10" x14ac:dyDescent="0.3">
      <c r="A4" s="121" t="s">
        <v>111</v>
      </c>
      <c r="B4" s="129">
        <v>7.0000000000000007E-2</v>
      </c>
      <c r="C4" s="129">
        <f>VLOOKUP(A4,[1]DIFAL!$C$13:$H$39,6,)</f>
        <v>0.2</v>
      </c>
      <c r="D4" s="123"/>
      <c r="E4" s="123"/>
      <c r="F4" s="123"/>
      <c r="G4" s="123"/>
      <c r="H4" s="51">
        <f>PREÇOS!H5</f>
        <v>7.24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f>VLOOKUP(A5,[1]DIFAL!$C$13:$H$39,5,)</f>
        <v>0.18</v>
      </c>
      <c r="D5" s="123"/>
      <c r="E5" s="123"/>
      <c r="F5" s="123">
        <v>0.51980000000000004</v>
      </c>
      <c r="G5" s="123"/>
      <c r="H5" s="51">
        <f>PREÇOS!H6</f>
        <v>7.24</v>
      </c>
      <c r="I5" s="48">
        <f t="shared" si="0"/>
        <v>1.4738033600000002</v>
      </c>
      <c r="J5" s="48">
        <f t="shared" si="1"/>
        <v>1.4738033600000002</v>
      </c>
    </row>
    <row r="6" spans="1:10" x14ac:dyDescent="0.3">
      <c r="A6" s="121" t="s">
        <v>113</v>
      </c>
      <c r="B6" s="129">
        <v>7.0000000000000007E-2</v>
      </c>
      <c r="C6" s="129">
        <f>VLOOKUP(A6,[1]DIFAL!$C$13:$H$39,6,)</f>
        <v>0.19</v>
      </c>
      <c r="D6" s="123"/>
      <c r="E6" s="123"/>
      <c r="F6" s="123"/>
      <c r="G6" s="123"/>
      <c r="H6" s="51">
        <f>PREÇOS!H7</f>
        <v>7.24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f>VLOOKUP(A7,[1]DIFAL!$C$13:$H$39,6,)</f>
        <v>0.2</v>
      </c>
      <c r="D7" s="123"/>
      <c r="E7" s="123"/>
      <c r="F7" s="123"/>
      <c r="G7" s="123"/>
      <c r="H7" s="51">
        <f>PREÇOS!H8</f>
        <v>7.24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f>VLOOKUP(A8,[1]DIFAL!$C$13:$H$39,5,)</f>
        <v>0.18</v>
      </c>
      <c r="D8" s="123"/>
      <c r="E8" s="123"/>
      <c r="F8" s="123"/>
      <c r="G8" s="123"/>
      <c r="H8" s="51">
        <f>PREÇOS!H9</f>
        <v>7.24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</v>
      </c>
      <c r="B9" s="129">
        <v>7.0000000000000007E-2</v>
      </c>
      <c r="C9" s="129">
        <f>VLOOKUP(A9,[1]DIFAL!$C$13:$H$39,5,)</f>
        <v>0.17</v>
      </c>
      <c r="D9" s="123"/>
      <c r="E9" s="123"/>
      <c r="F9" s="123"/>
      <c r="G9" s="123"/>
      <c r="H9" s="51">
        <f>PREÇOS!H10</f>
        <v>7.24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9">
        <f>VLOOKUP(A10,[1]DIFAL!$C$13:$H$39,5,)</f>
        <v>0.17</v>
      </c>
      <c r="D10" s="123"/>
      <c r="E10" s="123"/>
      <c r="F10" s="123"/>
      <c r="G10" s="123"/>
      <c r="H10" s="51">
        <f>PREÇOS!H11</f>
        <v>7.24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9">
        <f>VLOOKUP(A11,[1]DIFAL!$C$13:$H$39,6,)</f>
        <v>0.2</v>
      </c>
      <c r="D11" s="123"/>
      <c r="E11" s="123"/>
      <c r="F11" s="123"/>
      <c r="G11" s="123"/>
      <c r="H11" s="51">
        <f>PREÇOS!H12</f>
        <v>7.24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118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PREÇOS!H13</f>
        <v>7.73</v>
      </c>
      <c r="I12" s="93">
        <f t="shared" si="0"/>
        <v>0.23190000000000022</v>
      </c>
      <c r="J12" s="93">
        <f t="shared" si="1"/>
        <v>0.23190000000000022</v>
      </c>
    </row>
    <row r="13" spans="1:10" x14ac:dyDescent="0.3">
      <c r="A13" s="121" t="s">
        <v>119</v>
      </c>
      <c r="B13" s="129">
        <v>7.0000000000000007E-2</v>
      </c>
      <c r="C13" s="129">
        <f>VLOOKUP(A13,[1]DIFAL!$C$13:$H$39,5,)</f>
        <v>0.17</v>
      </c>
      <c r="D13" s="123"/>
      <c r="E13" s="123"/>
      <c r="F13" s="123"/>
      <c r="G13" s="123"/>
      <c r="H13" s="51">
        <f>PREÇOS!H14</f>
        <v>7.24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9">
        <f>VLOOKUP(A14,[1]DIFAL!$C$13:$H$39,5,)</f>
        <v>0.17</v>
      </c>
      <c r="D14" s="123"/>
      <c r="E14" s="123"/>
      <c r="F14" s="123">
        <v>0.39779999999999999</v>
      </c>
      <c r="G14" s="123"/>
      <c r="H14" s="51">
        <f>PREÇOS!H15</f>
        <v>7.24</v>
      </c>
      <c r="I14" s="48">
        <f t="shared" si="0"/>
        <v>1.2136122400000002</v>
      </c>
      <c r="J14" s="48">
        <f t="shared" si="1"/>
        <v>1.2136122400000002</v>
      </c>
    </row>
    <row r="15" spans="1:10" x14ac:dyDescent="0.3">
      <c r="A15" s="121" t="s">
        <v>121</v>
      </c>
      <c r="B15" s="129">
        <v>7.0000000000000007E-2</v>
      </c>
      <c r="C15" s="129">
        <f>VLOOKUP(A15,[1]DIFAL!$C$13:$H$39,6,)</f>
        <v>0.19</v>
      </c>
      <c r="D15" s="123"/>
      <c r="E15" s="123"/>
      <c r="F15" s="123"/>
      <c r="G15" s="123"/>
      <c r="H15" s="51">
        <f>PREÇOS!H16</f>
        <v>7.24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9">
        <f>VLOOKUP(A16,[1]DIFAL!$C$13:$H$39,5,)</f>
        <v>0.18</v>
      </c>
      <c r="D16" s="123"/>
      <c r="E16" s="123"/>
      <c r="F16" s="123"/>
      <c r="G16" s="123"/>
      <c r="H16" s="51">
        <f>PREÇOS!H17</f>
        <v>7.24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9">
        <f>VLOOKUP(A17,[1]DIFAL!$C$13:$H$39,5,)</f>
        <v>0.18</v>
      </c>
      <c r="D17" s="123"/>
      <c r="E17" s="123"/>
      <c r="F17" s="123"/>
      <c r="G17" s="123"/>
      <c r="H17" s="51">
        <f>PREÇOS!H18</f>
        <v>7.24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9">
        <f>VLOOKUP(A18,[1]DIFAL!$C$13:$H$39,6,)</f>
        <v>0.21</v>
      </c>
      <c r="D18" s="123"/>
      <c r="E18" s="123"/>
      <c r="F18" s="123"/>
      <c r="G18" s="123"/>
      <c r="H18" s="51">
        <f>PREÇOS!H19</f>
        <v>7.24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PREÇOS!H20</f>
        <v>7.73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126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7.73</v>
      </c>
      <c r="I20" s="93">
        <f t="shared" si="0"/>
        <v>1.6663251800000003</v>
      </c>
      <c r="J20" s="93">
        <f t="shared" si="1"/>
        <v>1.6663251800000003</v>
      </c>
    </row>
    <row r="21" spans="1:10" x14ac:dyDescent="0.3">
      <c r="A21" s="121" t="s">
        <v>127</v>
      </c>
      <c r="B21" s="129">
        <v>7.0000000000000007E-2</v>
      </c>
      <c r="C21" s="129">
        <f>VLOOKUP(A21,[1]DIFAL!$C$13:$H$39,6,)</f>
        <v>0.2</v>
      </c>
      <c r="D21" s="123"/>
      <c r="E21" s="123"/>
      <c r="F21" s="123"/>
      <c r="G21" s="123"/>
      <c r="H21" s="51">
        <f>PREÇOS!H22</f>
        <v>7.24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9">
        <f>VLOOKUP(A22,[1]DIFAL!$C$13:$H$39,5,)</f>
        <v>0.17499999999999999</v>
      </c>
      <c r="D22" s="123"/>
      <c r="E22" s="123"/>
      <c r="F22" s="123"/>
      <c r="G22" s="123"/>
      <c r="H22" s="51">
        <f>PREÇOS!H23</f>
        <v>7.24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9">
        <f>VLOOKUP(A23,[1]DIFAL!$C$13:$H$39,6,)</f>
        <v>0.2</v>
      </c>
      <c r="D23" s="123"/>
      <c r="E23" s="123"/>
      <c r="F23" s="123"/>
      <c r="G23" s="123"/>
      <c r="H23" s="51">
        <f>PREÇOS!H24</f>
        <v>7.24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130</v>
      </c>
      <c r="B24" s="129">
        <v>0.12</v>
      </c>
      <c r="C24" s="129">
        <f>VLOOKUP(A24,[1]DIFAL!$C$13:$H$39,5,)</f>
        <v>0.17</v>
      </c>
      <c r="D24" s="123"/>
      <c r="E24" s="123"/>
      <c r="F24" s="123"/>
      <c r="G24" s="123"/>
      <c r="H24" s="91">
        <f>PREÇOS!H25</f>
        <v>7.73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v>0.12</v>
      </c>
      <c r="C25" s="129">
        <f>VLOOKUP(A25,[1]DIFAL!$C$13:$H$39,5,)</f>
        <v>0.17</v>
      </c>
      <c r="D25" s="123"/>
      <c r="E25" s="123"/>
      <c r="F25" s="123"/>
      <c r="G25" s="123"/>
      <c r="H25" s="91">
        <f>PREÇOS!H26</f>
        <v>7.73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PREÇOS!H27</f>
        <v>7.24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v>0.12</v>
      </c>
      <c r="C27" s="129">
        <f>VLOOKUP(A27,[1]DIFAL!$C$13:$H$39,5,)</f>
        <v>0.18</v>
      </c>
      <c r="D27" s="123">
        <v>0.5917</v>
      </c>
      <c r="E27" s="123"/>
      <c r="F27" s="123">
        <v>0.5917</v>
      </c>
      <c r="G27" s="123"/>
      <c r="H27" s="91">
        <f>PREÇOS!H28</f>
        <v>7.73</v>
      </c>
      <c r="I27" s="93">
        <f t="shared" ref="I27:I29" si="2">IF(F27=0,,H27*(1+F27)*C27-(H27*B27))</f>
        <v>1.2870913800000001</v>
      </c>
      <c r="J27" s="93">
        <f t="shared" ref="J27:J29" si="3">IF(G27=0,IF(F27=0,,H27*(1+F27)*C27-(H27*B27)),H27*(1+G27)*C27-(H27*B27))</f>
        <v>1.2870913800000001</v>
      </c>
    </row>
    <row r="28" spans="1:10" x14ac:dyDescent="0.3">
      <c r="A28" s="121" t="s">
        <v>134</v>
      </c>
      <c r="B28" s="129">
        <f>B27</f>
        <v>0.12</v>
      </c>
      <c r="C28" s="129">
        <f t="shared" ref="C28:G28" si="4">C27</f>
        <v>0.18</v>
      </c>
      <c r="D28" s="123">
        <v>0.48320000000000002</v>
      </c>
      <c r="E28" s="123">
        <f t="shared" si="4"/>
        <v>0</v>
      </c>
      <c r="F28" s="123">
        <v>0.48320000000000002</v>
      </c>
      <c r="G28" s="129">
        <f t="shared" si="4"/>
        <v>0</v>
      </c>
      <c r="H28" s="119">
        <f>PREÇOS!H29</f>
        <v>7.73</v>
      </c>
      <c r="I28" s="118">
        <f t="shared" si="2"/>
        <v>1.1361244800000003</v>
      </c>
      <c r="J28" s="118">
        <f t="shared" si="3"/>
        <v>1.1361244800000003</v>
      </c>
    </row>
    <row r="29" spans="1:10" x14ac:dyDescent="0.3">
      <c r="A29" s="121" t="s">
        <v>135</v>
      </c>
      <c r="B29" s="129">
        <v>7.0000000000000007E-2</v>
      </c>
      <c r="C29" s="129">
        <f>VLOOKUP(A29,[1]DIFAL!$C$13:$H$39,6,)</f>
        <v>0.2</v>
      </c>
      <c r="D29" s="123"/>
      <c r="E29" s="123"/>
      <c r="F29" s="123"/>
      <c r="G29" s="123"/>
      <c r="H29" s="51">
        <f>PREÇOS!H30</f>
        <v>7.24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zoomScale="91" zoomScaleNormal="91"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PREÇOS!G3</f>
        <v>7.42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PREÇOS!G4</f>
        <v>7.42</v>
      </c>
      <c r="I3" s="89">
        <f>IF(F3=0,,H3*(1+F3)*C3-(H3*B3))</f>
        <v>2.01824</v>
      </c>
      <c r="J3" s="4">
        <f t="shared" si="1"/>
        <v>2.01824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PREÇOS!G5</f>
        <v>7.42</v>
      </c>
      <c r="I4" s="89">
        <f t="shared" si="0"/>
        <v>1.7864391999999998</v>
      </c>
      <c r="J4" s="4">
        <f t="shared" si="1"/>
        <v>1.7864391999999998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PREÇOS!G6</f>
        <v>7.42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PREÇOS!G7</f>
        <v>7.42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PREÇOS!G8</f>
        <v>7.42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PREÇOS!G9</f>
        <v>7.42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PREÇOS!G10</f>
        <v>7.42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PREÇOS!G11</f>
        <v>7.42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PREÇOS!G12</f>
        <v>7.42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91">
        <f>PREÇOS!G13</f>
        <v>7.89</v>
      </c>
      <c r="I12" s="92">
        <f t="shared" si="0"/>
        <v>1.1107857599999997</v>
      </c>
      <c r="J12" s="93">
        <f t="shared" si="1"/>
        <v>1.1107857599999997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PREÇOS!G14</f>
        <v>7.42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PREÇOS!G15</f>
        <v>7.42</v>
      </c>
      <c r="I14" s="89">
        <f t="shared" si="0"/>
        <v>1.3161892800000001</v>
      </c>
      <c r="J14" s="4">
        <f t="shared" si="1"/>
        <v>1.3161892800000001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PREÇOS!G16</f>
        <v>7.42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PREÇOS!G17</f>
        <v>7.42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PREÇOS!G18</f>
        <v>7.42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PREÇOS!G19</f>
        <v>7.42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91">
        <f>PREÇOS!G20</f>
        <v>7.89</v>
      </c>
      <c r="I19" s="92">
        <f>IF(F19=0,,H19*(1+F19)*C19-(H19*B19))</f>
        <v>1.5271884</v>
      </c>
      <c r="J19" s="93">
        <f t="shared" si="1"/>
        <v>1.5271884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91">
        <f>PREÇOS!G21</f>
        <v>7.89</v>
      </c>
      <c r="I20" s="92">
        <f t="shared" si="0"/>
        <v>1.7390033399999996</v>
      </c>
      <c r="J20" s="93">
        <f t="shared" si="1"/>
        <v>1.7390033399999996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PREÇOS!G22</f>
        <v>7.42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PREÇOS!G23</f>
        <v>7.42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PREÇOS!G24</f>
        <v>7.42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91">
        <f>PREÇOS!G25</f>
        <v>7.89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91">
        <f>PREÇOS!G26</f>
        <v>7.89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PREÇOS!G27</f>
        <v>7.42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91">
        <f>PREÇOS!G28</f>
        <v>7.89</v>
      </c>
      <c r="I27" s="92">
        <f t="shared" ref="I27:I30" si="2">IF(F27=0,,H27*(1+F27)*C27-(H27*B27))</f>
        <v>1.1309526000000001</v>
      </c>
      <c r="J27" s="93">
        <f t="shared" ref="J27:J30" si="3">IF(G27=0,IF(F27=0,,H27*(1+F27)*C27-(H27*B27)),H27*(1+G27)*C27-(H27*B27))</f>
        <v>1.1309526000000001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9">
        <f>PREÇOS!G29</f>
        <v>7.89</v>
      </c>
      <c r="I28" s="120">
        <f t="shared" si="2"/>
        <v>1.1309526000000001</v>
      </c>
      <c r="J28" s="118">
        <f t="shared" si="3"/>
        <v>1.1309526000000001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PREÇOS!G30</f>
        <v>7.42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136</v>
      </c>
      <c r="H30" s="7">
        <f>PREÇOS!G31</f>
        <v>6.21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PREÇOS!J3</f>
        <v>6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PREÇOS!J4</f>
        <v>6</v>
      </c>
      <c r="I3" s="89">
        <f>IF(F3=0,,H3*(1+F3)*C3-(H3*B3))</f>
        <v>1.6320000000000001</v>
      </c>
      <c r="J3" s="4">
        <f t="shared" si="1"/>
        <v>1.6320000000000001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PREÇOS!J5</f>
        <v>6</v>
      </c>
      <c r="I4" s="89">
        <f t="shared" si="0"/>
        <v>1.4445600000000001</v>
      </c>
      <c r="J4" s="4">
        <f t="shared" si="1"/>
        <v>1.4445600000000001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PREÇOS!J6</f>
        <v>6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PREÇOS!J7</f>
        <v>6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PREÇOS!J8</f>
        <v>6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PREÇOS!J9</f>
        <v>6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PREÇOS!J10</f>
        <v>5.47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PREÇOS!J11</f>
        <v>6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PREÇOS!J12</f>
        <v>6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PREÇOS!J13</f>
        <v>5.78</v>
      </c>
      <c r="I12" s="92">
        <f t="shared" si="0"/>
        <v>0.81373151999999971</v>
      </c>
      <c r="J12" s="93">
        <f t="shared" si="1"/>
        <v>0.81373151999999971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PREÇOS!J14</f>
        <v>6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PREÇOS!J15</f>
        <v>6</v>
      </c>
      <c r="I14" s="89">
        <f t="shared" si="0"/>
        <v>1.0643040000000004</v>
      </c>
      <c r="J14" s="4">
        <f t="shared" si="1"/>
        <v>1.0643040000000004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PREÇOS!J16</f>
        <v>6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PREÇOS!J17</f>
        <v>6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PREÇOS!J18</f>
        <v>6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PREÇOS!J19</f>
        <v>6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PREÇOS!J20</f>
        <v>5.78</v>
      </c>
      <c r="I19" s="92">
        <f>IF(F19=0,,H19*(1+F19)*C19-(H19*B19))</f>
        <v>1.1187768</v>
      </c>
      <c r="J19" s="93">
        <f t="shared" si="1"/>
        <v>1.1187768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PREÇOS!J21</f>
        <v>5.78</v>
      </c>
      <c r="I20" s="92">
        <f t="shared" si="0"/>
        <v>1.2739466799999999</v>
      </c>
      <c r="J20" s="93">
        <f t="shared" si="1"/>
        <v>1.2739466799999999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PREÇOS!J22</f>
        <v>6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PREÇOS!J23</f>
        <v>6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PREÇOS!J24</f>
        <v>6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7">
        <f>PREÇOS!J25</f>
        <v>5.78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7">
        <f>PREÇOS!J26</f>
        <v>5.78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PREÇOS!J27</f>
        <v>6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PREÇOS!J28</f>
        <v>5.78</v>
      </c>
      <c r="I27" s="92">
        <f t="shared" si="0"/>
        <v>0.82850520000000016</v>
      </c>
      <c r="J27" s="93">
        <f t="shared" si="1"/>
        <v>0.82850520000000016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5.78</v>
      </c>
      <c r="I28" s="120">
        <f t="shared" si="0"/>
        <v>0.82850520000000016</v>
      </c>
      <c r="J28" s="118">
        <f t="shared" si="1"/>
        <v>0.82850520000000016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PREÇOS!J30</f>
        <v>6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PREÇOS!J31</f>
        <v>5.2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PREÇOS!K3</f>
        <v>4.9400000000000004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PREÇOS!K4</f>
        <v>4.9400000000000004</v>
      </c>
      <c r="I3" s="89">
        <f>IF(F3=0,,H3*(1+F3)*C3-(H3*B3))</f>
        <v>1.34368</v>
      </c>
      <c r="J3" s="4">
        <f t="shared" si="1"/>
        <v>1.34368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PREÇOS!K5</f>
        <v>4.9400000000000004</v>
      </c>
      <c r="I4" s="89">
        <f t="shared" si="0"/>
        <v>1.1893544</v>
      </c>
      <c r="J4" s="4">
        <f t="shared" si="1"/>
        <v>1.1893544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PREÇOS!K6</f>
        <v>4.9400000000000004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PREÇOS!K7</f>
        <v>4.9400000000000004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PREÇOS!K8</f>
        <v>4.9400000000000004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PREÇOS!K9</f>
        <v>4.9400000000000004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PREÇOS!K10</f>
        <v>5.47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PREÇOS!K11</f>
        <v>4.9400000000000004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PREÇOS!K12</f>
        <v>4.9400000000000004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PREÇOS!K13</f>
        <v>5.78</v>
      </c>
      <c r="I12" s="92">
        <f t="shared" si="0"/>
        <v>0.81373151999999971</v>
      </c>
      <c r="J12" s="93">
        <f t="shared" si="1"/>
        <v>0.81373151999999971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PREÇOS!K14</f>
        <v>4.9400000000000004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PREÇOS!K15</f>
        <v>4.9400000000000004</v>
      </c>
      <c r="I14" s="89">
        <f t="shared" si="0"/>
        <v>0.87627696000000022</v>
      </c>
      <c r="J14" s="4">
        <f t="shared" si="1"/>
        <v>0.87627696000000022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PREÇOS!K16</f>
        <v>4.9400000000000004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PREÇOS!K17</f>
        <v>4.9400000000000004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PREÇOS!K18</f>
        <v>4.9400000000000004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PREÇOS!K19</f>
        <v>4.9400000000000004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PREÇOS!K20</f>
        <v>5.78</v>
      </c>
      <c r="I19" s="92">
        <f>IF(F19=0,,H19*(1+F19)*C19-(H19*B19))</f>
        <v>1.1187768</v>
      </c>
      <c r="J19" s="93">
        <f t="shared" si="1"/>
        <v>1.1187768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PREÇOS!K21</f>
        <v>5.78</v>
      </c>
      <c r="I20" s="92">
        <f t="shared" si="0"/>
        <v>1.2739466799999999</v>
      </c>
      <c r="J20" s="93">
        <f t="shared" si="1"/>
        <v>1.2739466799999999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PREÇOS!K22</f>
        <v>4.9400000000000004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PREÇOS!K23</f>
        <v>4.9400000000000004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PREÇOS!K24</f>
        <v>4.9400000000000004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7">
        <f>PREÇOS!K25</f>
        <v>5.78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7">
        <f>PREÇOS!K26</f>
        <v>5.78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PREÇOS!K27</f>
        <v>4.9400000000000004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PREÇOS!K28</f>
        <v>5.78</v>
      </c>
      <c r="I27" s="92">
        <f t="shared" si="0"/>
        <v>0.82850520000000016</v>
      </c>
      <c r="J27" s="93">
        <f t="shared" si="1"/>
        <v>0.82850520000000016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5.78</v>
      </c>
      <c r="I28" s="120">
        <f t="shared" si="0"/>
        <v>0.82850520000000016</v>
      </c>
      <c r="J28" s="118">
        <f t="shared" si="1"/>
        <v>0.82850520000000016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PREÇOS!K30</f>
        <v>4.9400000000000004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PREÇOS!K31</f>
        <v>4.29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PREÇOS!L3</f>
        <v>12.63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PREÇOS!L4</f>
        <v>12.63</v>
      </c>
      <c r="I3" s="89">
        <f>IF(F3=0,,H3*(1+F3)*C3-(H3*B3))</f>
        <v>3.4353600000000002</v>
      </c>
      <c r="J3" s="4">
        <f t="shared" si="1"/>
        <v>3.4353600000000002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PREÇOS!L5</f>
        <v>12.63</v>
      </c>
      <c r="I4" s="89">
        <f t="shared" si="0"/>
        <v>3.0407987999999997</v>
      </c>
      <c r="J4" s="4">
        <f t="shared" si="1"/>
        <v>3.0407987999999997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PREÇOS!L6</f>
        <v>12.63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PREÇOS!L7</f>
        <v>12.63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PREÇOS!L8</f>
        <v>12.63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PREÇOS!L9</f>
        <v>12.63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PREÇOS!L10</f>
        <v>13.45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PREÇOS!L11</f>
        <v>12.63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PREÇOS!L12</f>
        <v>12.63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PREÇOS!L13</f>
        <v>14.21</v>
      </c>
      <c r="I12" s="92">
        <f t="shared" si="0"/>
        <v>2.0005406399999996</v>
      </c>
      <c r="J12" s="93">
        <f t="shared" si="1"/>
        <v>2.0005406399999996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PREÇOS!L14</f>
        <v>12.63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PREÇOS!L15</f>
        <v>12.63</v>
      </c>
      <c r="I14" s="89">
        <f t="shared" si="0"/>
        <v>2.2403599200000004</v>
      </c>
      <c r="J14" s="4">
        <f t="shared" si="1"/>
        <v>2.2403599200000004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PREÇOS!L16</f>
        <v>12.63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PREÇOS!L17</f>
        <v>12.63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PREÇOS!L18</f>
        <v>12.63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PREÇOS!L19</f>
        <v>12.63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PREÇOS!L20</f>
        <v>14.21</v>
      </c>
      <c r="I19" s="92">
        <f>IF(F19=0,,H19*(1+F19)*C19-(H19*B19))</f>
        <v>2.7504876000000009</v>
      </c>
      <c r="J19" s="93">
        <f t="shared" si="1"/>
        <v>2.7504876000000009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PREÇOS!L21</f>
        <v>14.21</v>
      </c>
      <c r="I20" s="92">
        <f t="shared" si="0"/>
        <v>3.1319692600000004</v>
      </c>
      <c r="J20" s="93">
        <f t="shared" si="1"/>
        <v>3.1319692600000004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PREÇOS!L22</f>
        <v>12.63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PREÇOS!L23</f>
        <v>12.63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PREÇOS!L24</f>
        <v>12.63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7">
        <f>PREÇOS!L25</f>
        <v>14.21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7">
        <f>PREÇOS!L26</f>
        <v>14.21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PREÇOS!L27</f>
        <v>12.63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PREÇOS!L28</f>
        <v>14.21</v>
      </c>
      <c r="I27" s="92">
        <f t="shared" si="0"/>
        <v>2.0368614000000003</v>
      </c>
      <c r="J27" s="93">
        <f t="shared" si="1"/>
        <v>2.0368614000000003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14.21</v>
      </c>
      <c r="I28" s="120">
        <f t="shared" si="0"/>
        <v>2.0368614000000003</v>
      </c>
      <c r="J28" s="118">
        <f t="shared" si="1"/>
        <v>2.0368614000000003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PREÇOS!L30</f>
        <v>12.63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PREÇOS!L31</f>
        <v>10.95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zoomScale="70" zoomScaleNormal="70" workbookViewId="0">
      <selection activeCell="B71" sqref="B71:C71"/>
    </sheetView>
  </sheetViews>
  <sheetFormatPr defaultRowHeight="14.4" x14ac:dyDescent="0.3"/>
  <cols>
    <col min="1" max="3" width="13.44140625" bestFit="1" customWidth="1"/>
    <col min="4" max="4" width="14.44140625" bestFit="1" customWidth="1"/>
    <col min="5" max="6" width="13.44140625" bestFit="1" customWidth="1"/>
    <col min="7" max="7" width="14.441406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44140625" customWidth="1"/>
    <col min="13" max="15" width="13.44140625" bestFit="1" customWidth="1"/>
  </cols>
  <sheetData>
    <row r="1" spans="1:22" x14ac:dyDescent="0.3">
      <c r="A1" s="136" t="s">
        <v>137</v>
      </c>
      <c r="B1" s="136" t="s">
        <v>137</v>
      </c>
      <c r="C1" s="136" t="s">
        <v>137</v>
      </c>
      <c r="D1" s="136" t="s">
        <v>137</v>
      </c>
      <c r="E1" s="136" t="s">
        <v>137</v>
      </c>
      <c r="F1" s="136" t="s">
        <v>137</v>
      </c>
      <c r="G1" s="136" t="s">
        <v>137</v>
      </c>
      <c r="H1" s="136" t="s">
        <v>137</v>
      </c>
      <c r="I1" s="136" t="s">
        <v>137</v>
      </c>
      <c r="J1" s="136" t="s">
        <v>137</v>
      </c>
      <c r="K1" s="136" t="s">
        <v>137</v>
      </c>
      <c r="L1" s="136" t="s">
        <v>137</v>
      </c>
      <c r="M1" s="136" t="s">
        <v>137</v>
      </c>
      <c r="N1" s="136" t="s">
        <v>137</v>
      </c>
      <c r="O1" s="136" t="s">
        <v>137</v>
      </c>
    </row>
    <row r="2" spans="1:22" ht="18.75" customHeight="1" x14ac:dyDescent="0.3">
      <c r="A2" s="99" t="s">
        <v>99</v>
      </c>
      <c r="B2" s="137" t="s">
        <v>138</v>
      </c>
      <c r="C2" s="99" t="s">
        <v>139</v>
      </c>
      <c r="D2" s="137" t="s">
        <v>140</v>
      </c>
      <c r="E2" s="99" t="s">
        <v>141</v>
      </c>
      <c r="F2" s="99" t="s">
        <v>142</v>
      </c>
      <c r="G2" s="1" t="s">
        <v>143</v>
      </c>
      <c r="H2" s="1" t="s">
        <v>144</v>
      </c>
      <c r="I2" s="100" t="s">
        <v>145</v>
      </c>
      <c r="J2" s="132" t="s">
        <v>146</v>
      </c>
      <c r="K2" s="133" t="s">
        <v>147</v>
      </c>
      <c r="L2" s="133" t="s">
        <v>148</v>
      </c>
      <c r="M2" s="1" t="s">
        <v>149</v>
      </c>
      <c r="N2" s="1" t="s">
        <v>150</v>
      </c>
      <c r="O2" s="149" t="s">
        <v>154</v>
      </c>
      <c r="P2" s="149" t="s">
        <v>155</v>
      </c>
      <c r="Q2" s="149" t="s">
        <v>156</v>
      </c>
      <c r="R2" s="149" t="s">
        <v>157</v>
      </c>
      <c r="S2" s="149" t="s">
        <v>158</v>
      </c>
      <c r="T2" s="149" t="s">
        <v>160</v>
      </c>
      <c r="U2" s="149" t="s">
        <v>159</v>
      </c>
      <c r="V2" t="s">
        <v>161</v>
      </c>
    </row>
    <row r="3" spans="1:22" x14ac:dyDescent="0.3">
      <c r="A3" s="8" t="s">
        <v>109</v>
      </c>
      <c r="B3" s="9">
        <v>9.49</v>
      </c>
      <c r="C3" s="138">
        <v>5.79</v>
      </c>
      <c r="D3" s="9">
        <v>19.989999999999998</v>
      </c>
      <c r="E3" s="138">
        <v>13.69</v>
      </c>
      <c r="F3" s="138">
        <v>17.989999999999998</v>
      </c>
      <c r="G3" s="138">
        <v>13.89</v>
      </c>
      <c r="H3" s="138">
        <v>13.49</v>
      </c>
      <c r="I3" s="9">
        <v>13.49</v>
      </c>
      <c r="J3" s="9">
        <v>8.99</v>
      </c>
      <c r="K3" s="139">
        <v>7.99</v>
      </c>
      <c r="L3" s="139">
        <v>19.989999999999998</v>
      </c>
      <c r="M3" s="10">
        <v>9.49</v>
      </c>
      <c r="N3" s="10">
        <v>18.989999999999998</v>
      </c>
      <c r="O3" s="10">
        <v>6.99</v>
      </c>
      <c r="P3">
        <v>7.6</v>
      </c>
      <c r="Q3">
        <v>3.99</v>
      </c>
      <c r="R3">
        <v>4.99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110</v>
      </c>
      <c r="B4" s="9">
        <v>9.49</v>
      </c>
      <c r="C4" s="138">
        <v>5.79</v>
      </c>
      <c r="D4" s="9">
        <v>19.989999999999998</v>
      </c>
      <c r="E4" s="138">
        <v>13.69</v>
      </c>
      <c r="F4" s="138">
        <v>17.989999999999998</v>
      </c>
      <c r="G4" s="138">
        <v>13.89</v>
      </c>
      <c r="H4" s="138">
        <v>13.49</v>
      </c>
      <c r="I4" s="9">
        <v>13.49</v>
      </c>
      <c r="J4" s="9">
        <v>8.99</v>
      </c>
      <c r="K4" s="139">
        <v>7.99</v>
      </c>
      <c r="L4" s="139">
        <v>19.989999999999998</v>
      </c>
      <c r="M4" s="10">
        <v>9.49</v>
      </c>
      <c r="N4" s="10">
        <v>18.989999999999998</v>
      </c>
      <c r="O4" s="10">
        <v>6.99</v>
      </c>
      <c r="P4">
        <v>7.6</v>
      </c>
      <c r="Q4">
        <v>3.99</v>
      </c>
      <c r="R4">
        <v>4.99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111</v>
      </c>
      <c r="B5" s="9">
        <v>9.49</v>
      </c>
      <c r="C5" s="138">
        <v>5.79</v>
      </c>
      <c r="D5" s="9">
        <v>19.989999999999998</v>
      </c>
      <c r="E5" s="138">
        <v>13.69</v>
      </c>
      <c r="F5" s="138">
        <v>17.989999999999998</v>
      </c>
      <c r="G5" s="138">
        <v>13.89</v>
      </c>
      <c r="H5" s="138">
        <v>13.49</v>
      </c>
      <c r="I5" s="9">
        <v>13.49</v>
      </c>
      <c r="J5" s="9">
        <v>8.99</v>
      </c>
      <c r="K5" s="139">
        <v>7.99</v>
      </c>
      <c r="L5" s="139">
        <v>19.989999999999998</v>
      </c>
      <c r="M5" s="10">
        <v>9.49</v>
      </c>
      <c r="N5" s="10">
        <v>18.989999999999998</v>
      </c>
      <c r="O5" s="10">
        <v>6.99</v>
      </c>
      <c r="P5">
        <v>7.6</v>
      </c>
      <c r="Q5">
        <v>3.99</v>
      </c>
      <c r="R5">
        <v>4.99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112</v>
      </c>
      <c r="B6" s="9">
        <v>9.49</v>
      </c>
      <c r="C6" s="138">
        <v>5.79</v>
      </c>
      <c r="D6" s="9">
        <v>19.989999999999998</v>
      </c>
      <c r="E6" s="138">
        <v>13.69</v>
      </c>
      <c r="F6" s="138">
        <v>17.989999999999998</v>
      </c>
      <c r="G6" s="138">
        <v>13.89</v>
      </c>
      <c r="H6" s="138">
        <v>13.49</v>
      </c>
      <c r="I6" s="9">
        <v>13.49</v>
      </c>
      <c r="J6" s="9">
        <v>8.99</v>
      </c>
      <c r="K6" s="139">
        <v>7.99</v>
      </c>
      <c r="L6" s="139">
        <v>19.989999999999998</v>
      </c>
      <c r="M6" s="10">
        <v>9.49</v>
      </c>
      <c r="N6" s="10">
        <v>18.989999999999998</v>
      </c>
      <c r="O6" s="10">
        <v>6.99</v>
      </c>
      <c r="P6">
        <v>7.6</v>
      </c>
      <c r="Q6">
        <v>3.99</v>
      </c>
      <c r="R6">
        <v>4.99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113</v>
      </c>
      <c r="B7" s="9">
        <v>9.49</v>
      </c>
      <c r="C7" s="138">
        <v>5.79</v>
      </c>
      <c r="D7" s="9">
        <v>19.989999999999998</v>
      </c>
      <c r="E7" s="138">
        <v>13.69</v>
      </c>
      <c r="F7" s="138">
        <v>17.989999999999998</v>
      </c>
      <c r="G7" s="138">
        <v>13.89</v>
      </c>
      <c r="H7" s="138">
        <v>13.49</v>
      </c>
      <c r="I7" s="9">
        <v>13.49</v>
      </c>
      <c r="J7" s="9">
        <v>8.99</v>
      </c>
      <c r="K7" s="139">
        <v>7.99</v>
      </c>
      <c r="L7" s="139">
        <v>19.989999999999998</v>
      </c>
      <c r="M7" s="10">
        <v>9.49</v>
      </c>
      <c r="N7" s="10">
        <v>18.989999999999998</v>
      </c>
      <c r="O7" s="10">
        <v>6.99</v>
      </c>
      <c r="P7">
        <v>7.6</v>
      </c>
      <c r="Q7">
        <v>3.99</v>
      </c>
      <c r="R7">
        <v>4.99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114</v>
      </c>
      <c r="B8" s="9">
        <v>9.49</v>
      </c>
      <c r="C8" s="138">
        <v>5.79</v>
      </c>
      <c r="D8" s="9">
        <v>19.989999999999998</v>
      </c>
      <c r="E8" s="138">
        <v>13.69</v>
      </c>
      <c r="F8" s="138">
        <v>17.989999999999998</v>
      </c>
      <c r="G8" s="138">
        <v>13.89</v>
      </c>
      <c r="H8" s="138">
        <v>13.49</v>
      </c>
      <c r="I8" s="9">
        <v>13.49</v>
      </c>
      <c r="J8" s="9">
        <v>8.99</v>
      </c>
      <c r="K8" s="139">
        <v>7.99</v>
      </c>
      <c r="L8" s="139">
        <v>19.989999999999998</v>
      </c>
      <c r="M8" s="10">
        <v>9.49</v>
      </c>
      <c r="N8" s="10">
        <v>18.989999999999998</v>
      </c>
      <c r="O8" s="10">
        <v>6.99</v>
      </c>
      <c r="P8">
        <v>7.6</v>
      </c>
      <c r="Q8">
        <v>3.99</v>
      </c>
      <c r="R8">
        <v>4.99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115</v>
      </c>
      <c r="B9" s="9">
        <v>9.49</v>
      </c>
      <c r="C9" s="138">
        <v>5.79</v>
      </c>
      <c r="D9" s="9">
        <v>19.989999999999998</v>
      </c>
      <c r="E9" s="138">
        <v>13.69</v>
      </c>
      <c r="F9" s="138">
        <v>17.989999999999998</v>
      </c>
      <c r="G9" s="138">
        <v>13.89</v>
      </c>
      <c r="H9" s="138">
        <v>13.49</v>
      </c>
      <c r="I9" s="9">
        <v>13.49</v>
      </c>
      <c r="J9" s="9">
        <v>8.99</v>
      </c>
      <c r="K9" s="139">
        <v>7.99</v>
      </c>
      <c r="L9" s="139">
        <v>19.989999999999998</v>
      </c>
      <c r="M9" s="10">
        <v>9.49</v>
      </c>
      <c r="N9" s="10">
        <v>18.989999999999998</v>
      </c>
      <c r="O9" s="10">
        <v>6.99</v>
      </c>
      <c r="P9">
        <v>7.6</v>
      </c>
      <c r="Q9">
        <v>3.99</v>
      </c>
      <c r="R9">
        <v>4.99</v>
      </c>
      <c r="S9">
        <v>35</v>
      </c>
      <c r="T9">
        <v>35</v>
      </c>
      <c r="U9">
        <v>26</v>
      </c>
      <c r="V9">
        <v>47</v>
      </c>
    </row>
    <row r="10" spans="1:22" ht="18" x14ac:dyDescent="0.35">
      <c r="A10" s="11" t="s">
        <v>11</v>
      </c>
      <c r="B10" s="9">
        <v>9.49</v>
      </c>
      <c r="C10" s="138">
        <v>5.79</v>
      </c>
      <c r="D10" s="9">
        <v>19.989999999999998</v>
      </c>
      <c r="E10" s="138">
        <v>13.69</v>
      </c>
      <c r="F10" s="138">
        <v>17.989999999999998</v>
      </c>
      <c r="G10" s="138">
        <v>13.89</v>
      </c>
      <c r="H10" s="138">
        <v>13.49</v>
      </c>
      <c r="I10" s="9">
        <v>13.49</v>
      </c>
      <c r="J10" s="142">
        <v>9.99</v>
      </c>
      <c r="K10" s="142">
        <v>9.99</v>
      </c>
      <c r="L10" s="142">
        <v>24.99</v>
      </c>
      <c r="M10" s="10">
        <v>9.49</v>
      </c>
      <c r="N10" s="10">
        <v>18.989999999999998</v>
      </c>
      <c r="O10" s="10">
        <v>6.99</v>
      </c>
      <c r="P10">
        <v>7.6</v>
      </c>
      <c r="Q10">
        <v>3.99</v>
      </c>
      <c r="R10">
        <v>4.99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116</v>
      </c>
      <c r="B11" s="9">
        <v>9.49</v>
      </c>
      <c r="C11" s="138">
        <v>5.79</v>
      </c>
      <c r="D11" s="9">
        <v>19.989999999999998</v>
      </c>
      <c r="E11" s="138">
        <v>13.69</v>
      </c>
      <c r="F11" s="138">
        <v>17.989999999999998</v>
      </c>
      <c r="G11" s="138">
        <v>13.89</v>
      </c>
      <c r="H11" s="138">
        <v>13.49</v>
      </c>
      <c r="I11" s="9">
        <v>13.49</v>
      </c>
      <c r="J11" s="9">
        <v>8.99</v>
      </c>
      <c r="K11" s="139">
        <v>7.99</v>
      </c>
      <c r="L11" s="139">
        <v>19.989999999999998</v>
      </c>
      <c r="M11" s="10">
        <v>9.49</v>
      </c>
      <c r="N11" s="10">
        <v>18.989999999999998</v>
      </c>
      <c r="O11" s="10">
        <v>6.99</v>
      </c>
      <c r="P11">
        <v>7.6</v>
      </c>
      <c r="Q11">
        <v>3.99</v>
      </c>
      <c r="R11">
        <v>4.99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117</v>
      </c>
      <c r="B12" s="9">
        <v>9.49</v>
      </c>
      <c r="C12" s="138">
        <v>5.79</v>
      </c>
      <c r="D12" s="9">
        <v>19.989999999999998</v>
      </c>
      <c r="E12" s="138">
        <v>13.69</v>
      </c>
      <c r="F12" s="138">
        <v>17.989999999999998</v>
      </c>
      <c r="G12" s="138">
        <v>13.89</v>
      </c>
      <c r="H12" s="138">
        <v>13.49</v>
      </c>
      <c r="I12" s="9">
        <v>13.49</v>
      </c>
      <c r="J12" s="9">
        <v>8.99</v>
      </c>
      <c r="K12" s="139">
        <v>7.99</v>
      </c>
      <c r="L12" s="139">
        <v>19.989999999999998</v>
      </c>
      <c r="M12" s="10">
        <v>9.49</v>
      </c>
      <c r="N12" s="10">
        <v>18.989999999999998</v>
      </c>
      <c r="O12" s="10">
        <v>6.99</v>
      </c>
      <c r="P12">
        <v>7.6</v>
      </c>
      <c r="Q12">
        <v>3.99</v>
      </c>
      <c r="R12">
        <v>4.99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118</v>
      </c>
      <c r="B13" s="9">
        <v>9.49</v>
      </c>
      <c r="C13" s="101">
        <v>5.79</v>
      </c>
      <c r="D13" s="9">
        <v>19.989999999999998</v>
      </c>
      <c r="E13" s="101">
        <v>13.69</v>
      </c>
      <c r="F13" s="101">
        <v>17.989999999999998</v>
      </c>
      <c r="G13" s="101">
        <v>13.89</v>
      </c>
      <c r="H13" s="101">
        <v>13.49</v>
      </c>
      <c r="I13" s="9">
        <v>13.49</v>
      </c>
      <c r="J13" s="102">
        <v>9.99</v>
      </c>
      <c r="K13" s="102">
        <v>9.99</v>
      </c>
      <c r="L13" s="102">
        <v>24.99</v>
      </c>
      <c r="M13" s="102">
        <v>9.49</v>
      </c>
      <c r="N13" s="102">
        <v>18.989999999999998</v>
      </c>
      <c r="O13" s="102">
        <v>6.99</v>
      </c>
      <c r="P13">
        <v>7.6</v>
      </c>
      <c r="Q13">
        <v>3.99</v>
      </c>
      <c r="R13">
        <v>4.99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119</v>
      </c>
      <c r="B14" s="9">
        <v>9.49</v>
      </c>
      <c r="C14" s="138">
        <v>5.79</v>
      </c>
      <c r="D14" s="9">
        <v>19.989999999999998</v>
      </c>
      <c r="E14" s="138">
        <v>13.69</v>
      </c>
      <c r="F14" s="138">
        <v>17.989999999999998</v>
      </c>
      <c r="G14" s="138">
        <v>13.89</v>
      </c>
      <c r="H14" s="138">
        <v>13.49</v>
      </c>
      <c r="I14" s="9">
        <v>13.49</v>
      </c>
      <c r="J14" s="9">
        <v>8.99</v>
      </c>
      <c r="K14" s="139">
        <v>7.99</v>
      </c>
      <c r="L14" s="139">
        <v>19.989999999999998</v>
      </c>
      <c r="M14" s="10">
        <v>9.49</v>
      </c>
      <c r="N14" s="10">
        <v>18.989999999999998</v>
      </c>
      <c r="O14" s="10">
        <v>6.99</v>
      </c>
      <c r="P14">
        <v>7.6</v>
      </c>
      <c r="Q14">
        <v>3.99</v>
      </c>
      <c r="R14">
        <v>4.99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120</v>
      </c>
      <c r="B15" s="9">
        <v>9.49</v>
      </c>
      <c r="C15" s="138">
        <v>5.79</v>
      </c>
      <c r="D15" s="9">
        <v>19.989999999999998</v>
      </c>
      <c r="E15" s="138">
        <v>13.69</v>
      </c>
      <c r="F15" s="138">
        <v>17.989999999999998</v>
      </c>
      <c r="G15" s="138">
        <v>13.89</v>
      </c>
      <c r="H15" s="138">
        <v>13.49</v>
      </c>
      <c r="I15" s="9">
        <v>13.49</v>
      </c>
      <c r="J15" s="9">
        <v>8.99</v>
      </c>
      <c r="K15" s="139">
        <v>7.99</v>
      </c>
      <c r="L15" s="139">
        <v>19.989999999999998</v>
      </c>
      <c r="M15" s="10">
        <v>9.49</v>
      </c>
      <c r="N15" s="10">
        <v>18.989999999999998</v>
      </c>
      <c r="O15" s="10">
        <v>6.99</v>
      </c>
      <c r="P15">
        <v>7.6</v>
      </c>
      <c r="Q15">
        <v>3.99</v>
      </c>
      <c r="R15">
        <v>4.99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121</v>
      </c>
      <c r="B16" s="9">
        <v>9.49</v>
      </c>
      <c r="C16" s="138">
        <v>5.79</v>
      </c>
      <c r="D16" s="9">
        <v>19.989999999999998</v>
      </c>
      <c r="E16" s="138">
        <v>13.69</v>
      </c>
      <c r="F16" s="138">
        <v>17.989999999999998</v>
      </c>
      <c r="G16" s="138">
        <v>13.89</v>
      </c>
      <c r="H16" s="138">
        <v>13.49</v>
      </c>
      <c r="I16" s="9">
        <v>13.49</v>
      </c>
      <c r="J16" s="9">
        <v>8.99</v>
      </c>
      <c r="K16" s="139">
        <v>7.99</v>
      </c>
      <c r="L16" s="139">
        <v>19.989999999999998</v>
      </c>
      <c r="M16" s="10">
        <v>9.49</v>
      </c>
      <c r="N16" s="10">
        <v>18.989999999999998</v>
      </c>
      <c r="O16" s="10">
        <v>6.99</v>
      </c>
      <c r="P16">
        <v>7.6</v>
      </c>
      <c r="Q16">
        <v>3.99</v>
      </c>
      <c r="R16">
        <v>4.99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122</v>
      </c>
      <c r="B17" s="9">
        <v>9.49</v>
      </c>
      <c r="C17" s="138">
        <v>5.79</v>
      </c>
      <c r="D17" s="9">
        <v>19.989999999999998</v>
      </c>
      <c r="E17" s="138">
        <v>13.69</v>
      </c>
      <c r="F17" s="138">
        <v>17.989999999999998</v>
      </c>
      <c r="G17" s="138">
        <v>13.89</v>
      </c>
      <c r="H17" s="138">
        <v>13.49</v>
      </c>
      <c r="I17" s="9">
        <v>13.49</v>
      </c>
      <c r="J17" s="9">
        <v>8.99</v>
      </c>
      <c r="K17" s="139">
        <v>7.99</v>
      </c>
      <c r="L17" s="139">
        <v>19.989999999999998</v>
      </c>
      <c r="M17" s="10">
        <v>9.49</v>
      </c>
      <c r="N17" s="10">
        <v>18.989999999999998</v>
      </c>
      <c r="O17" s="10">
        <v>6.99</v>
      </c>
      <c r="P17">
        <v>7.6</v>
      </c>
      <c r="Q17">
        <v>3.99</v>
      </c>
      <c r="R17">
        <v>4.99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123</v>
      </c>
      <c r="B18" s="9">
        <v>9.49</v>
      </c>
      <c r="C18" s="138">
        <v>5.79</v>
      </c>
      <c r="D18" s="9">
        <v>19.989999999999998</v>
      </c>
      <c r="E18" s="138">
        <v>13.69</v>
      </c>
      <c r="F18" s="138">
        <v>17.989999999999998</v>
      </c>
      <c r="G18" s="138">
        <v>13.89</v>
      </c>
      <c r="H18" s="138">
        <v>13.49</v>
      </c>
      <c r="I18" s="9">
        <v>13.49</v>
      </c>
      <c r="J18" s="9">
        <v>8.99</v>
      </c>
      <c r="K18" s="139">
        <v>7.99</v>
      </c>
      <c r="L18" s="139">
        <v>19.989999999999998</v>
      </c>
      <c r="M18" s="10">
        <v>9.49</v>
      </c>
      <c r="N18" s="10">
        <v>18.989999999999998</v>
      </c>
      <c r="O18" s="10">
        <v>6.99</v>
      </c>
      <c r="P18">
        <v>7.6</v>
      </c>
      <c r="Q18">
        <v>3.99</v>
      </c>
      <c r="R18">
        <v>4.99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124</v>
      </c>
      <c r="B19" s="9">
        <v>9.49</v>
      </c>
      <c r="C19" s="138">
        <v>5.79</v>
      </c>
      <c r="D19" s="9">
        <v>19.989999999999998</v>
      </c>
      <c r="E19" s="138">
        <v>13.69</v>
      </c>
      <c r="F19" s="138">
        <v>17.989999999999998</v>
      </c>
      <c r="G19" s="138">
        <v>13.89</v>
      </c>
      <c r="H19" s="138">
        <v>13.49</v>
      </c>
      <c r="I19" s="9">
        <v>13.49</v>
      </c>
      <c r="J19" s="9">
        <v>8.99</v>
      </c>
      <c r="K19" s="139">
        <v>7.99</v>
      </c>
      <c r="L19" s="139">
        <v>19.989999999999998</v>
      </c>
      <c r="M19" s="10">
        <v>9.49</v>
      </c>
      <c r="N19" s="10">
        <v>18.989999999999998</v>
      </c>
      <c r="O19" s="10">
        <v>6.99</v>
      </c>
      <c r="P19">
        <v>7.6</v>
      </c>
      <c r="Q19">
        <v>3.99</v>
      </c>
      <c r="R19">
        <v>4.99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125</v>
      </c>
      <c r="B20" s="14">
        <v>9.49</v>
      </c>
      <c r="C20" s="101">
        <v>5.79</v>
      </c>
      <c r="D20" s="14">
        <v>19.989999999999998</v>
      </c>
      <c r="E20" s="101">
        <v>13.69</v>
      </c>
      <c r="F20" s="101">
        <v>17.989999999999998</v>
      </c>
      <c r="G20" s="101">
        <v>13.89</v>
      </c>
      <c r="H20" s="101">
        <v>13.49</v>
      </c>
      <c r="I20" s="9">
        <v>13.49</v>
      </c>
      <c r="J20" s="102">
        <v>9.99</v>
      </c>
      <c r="K20" s="102">
        <v>9.99</v>
      </c>
      <c r="L20" s="102">
        <v>24.99</v>
      </c>
      <c r="M20" s="102">
        <v>9.49</v>
      </c>
      <c r="N20" s="102">
        <v>18.989999999999998</v>
      </c>
      <c r="O20" s="102">
        <v>6.99</v>
      </c>
      <c r="P20">
        <v>7.6</v>
      </c>
      <c r="Q20">
        <v>3.99</v>
      </c>
      <c r="R20">
        <v>4.99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126</v>
      </c>
      <c r="B21" s="9">
        <v>9.49</v>
      </c>
      <c r="C21" s="101">
        <v>5.79</v>
      </c>
      <c r="D21" s="9">
        <v>19.989999999999998</v>
      </c>
      <c r="E21" s="101">
        <v>13.69</v>
      </c>
      <c r="F21" s="101">
        <v>17.989999999999998</v>
      </c>
      <c r="G21" s="101">
        <v>13.89</v>
      </c>
      <c r="H21" s="101">
        <v>13.49</v>
      </c>
      <c r="I21" s="9">
        <v>13.49</v>
      </c>
      <c r="J21" s="102">
        <v>9.99</v>
      </c>
      <c r="K21" s="102">
        <v>9.99</v>
      </c>
      <c r="L21" s="102">
        <v>24.99</v>
      </c>
      <c r="M21" s="102">
        <v>9.49</v>
      </c>
      <c r="N21" s="102">
        <v>18.989999999999998</v>
      </c>
      <c r="O21" s="102">
        <v>6.99</v>
      </c>
      <c r="P21">
        <v>7.6</v>
      </c>
      <c r="Q21">
        <v>3.99</v>
      </c>
      <c r="R21">
        <v>4.99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127</v>
      </c>
      <c r="B22" s="9">
        <v>9.49</v>
      </c>
      <c r="C22" s="138">
        <v>5.79</v>
      </c>
      <c r="D22" s="9">
        <v>19.989999999999998</v>
      </c>
      <c r="E22" s="138">
        <v>13.69</v>
      </c>
      <c r="F22" s="138">
        <v>17.989999999999998</v>
      </c>
      <c r="G22" s="138">
        <v>13.89</v>
      </c>
      <c r="H22" s="138">
        <v>13.49</v>
      </c>
      <c r="I22" s="9">
        <v>13.49</v>
      </c>
      <c r="J22" s="9">
        <v>8.99</v>
      </c>
      <c r="K22" s="139">
        <v>7.99</v>
      </c>
      <c r="L22" s="139">
        <v>19.989999999999998</v>
      </c>
      <c r="M22" s="10">
        <v>9.49</v>
      </c>
      <c r="N22" s="10">
        <v>18.989999999999998</v>
      </c>
      <c r="O22" s="10">
        <v>6.99</v>
      </c>
      <c r="P22">
        <v>7.6</v>
      </c>
      <c r="Q22">
        <v>3.99</v>
      </c>
      <c r="R22">
        <v>4.99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128</v>
      </c>
      <c r="B23" s="9">
        <v>9.49</v>
      </c>
      <c r="C23" s="138">
        <v>5.79</v>
      </c>
      <c r="D23" s="9">
        <v>19.989999999999998</v>
      </c>
      <c r="E23" s="138">
        <v>13.69</v>
      </c>
      <c r="F23" s="138">
        <v>17.989999999999998</v>
      </c>
      <c r="G23" s="138">
        <v>13.89</v>
      </c>
      <c r="H23" s="138">
        <v>13.49</v>
      </c>
      <c r="I23" s="9">
        <v>13.49</v>
      </c>
      <c r="J23" s="9">
        <v>8.99</v>
      </c>
      <c r="K23" s="139">
        <v>7.99</v>
      </c>
      <c r="L23" s="139">
        <v>19.989999999999998</v>
      </c>
      <c r="M23" s="10">
        <v>9.49</v>
      </c>
      <c r="N23" s="10">
        <v>18.989999999999998</v>
      </c>
      <c r="O23" s="10">
        <v>6.99</v>
      </c>
      <c r="P23">
        <v>7.6</v>
      </c>
      <c r="Q23">
        <v>3.99</v>
      </c>
      <c r="R23">
        <v>4.99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129</v>
      </c>
      <c r="B24" s="9">
        <v>9.49</v>
      </c>
      <c r="C24" s="138">
        <v>5.79</v>
      </c>
      <c r="D24" s="9">
        <v>19.989999999999998</v>
      </c>
      <c r="E24" s="138">
        <v>13.69</v>
      </c>
      <c r="F24" s="138">
        <v>17.989999999999998</v>
      </c>
      <c r="G24" s="138">
        <v>13.89</v>
      </c>
      <c r="H24" s="138">
        <v>13.49</v>
      </c>
      <c r="I24" s="9">
        <v>13.49</v>
      </c>
      <c r="J24" s="9">
        <v>8.99</v>
      </c>
      <c r="K24" s="139">
        <v>7.99</v>
      </c>
      <c r="L24" s="139">
        <v>19.989999999999998</v>
      </c>
      <c r="M24" s="10">
        <v>9.49</v>
      </c>
      <c r="N24" s="10">
        <v>18.989999999999998</v>
      </c>
      <c r="O24" s="10">
        <v>6.99</v>
      </c>
      <c r="P24">
        <v>7.6</v>
      </c>
      <c r="Q24">
        <v>3.99</v>
      </c>
      <c r="R24">
        <v>4.99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130</v>
      </c>
      <c r="B25" s="9">
        <v>9.49</v>
      </c>
      <c r="C25" s="101">
        <v>5.79</v>
      </c>
      <c r="D25" s="9">
        <v>19.989999999999998</v>
      </c>
      <c r="E25" s="101">
        <v>13.69</v>
      </c>
      <c r="F25" s="101">
        <v>17.989999999999998</v>
      </c>
      <c r="G25" s="101">
        <v>13.89</v>
      </c>
      <c r="H25" s="101">
        <v>13.49</v>
      </c>
      <c r="I25" s="9">
        <v>13.49</v>
      </c>
      <c r="J25" s="102">
        <v>9.99</v>
      </c>
      <c r="K25" s="102">
        <v>9.99</v>
      </c>
      <c r="L25" s="102">
        <v>24.99</v>
      </c>
      <c r="M25" s="102">
        <v>9.49</v>
      </c>
      <c r="N25" s="102">
        <v>18.989999999999998</v>
      </c>
      <c r="O25" s="102">
        <v>6.99</v>
      </c>
      <c r="P25">
        <v>7.6</v>
      </c>
      <c r="Q25">
        <v>3.99</v>
      </c>
      <c r="R25">
        <v>4.99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131</v>
      </c>
      <c r="B26" s="9">
        <v>9.49</v>
      </c>
      <c r="C26" s="101">
        <v>5.79</v>
      </c>
      <c r="D26" s="9">
        <v>19.989999999999998</v>
      </c>
      <c r="E26" s="101">
        <v>13.69</v>
      </c>
      <c r="F26" s="101">
        <v>17.989999999999998</v>
      </c>
      <c r="G26" s="101">
        <v>13.89</v>
      </c>
      <c r="H26" s="101">
        <v>13.49</v>
      </c>
      <c r="I26" s="9">
        <v>13.49</v>
      </c>
      <c r="J26" s="102">
        <v>9.99</v>
      </c>
      <c r="K26" s="102">
        <v>9.99</v>
      </c>
      <c r="L26" s="102">
        <v>24.99</v>
      </c>
      <c r="M26" s="102">
        <v>9.49</v>
      </c>
      <c r="N26" s="102">
        <v>18.989999999999998</v>
      </c>
      <c r="O26" s="102">
        <v>6.99</v>
      </c>
      <c r="P26">
        <v>7.6</v>
      </c>
      <c r="Q26">
        <v>3.99</v>
      </c>
      <c r="R26">
        <v>4.99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132</v>
      </c>
      <c r="B27" s="9">
        <v>9.49</v>
      </c>
      <c r="C27" s="138">
        <v>5.79</v>
      </c>
      <c r="D27" s="9">
        <v>19.989999999999998</v>
      </c>
      <c r="E27" s="138">
        <v>13.69</v>
      </c>
      <c r="F27" s="138">
        <v>17.989999999999998</v>
      </c>
      <c r="G27" s="138">
        <v>13.89</v>
      </c>
      <c r="H27" s="138">
        <v>13.49</v>
      </c>
      <c r="I27" s="9">
        <v>13.49</v>
      </c>
      <c r="J27" s="9">
        <v>8.99</v>
      </c>
      <c r="K27" s="139">
        <v>7.99</v>
      </c>
      <c r="L27" s="139">
        <v>19.989999999999998</v>
      </c>
      <c r="M27" s="10">
        <v>9.49</v>
      </c>
      <c r="N27" s="10">
        <v>18.989999999999998</v>
      </c>
      <c r="O27" s="10">
        <v>6.99</v>
      </c>
      <c r="P27">
        <v>7.6</v>
      </c>
      <c r="Q27">
        <v>3.99</v>
      </c>
      <c r="R27">
        <v>4.99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133</v>
      </c>
      <c r="B28" s="9">
        <v>9.49</v>
      </c>
      <c r="C28" s="101">
        <v>5.79</v>
      </c>
      <c r="D28" s="9">
        <v>19.989999999999998</v>
      </c>
      <c r="E28" s="101">
        <v>13.69</v>
      </c>
      <c r="F28" s="101">
        <v>17.989999999999998</v>
      </c>
      <c r="G28" s="101">
        <v>13.89</v>
      </c>
      <c r="H28" s="101">
        <v>13.49</v>
      </c>
      <c r="I28" s="9">
        <v>13.49</v>
      </c>
      <c r="J28" s="102">
        <v>9.99</v>
      </c>
      <c r="K28" s="102">
        <v>9.99</v>
      </c>
      <c r="L28" s="102">
        <v>24.99</v>
      </c>
      <c r="M28" s="102">
        <v>9.49</v>
      </c>
      <c r="N28" s="102">
        <v>18.989999999999998</v>
      </c>
      <c r="O28" s="102">
        <v>6.99</v>
      </c>
      <c r="P28">
        <v>7.6</v>
      </c>
      <c r="Q28">
        <v>3.99</v>
      </c>
      <c r="R28">
        <v>4.99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140" t="s">
        <v>134</v>
      </c>
      <c r="B29" s="9">
        <v>9.49</v>
      </c>
      <c r="C29" s="101">
        <v>5.79</v>
      </c>
      <c r="D29" s="9">
        <v>19.989999999999998</v>
      </c>
      <c r="E29" s="101">
        <v>13.69</v>
      </c>
      <c r="F29" s="101">
        <v>17.989999999999998</v>
      </c>
      <c r="G29" s="101">
        <v>13.89</v>
      </c>
      <c r="H29" s="101">
        <v>13.49</v>
      </c>
      <c r="I29" s="9">
        <v>13.49</v>
      </c>
      <c r="J29" s="102">
        <v>9.99</v>
      </c>
      <c r="K29" s="102">
        <v>9.99</v>
      </c>
      <c r="L29" s="102">
        <v>24.99</v>
      </c>
      <c r="M29" s="102">
        <v>9.49</v>
      </c>
      <c r="N29" s="102">
        <v>18.989999999999998</v>
      </c>
      <c r="O29" s="102">
        <v>6.99</v>
      </c>
      <c r="P29">
        <v>7.6</v>
      </c>
      <c r="Q29">
        <v>3.99</v>
      </c>
      <c r="R29">
        <v>4.99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135</v>
      </c>
      <c r="B30" s="9">
        <v>9.49</v>
      </c>
      <c r="C30" s="138">
        <v>5.79</v>
      </c>
      <c r="D30" s="9">
        <v>19.989999999999998</v>
      </c>
      <c r="E30" s="138">
        <v>13.69</v>
      </c>
      <c r="F30" s="138">
        <v>17.989999999999998</v>
      </c>
      <c r="G30" s="138">
        <v>13.89</v>
      </c>
      <c r="H30" s="138">
        <v>13.49</v>
      </c>
      <c r="I30" s="9">
        <v>13.49</v>
      </c>
      <c r="J30" s="9">
        <v>8.99</v>
      </c>
      <c r="K30" s="139">
        <v>7.99</v>
      </c>
      <c r="L30" s="139">
        <v>19.989999999999998</v>
      </c>
      <c r="M30" s="10">
        <v>9.49</v>
      </c>
      <c r="N30" s="10">
        <v>18.989999999999998</v>
      </c>
      <c r="O30" s="10">
        <v>6.99</v>
      </c>
      <c r="P30">
        <v>7.6</v>
      </c>
      <c r="Q30">
        <v>3.99</v>
      </c>
      <c r="R30">
        <v>4.99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103" t="s">
        <v>136</v>
      </c>
      <c r="B31" s="141"/>
      <c r="C31" s="104"/>
      <c r="D31" s="141"/>
      <c r="E31" s="104"/>
      <c r="F31" s="104"/>
      <c r="G31" s="104"/>
      <c r="H31" s="104"/>
      <c r="I31" s="104"/>
      <c r="J31" s="104"/>
      <c r="K31" s="104"/>
      <c r="L31" s="104"/>
      <c r="M31" s="104"/>
      <c r="N31" s="104">
        <v>18.989999999999998</v>
      </c>
      <c r="O31" s="104"/>
    </row>
    <row r="33" spans="1:15" x14ac:dyDescent="0.3">
      <c r="A33" s="106" t="s">
        <v>22</v>
      </c>
      <c r="B33" s="107">
        <v>9.49</v>
      </c>
      <c r="C33" s="108">
        <v>5.79</v>
      </c>
      <c r="D33" s="108">
        <v>19.989999999999998</v>
      </c>
      <c r="E33" s="108">
        <v>13.69</v>
      </c>
      <c r="F33" s="108">
        <v>17.989999999999998</v>
      </c>
      <c r="G33" s="108">
        <v>13.89</v>
      </c>
      <c r="H33" s="108">
        <v>13.49</v>
      </c>
      <c r="I33" s="108">
        <v>12.49</v>
      </c>
      <c r="J33" s="108">
        <v>9.99</v>
      </c>
      <c r="K33" s="108">
        <v>9.99</v>
      </c>
      <c r="L33" s="108">
        <v>24.99</v>
      </c>
      <c r="M33" s="108">
        <v>0</v>
      </c>
      <c r="N33" s="108">
        <v>18.989999999999998</v>
      </c>
      <c r="O33" s="108">
        <v>0</v>
      </c>
    </row>
    <row r="34" spans="1:15" x14ac:dyDescent="0.3">
      <c r="I34" t="s">
        <v>151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7849-44CA-41A6-86FA-C85BCC8286BA}">
  <dimension ref="A1:J30"/>
  <sheetViews>
    <sheetView showGridLines="0" zoomScale="91" zoomScaleNormal="91" workbookViewId="0">
      <pane xSplit="3" ySplit="1" topLeftCell="D2" activePane="bottomRight" state="frozen"/>
      <selection activeCell="B27" sqref="B27"/>
      <selection pane="topRight" activeCell="B27" sqref="B27"/>
      <selection pane="bottomLeft" activeCell="B27" sqref="B27"/>
      <selection pane="bottomRight" activeCell="B27" sqref="B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f>VLOOKUP(A2,[1]DIFAL!$C$13:$H$39,6,)</f>
        <v>0.19</v>
      </c>
      <c r="D2" s="123"/>
      <c r="E2" s="123"/>
      <c r="F2" s="123"/>
      <c r="G2" s="123"/>
      <c r="H2" s="51">
        <f>PREÇOS!P3</f>
        <v>4.731182795698925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PREÇOS!P4</f>
        <v>4.731182795698925</v>
      </c>
      <c r="I3" s="48">
        <f>IF(F3=0,,H3*(1+F3)*C3-(H3*B3))</f>
        <v>1.0988645161290322</v>
      </c>
      <c r="J3" s="48">
        <f t="shared" si="1"/>
        <v>1.0988645161290322</v>
      </c>
    </row>
    <row r="4" spans="1:10" x14ac:dyDescent="0.3">
      <c r="A4" s="121" t="s">
        <v>111</v>
      </c>
      <c r="B4" s="129">
        <v>7.0000000000000007E-2</v>
      </c>
      <c r="C4" s="129">
        <f>VLOOKUP(A4,[1]DIFAL!$C$13:$H$39,6,)</f>
        <v>0.2</v>
      </c>
      <c r="D4" s="123"/>
      <c r="E4" s="123"/>
      <c r="F4" s="123"/>
      <c r="G4" s="123"/>
      <c r="H4" s="51">
        <f>PREÇOS!P5</f>
        <v>4.731182795698925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f>VLOOKUP(A5,[1]DIFAL!$C$13:$H$39,5,)</f>
        <v>0.18</v>
      </c>
      <c r="D5" s="123"/>
      <c r="E5" s="123"/>
      <c r="F5" s="123">
        <v>0.51980000000000004</v>
      </c>
      <c r="G5" s="123"/>
      <c r="H5" s="51">
        <f>PREÇOS!P6</f>
        <v>4.731182795698925</v>
      </c>
      <c r="I5" s="48">
        <f t="shared" si="0"/>
        <v>0.96309849462365582</v>
      </c>
      <c r="J5" s="48">
        <f t="shared" si="1"/>
        <v>0.96309849462365582</v>
      </c>
    </row>
    <row r="6" spans="1:10" x14ac:dyDescent="0.3">
      <c r="A6" s="121" t="s">
        <v>113</v>
      </c>
      <c r="B6" s="129">
        <v>7.0000000000000007E-2</v>
      </c>
      <c r="C6" s="129">
        <f>VLOOKUP(A6,[1]DIFAL!$C$13:$H$39,6,)</f>
        <v>0.19</v>
      </c>
      <c r="D6" s="123"/>
      <c r="E6" s="123"/>
      <c r="F6" s="123"/>
      <c r="G6" s="123"/>
      <c r="H6" s="51">
        <f>PREÇOS!P7</f>
        <v>4.731182795698925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f>VLOOKUP(A7,[1]DIFAL!$C$13:$H$39,6,)</f>
        <v>0.2</v>
      </c>
      <c r="D7" s="123"/>
      <c r="E7" s="123"/>
      <c r="F7" s="123"/>
      <c r="G7" s="123"/>
      <c r="H7" s="51">
        <f>PREÇOS!P8</f>
        <v>4.731182795698925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f>VLOOKUP(A8,[1]DIFAL!$C$13:$H$39,5,)</f>
        <v>0.18</v>
      </c>
      <c r="D8" s="123"/>
      <c r="E8" s="123"/>
      <c r="F8" s="123"/>
      <c r="G8" s="123"/>
      <c r="H8" s="51">
        <f>PREÇOS!P9</f>
        <v>4.731182795698925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</v>
      </c>
      <c r="B9" s="129">
        <v>7.0000000000000007E-2</v>
      </c>
      <c r="C9" s="129">
        <f>VLOOKUP(A9,[1]DIFAL!$C$13:$H$39,5,)</f>
        <v>0.17</v>
      </c>
      <c r="D9" s="123"/>
      <c r="E9" s="123"/>
      <c r="F9" s="123"/>
      <c r="G9" s="123"/>
      <c r="H9" s="51">
        <f>PREÇOS!P10</f>
        <v>4.731182795698925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9">
        <f>VLOOKUP(A10,[1]DIFAL!$C$13:$H$39,5,)</f>
        <v>0.17</v>
      </c>
      <c r="D10" s="123"/>
      <c r="E10" s="123"/>
      <c r="F10" s="123"/>
      <c r="G10" s="123"/>
      <c r="H10" s="51">
        <f>PREÇOS!P11</f>
        <v>4.731182795698925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9">
        <f>VLOOKUP(A11,[1]DIFAL!$C$13:$H$39,6,)</f>
        <v>0.2</v>
      </c>
      <c r="D11" s="123"/>
      <c r="E11" s="123"/>
      <c r="F11" s="123"/>
      <c r="G11" s="123"/>
      <c r="H11" s="51">
        <f>PREÇOS!P12</f>
        <v>4.731182795698925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118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PREÇOS!P13</f>
        <v>5</v>
      </c>
      <c r="I12" s="93">
        <f t="shared" si="0"/>
        <v>0.15000000000000002</v>
      </c>
      <c r="J12" s="93">
        <f t="shared" si="1"/>
        <v>0.15000000000000002</v>
      </c>
    </row>
    <row r="13" spans="1:10" x14ac:dyDescent="0.3">
      <c r="A13" s="121" t="s">
        <v>119</v>
      </c>
      <c r="B13" s="129">
        <v>7.0000000000000007E-2</v>
      </c>
      <c r="C13" s="129">
        <f>VLOOKUP(A13,[1]DIFAL!$C$13:$H$39,5,)</f>
        <v>0.17</v>
      </c>
      <c r="D13" s="123"/>
      <c r="E13" s="123"/>
      <c r="F13" s="123"/>
      <c r="G13" s="123"/>
      <c r="H13" s="51">
        <f>PREÇOS!P14</f>
        <v>5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9">
        <f>VLOOKUP(A14,[1]DIFAL!$C$13:$H$39,5,)</f>
        <v>0.17</v>
      </c>
      <c r="D14" s="123"/>
      <c r="E14" s="123"/>
      <c r="F14" s="123">
        <v>0.39779999999999999</v>
      </c>
      <c r="G14" s="123"/>
      <c r="H14" s="51">
        <f>PREÇOS!P15</f>
        <v>5</v>
      </c>
      <c r="I14" s="48">
        <f t="shared" si="0"/>
        <v>0.83813000000000004</v>
      </c>
      <c r="J14" s="48">
        <f t="shared" si="1"/>
        <v>0.83813000000000004</v>
      </c>
    </row>
    <row r="15" spans="1:10" x14ac:dyDescent="0.3">
      <c r="A15" s="121" t="s">
        <v>121</v>
      </c>
      <c r="B15" s="129">
        <v>7.0000000000000007E-2</v>
      </c>
      <c r="C15" s="129">
        <f>VLOOKUP(A15,[1]DIFAL!$C$13:$H$39,6,)</f>
        <v>0.19</v>
      </c>
      <c r="D15" s="123"/>
      <c r="E15" s="123"/>
      <c r="F15" s="123"/>
      <c r="G15" s="123"/>
      <c r="H15" s="51">
        <f>PREÇOS!P16</f>
        <v>5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9">
        <f>VLOOKUP(A16,[1]DIFAL!$C$13:$H$39,5,)</f>
        <v>0.18</v>
      </c>
      <c r="D16" s="123"/>
      <c r="E16" s="123"/>
      <c r="F16" s="123"/>
      <c r="G16" s="123"/>
      <c r="H16" s="51">
        <f>PREÇOS!P17</f>
        <v>5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9">
        <f>VLOOKUP(A17,[1]DIFAL!$C$13:$H$39,5,)</f>
        <v>0.18</v>
      </c>
      <c r="D17" s="123"/>
      <c r="E17" s="123"/>
      <c r="F17" s="123"/>
      <c r="G17" s="123"/>
      <c r="H17" s="51">
        <f>PREÇOS!P18</f>
        <v>5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9">
        <f>VLOOKUP(A18,[1]DIFAL!$C$13:$H$39,6,)</f>
        <v>0.21</v>
      </c>
      <c r="D18" s="123"/>
      <c r="E18" s="123"/>
      <c r="F18" s="123"/>
      <c r="G18" s="123"/>
      <c r="H18" s="51">
        <f>PREÇOS!P19</f>
        <v>5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PREÇOS!P20</f>
        <v>5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126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5</v>
      </c>
      <c r="I20" s="93">
        <f t="shared" si="0"/>
        <v>1.0778300000000001</v>
      </c>
      <c r="J20" s="93">
        <f t="shared" si="1"/>
        <v>1.0778300000000001</v>
      </c>
    </row>
    <row r="21" spans="1:10" x14ac:dyDescent="0.3">
      <c r="A21" s="121" t="s">
        <v>127</v>
      </c>
      <c r="B21" s="129">
        <v>7.0000000000000007E-2</v>
      </c>
      <c r="C21" s="129">
        <f>VLOOKUP(A21,[1]DIFAL!$C$13:$H$39,6,)</f>
        <v>0.2</v>
      </c>
      <c r="D21" s="123"/>
      <c r="E21" s="123"/>
      <c r="F21" s="123"/>
      <c r="G21" s="123"/>
      <c r="H21" s="51">
        <f>PREÇOS!P22</f>
        <v>5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9">
        <f>VLOOKUP(A22,[1]DIFAL!$C$13:$H$39,5,)</f>
        <v>0.17499999999999999</v>
      </c>
      <c r="D22" s="123"/>
      <c r="E22" s="123"/>
      <c r="F22" s="123"/>
      <c r="G22" s="123"/>
      <c r="H22" s="51">
        <f>PREÇOS!P23</f>
        <v>5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9">
        <f>VLOOKUP(A23,[1]DIFAL!$C$13:$H$39,6,)</f>
        <v>0.2</v>
      </c>
      <c r="D23" s="123"/>
      <c r="E23" s="123"/>
      <c r="F23" s="123"/>
      <c r="G23" s="123"/>
      <c r="H23" s="51">
        <f>PREÇOS!P24</f>
        <v>5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130</v>
      </c>
      <c r="B24" s="129">
        <v>0.12</v>
      </c>
      <c r="C24" s="129">
        <f>VLOOKUP(A24,[1]DIFAL!$C$13:$H$39,5,)</f>
        <v>0.17</v>
      </c>
      <c r="D24" s="123"/>
      <c r="E24" s="123"/>
      <c r="F24" s="123"/>
      <c r="G24" s="123"/>
      <c r="H24" s="91">
        <f>PREÇOS!P25</f>
        <v>5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v>0.12</v>
      </c>
      <c r="C25" s="129">
        <f>VLOOKUP(A25,[1]DIFAL!$C$13:$H$39,5,)</f>
        <v>0.17</v>
      </c>
      <c r="D25" s="123"/>
      <c r="E25" s="123"/>
      <c r="F25" s="123"/>
      <c r="G25" s="123"/>
      <c r="H25" s="91">
        <f>PREÇOS!P26</f>
        <v>5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PREÇOS!P27</f>
        <v>4.731182795698925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v>0.12</v>
      </c>
      <c r="C27" s="129">
        <f>VLOOKUP(A27,[1]DIFAL!$C$13:$H$39,5,)</f>
        <v>0.18</v>
      </c>
      <c r="D27" s="123">
        <v>0.5917</v>
      </c>
      <c r="E27" s="123"/>
      <c r="F27" s="123">
        <v>0.5917</v>
      </c>
      <c r="G27" s="123"/>
      <c r="H27" s="91">
        <f>PREÇOS!P28</f>
        <v>5</v>
      </c>
      <c r="I27" s="93">
        <f t="shared" si="0"/>
        <v>0.83252999999999988</v>
      </c>
      <c r="J27" s="93">
        <f t="shared" si="1"/>
        <v>0.83252999999999988</v>
      </c>
    </row>
    <row r="28" spans="1:10" x14ac:dyDescent="0.3">
      <c r="A28" s="121" t="s">
        <v>134</v>
      </c>
      <c r="B28" s="129">
        <f>B27</f>
        <v>0.12</v>
      </c>
      <c r="C28" s="129">
        <f t="shared" ref="C28:G28" si="2">C27</f>
        <v>0.18</v>
      </c>
      <c r="D28" s="123">
        <v>0.48320000000000002</v>
      </c>
      <c r="E28" s="123">
        <f t="shared" si="2"/>
        <v>0</v>
      </c>
      <c r="F28" s="123">
        <v>0.48320000000000002</v>
      </c>
      <c r="G28" s="129">
        <f t="shared" si="2"/>
        <v>0</v>
      </c>
      <c r="H28" s="119">
        <f>PREÇOS!P29</f>
        <v>5</v>
      </c>
      <c r="I28" s="118">
        <f t="shared" si="0"/>
        <v>0.73488000000000009</v>
      </c>
      <c r="J28" s="118">
        <f t="shared" si="1"/>
        <v>0.73488000000000009</v>
      </c>
    </row>
    <row r="29" spans="1:10" x14ac:dyDescent="0.3">
      <c r="A29" s="121" t="s">
        <v>135</v>
      </c>
      <c r="B29" s="129">
        <v>7.0000000000000007E-2</v>
      </c>
      <c r="C29" s="129">
        <f>VLOOKUP(A29,[1]DIFAL!$C$13:$H$39,6,)</f>
        <v>0.2</v>
      </c>
      <c r="D29" s="123"/>
      <c r="E29" s="123"/>
      <c r="F29" s="123"/>
      <c r="G29" s="123"/>
      <c r="H29" s="51">
        <f>PREÇOS!P30</f>
        <v>4.731182795698925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X35"/>
  <sheetViews>
    <sheetView topLeftCell="G8" zoomScale="70" zoomScaleNormal="70" workbookViewId="0">
      <selection activeCell="R20" sqref="R20"/>
    </sheetView>
  </sheetViews>
  <sheetFormatPr defaultRowHeight="14.4" x14ac:dyDescent="0.3"/>
  <cols>
    <col min="1" max="15" width="18.44140625" customWidth="1"/>
  </cols>
  <sheetData>
    <row r="1" spans="1:24" ht="15.6" x14ac:dyDescent="0.3">
      <c r="A1" s="96" t="s">
        <v>152</v>
      </c>
      <c r="B1" s="97" t="s">
        <v>153</v>
      </c>
      <c r="C1" s="98"/>
      <c r="D1" s="98">
        <v>1.03</v>
      </c>
      <c r="E1" s="98"/>
      <c r="F1" s="98"/>
      <c r="G1" s="130"/>
      <c r="H1" s="98"/>
      <c r="I1" s="98">
        <v>1.1000000000000001</v>
      </c>
      <c r="J1" s="98"/>
      <c r="K1" s="98"/>
      <c r="L1" s="98"/>
      <c r="M1" s="98"/>
      <c r="N1" s="98">
        <v>1.05</v>
      </c>
      <c r="O1" s="98"/>
    </row>
    <row r="2" spans="1:24" ht="31.2" x14ac:dyDescent="0.3">
      <c r="A2" s="99" t="s">
        <v>99</v>
      </c>
      <c r="B2" s="131" t="s">
        <v>138</v>
      </c>
      <c r="C2" s="99" t="s">
        <v>139</v>
      </c>
      <c r="D2" s="131" t="s">
        <v>140</v>
      </c>
      <c r="E2" s="99" t="s">
        <v>141</v>
      </c>
      <c r="F2" s="99" t="s">
        <v>142</v>
      </c>
      <c r="G2" s="132" t="s">
        <v>143</v>
      </c>
      <c r="H2" s="1" t="s">
        <v>144</v>
      </c>
      <c r="I2" s="100" t="s">
        <v>145</v>
      </c>
      <c r="J2" s="132" t="s">
        <v>146</v>
      </c>
      <c r="K2" s="133" t="s">
        <v>147</v>
      </c>
      <c r="L2" s="133" t="s">
        <v>148</v>
      </c>
      <c r="M2" s="1" t="s">
        <v>149</v>
      </c>
      <c r="N2" s="1" t="s">
        <v>150</v>
      </c>
      <c r="O2" s="1" t="s">
        <v>154</v>
      </c>
      <c r="P2" s="1" t="s">
        <v>155</v>
      </c>
      <c r="Q2" s="1" t="s">
        <v>156</v>
      </c>
      <c r="R2" s="1" t="s">
        <v>157</v>
      </c>
      <c r="S2" s="1" t="s">
        <v>158</v>
      </c>
      <c r="T2" s="1" t="s">
        <v>159</v>
      </c>
      <c r="U2" s="1" t="s">
        <v>160</v>
      </c>
      <c r="V2" s="1" t="s">
        <v>161</v>
      </c>
    </row>
    <row r="3" spans="1:24" x14ac:dyDescent="0.3">
      <c r="A3" s="8" t="s">
        <v>109</v>
      </c>
      <c r="B3" s="9">
        <v>5.44</v>
      </c>
      <c r="C3" s="9">
        <v>3.36</v>
      </c>
      <c r="D3" s="9">
        <v>11.443299999999999</v>
      </c>
      <c r="E3" s="9">
        <v>7.56</v>
      </c>
      <c r="F3" s="10">
        <v>10.47</v>
      </c>
      <c r="G3" s="10">
        <v>7.42</v>
      </c>
      <c r="H3" s="10">
        <v>7.24</v>
      </c>
      <c r="I3" s="9">
        <v>7.7220000000000004</v>
      </c>
      <c r="J3" s="10">
        <v>6</v>
      </c>
      <c r="K3" s="10">
        <v>4.9400000000000004</v>
      </c>
      <c r="L3" s="10">
        <v>12.63</v>
      </c>
      <c r="M3" s="6">
        <v>5.44</v>
      </c>
      <c r="N3" s="6">
        <v>11.605263157894736</v>
      </c>
      <c r="O3" s="89">
        <f t="shared" ref="O3:R11" si="0">O$12</f>
        <v>4.1161290322580637</v>
      </c>
      <c r="P3" s="89">
        <f t="shared" si="0"/>
        <v>4.731182795698925</v>
      </c>
      <c r="Q3" s="89">
        <f t="shared" si="0"/>
        <v>2.3655913978494625</v>
      </c>
      <c r="R3" s="89">
        <f t="shared" si="0"/>
        <v>2.9806451612903224</v>
      </c>
      <c r="S3" s="89">
        <v>15</v>
      </c>
      <c r="T3" s="89">
        <v>13</v>
      </c>
      <c r="U3" s="89">
        <v>17</v>
      </c>
      <c r="V3" s="89">
        <v>26.29</v>
      </c>
    </row>
    <row r="4" spans="1:24" x14ac:dyDescent="0.3">
      <c r="A4" s="8" t="s">
        <v>110</v>
      </c>
      <c r="B4" s="9">
        <v>5.44</v>
      </c>
      <c r="C4" s="9">
        <v>3.36</v>
      </c>
      <c r="D4" s="9">
        <v>11.443299999999999</v>
      </c>
      <c r="E4" s="9">
        <v>7.56</v>
      </c>
      <c r="F4" s="10">
        <v>10.47</v>
      </c>
      <c r="G4" s="10">
        <v>7.42</v>
      </c>
      <c r="H4" s="10">
        <v>7.24</v>
      </c>
      <c r="I4" s="9">
        <v>7.7220000000000004</v>
      </c>
      <c r="J4" s="10">
        <v>6</v>
      </c>
      <c r="K4" s="10">
        <v>4.9400000000000004</v>
      </c>
      <c r="L4" s="10">
        <v>12.63</v>
      </c>
      <c r="M4" s="6">
        <v>5.44</v>
      </c>
      <c r="N4" s="6">
        <v>11.605263157894736</v>
      </c>
      <c r="O4" s="89">
        <f t="shared" si="0"/>
        <v>4.1161290322580637</v>
      </c>
      <c r="P4" s="89">
        <f t="shared" si="0"/>
        <v>4.731182795698925</v>
      </c>
      <c r="Q4" s="89">
        <f t="shared" si="0"/>
        <v>2.3655913978494625</v>
      </c>
      <c r="R4" s="89">
        <f t="shared" si="0"/>
        <v>2.9806451612903224</v>
      </c>
      <c r="S4" s="89">
        <v>15</v>
      </c>
      <c r="T4" s="89">
        <v>13</v>
      </c>
      <c r="U4" s="89">
        <v>17</v>
      </c>
      <c r="V4" s="89">
        <v>26.29</v>
      </c>
    </row>
    <row r="5" spans="1:24" x14ac:dyDescent="0.3">
      <c r="A5" s="8" t="s">
        <v>111</v>
      </c>
      <c r="B5" s="9">
        <v>5.44</v>
      </c>
      <c r="C5" s="9">
        <v>3.36</v>
      </c>
      <c r="D5" s="9">
        <v>11.443299999999999</v>
      </c>
      <c r="E5" s="9">
        <v>7.56</v>
      </c>
      <c r="F5" s="10">
        <v>10.47</v>
      </c>
      <c r="G5" s="10">
        <v>7.42</v>
      </c>
      <c r="H5" s="10">
        <v>7.24</v>
      </c>
      <c r="I5" s="9">
        <v>7.7220000000000004</v>
      </c>
      <c r="J5" s="10">
        <v>6</v>
      </c>
      <c r="K5" s="10">
        <v>4.9400000000000004</v>
      </c>
      <c r="L5" s="10">
        <v>12.63</v>
      </c>
      <c r="M5" s="6">
        <v>5.44</v>
      </c>
      <c r="N5" s="6">
        <v>11.605263157894736</v>
      </c>
      <c r="O5" s="89">
        <f t="shared" si="0"/>
        <v>4.1161290322580637</v>
      </c>
      <c r="P5" s="89">
        <f t="shared" si="0"/>
        <v>4.731182795698925</v>
      </c>
      <c r="Q5" s="89">
        <f t="shared" si="0"/>
        <v>2.3655913978494625</v>
      </c>
      <c r="R5" s="89">
        <f t="shared" si="0"/>
        <v>2.9806451612903224</v>
      </c>
      <c r="S5" s="89">
        <v>15</v>
      </c>
      <c r="T5" s="89">
        <v>13</v>
      </c>
      <c r="U5" s="89">
        <v>17</v>
      </c>
      <c r="V5" s="89">
        <v>26.29</v>
      </c>
    </row>
    <row r="6" spans="1:24" x14ac:dyDescent="0.3">
      <c r="A6" s="8" t="s">
        <v>112</v>
      </c>
      <c r="B6" s="9">
        <v>5.44</v>
      </c>
      <c r="C6" s="9">
        <v>3.36</v>
      </c>
      <c r="D6" s="9">
        <v>11.443299999999999</v>
      </c>
      <c r="E6" s="9">
        <v>7.56</v>
      </c>
      <c r="F6" s="10">
        <v>10.47</v>
      </c>
      <c r="G6" s="10">
        <v>7.42</v>
      </c>
      <c r="H6" s="10">
        <v>7.24</v>
      </c>
      <c r="I6" s="9">
        <v>7.7220000000000004</v>
      </c>
      <c r="J6" s="10">
        <v>6</v>
      </c>
      <c r="K6" s="10">
        <v>4.9400000000000004</v>
      </c>
      <c r="L6" s="10">
        <v>12.63</v>
      </c>
      <c r="M6" s="6">
        <v>5.44</v>
      </c>
      <c r="N6" s="6">
        <v>11.605263157894736</v>
      </c>
      <c r="O6" s="89">
        <f t="shared" si="0"/>
        <v>4.1161290322580637</v>
      </c>
      <c r="P6" s="89">
        <f t="shared" si="0"/>
        <v>4.731182795698925</v>
      </c>
      <c r="Q6" s="89">
        <f t="shared" si="0"/>
        <v>2.3655913978494625</v>
      </c>
      <c r="R6" s="89">
        <f t="shared" si="0"/>
        <v>2.9806451612903224</v>
      </c>
      <c r="S6" s="89">
        <v>15</v>
      </c>
      <c r="T6" s="89">
        <v>13</v>
      </c>
      <c r="U6" s="89">
        <v>17</v>
      </c>
      <c r="V6" s="89">
        <v>26.29</v>
      </c>
    </row>
    <row r="7" spans="1:24" x14ac:dyDescent="0.3">
      <c r="A7" s="8" t="s">
        <v>113</v>
      </c>
      <c r="B7" s="9">
        <v>5.44</v>
      </c>
      <c r="C7" s="9">
        <v>3.36</v>
      </c>
      <c r="D7" s="9">
        <v>11.443299999999999</v>
      </c>
      <c r="E7" s="9">
        <v>7.56</v>
      </c>
      <c r="F7" s="10">
        <v>10.47</v>
      </c>
      <c r="G7" s="10">
        <v>7.42</v>
      </c>
      <c r="H7" s="10">
        <v>7.24</v>
      </c>
      <c r="I7" s="9">
        <v>7.7220000000000004</v>
      </c>
      <c r="J7" s="10">
        <v>6</v>
      </c>
      <c r="K7" s="10">
        <v>4.9400000000000004</v>
      </c>
      <c r="L7" s="10">
        <v>12.63</v>
      </c>
      <c r="M7" s="6">
        <v>5.44</v>
      </c>
      <c r="N7" s="6">
        <v>11.605263157894736</v>
      </c>
      <c r="O7" s="89">
        <f t="shared" si="0"/>
        <v>4.1161290322580637</v>
      </c>
      <c r="P7" s="89">
        <f t="shared" si="0"/>
        <v>4.731182795698925</v>
      </c>
      <c r="Q7" s="89">
        <f t="shared" si="0"/>
        <v>2.3655913978494625</v>
      </c>
      <c r="R7" s="89">
        <f t="shared" si="0"/>
        <v>2.9806451612903224</v>
      </c>
      <c r="S7" s="89">
        <v>15</v>
      </c>
      <c r="T7" s="89">
        <v>13</v>
      </c>
      <c r="U7" s="89">
        <v>17</v>
      </c>
      <c r="V7" s="89">
        <v>26.29</v>
      </c>
    </row>
    <row r="8" spans="1:24" x14ac:dyDescent="0.3">
      <c r="A8" s="8" t="s">
        <v>114</v>
      </c>
      <c r="B8" s="9">
        <v>5.44</v>
      </c>
      <c r="C8" s="9">
        <v>3.36</v>
      </c>
      <c r="D8" s="9">
        <v>11.443299999999999</v>
      </c>
      <c r="E8" s="9">
        <v>7.56</v>
      </c>
      <c r="F8" s="10">
        <v>10.47</v>
      </c>
      <c r="G8" s="10">
        <v>7.42</v>
      </c>
      <c r="H8" s="10">
        <v>7.24</v>
      </c>
      <c r="I8" s="9">
        <v>7.7220000000000004</v>
      </c>
      <c r="J8" s="10">
        <v>6</v>
      </c>
      <c r="K8" s="10">
        <v>4.9400000000000004</v>
      </c>
      <c r="L8" s="10">
        <v>12.63</v>
      </c>
      <c r="M8" s="6">
        <v>5.44</v>
      </c>
      <c r="N8" s="6">
        <v>11.605263157894736</v>
      </c>
      <c r="O8" s="89">
        <f t="shared" si="0"/>
        <v>4.1161290322580637</v>
      </c>
      <c r="P8" s="89">
        <f t="shared" si="0"/>
        <v>4.731182795698925</v>
      </c>
      <c r="Q8" s="89">
        <f t="shared" si="0"/>
        <v>2.3655913978494625</v>
      </c>
      <c r="R8" s="89">
        <f t="shared" si="0"/>
        <v>2.9806451612903224</v>
      </c>
      <c r="S8" s="89">
        <v>15</v>
      </c>
      <c r="T8" s="89">
        <v>13</v>
      </c>
      <c r="U8" s="89">
        <v>17</v>
      </c>
      <c r="V8" s="89">
        <v>26.29</v>
      </c>
    </row>
    <row r="9" spans="1:24" x14ac:dyDescent="0.3">
      <c r="A9" s="8" t="s">
        <v>115</v>
      </c>
      <c r="B9" s="9">
        <v>5.44</v>
      </c>
      <c r="C9" s="9">
        <v>3.36</v>
      </c>
      <c r="D9" s="9">
        <v>11.443299999999999</v>
      </c>
      <c r="E9" s="9">
        <v>7.56</v>
      </c>
      <c r="F9" s="10">
        <v>10.47</v>
      </c>
      <c r="G9" s="10">
        <v>7.42</v>
      </c>
      <c r="H9" s="10">
        <v>7.24</v>
      </c>
      <c r="I9" s="9">
        <v>7.7220000000000004</v>
      </c>
      <c r="J9" s="10">
        <v>6</v>
      </c>
      <c r="K9" s="10">
        <v>4.9400000000000004</v>
      </c>
      <c r="L9" s="10">
        <v>12.63</v>
      </c>
      <c r="M9" s="6">
        <v>5.44</v>
      </c>
      <c r="N9" s="6">
        <v>11.605263157894736</v>
      </c>
      <c r="O9" s="89">
        <f t="shared" si="0"/>
        <v>4.1161290322580637</v>
      </c>
      <c r="P9" s="89">
        <f t="shared" si="0"/>
        <v>4.731182795698925</v>
      </c>
      <c r="Q9" s="89">
        <f t="shared" si="0"/>
        <v>2.3655913978494625</v>
      </c>
      <c r="R9" s="89">
        <f t="shared" si="0"/>
        <v>2.9806451612903224</v>
      </c>
      <c r="S9" s="89">
        <v>15</v>
      </c>
      <c r="T9" s="89">
        <v>13</v>
      </c>
      <c r="U9" s="89">
        <v>17</v>
      </c>
      <c r="V9" s="89">
        <v>26.29</v>
      </c>
    </row>
    <row r="10" spans="1:24" x14ac:dyDescent="0.3">
      <c r="A10" s="11" t="s">
        <v>11</v>
      </c>
      <c r="B10" s="9">
        <v>5.44</v>
      </c>
      <c r="C10" s="9">
        <v>3.36</v>
      </c>
      <c r="D10" s="9">
        <v>11.443299999999999</v>
      </c>
      <c r="E10" s="9">
        <v>7.56</v>
      </c>
      <c r="F10" s="10">
        <v>10.47</v>
      </c>
      <c r="G10" s="10">
        <v>7.42</v>
      </c>
      <c r="H10" s="10">
        <v>7.24</v>
      </c>
      <c r="I10" s="9">
        <v>7.7220000000000004</v>
      </c>
      <c r="J10" s="135">
        <v>5.47</v>
      </c>
      <c r="K10" s="135">
        <v>5.47</v>
      </c>
      <c r="L10" s="135">
        <v>13.45</v>
      </c>
      <c r="M10" s="6">
        <v>5.44</v>
      </c>
      <c r="N10" s="6">
        <v>11.605263157894736</v>
      </c>
      <c r="O10" s="89">
        <f t="shared" si="0"/>
        <v>4.1161290322580637</v>
      </c>
      <c r="P10" s="89">
        <f t="shared" si="0"/>
        <v>4.731182795698925</v>
      </c>
      <c r="Q10" s="89">
        <f t="shared" si="0"/>
        <v>2.3655913978494625</v>
      </c>
      <c r="R10" s="89">
        <f t="shared" si="0"/>
        <v>2.9806451612903224</v>
      </c>
      <c r="S10" s="89">
        <v>15</v>
      </c>
      <c r="T10" s="89">
        <v>13</v>
      </c>
      <c r="U10" s="89">
        <v>17</v>
      </c>
      <c r="V10" s="89">
        <v>26.29</v>
      </c>
    </row>
    <row r="11" spans="1:24" x14ac:dyDescent="0.3">
      <c r="A11" s="8" t="s">
        <v>116</v>
      </c>
      <c r="B11" s="9">
        <v>5.44</v>
      </c>
      <c r="C11" s="9">
        <v>3.36</v>
      </c>
      <c r="D11" s="9">
        <v>11.443299999999999</v>
      </c>
      <c r="E11" s="9">
        <v>7.56</v>
      </c>
      <c r="F11" s="10">
        <v>10.47</v>
      </c>
      <c r="G11" s="10">
        <v>7.42</v>
      </c>
      <c r="H11" s="10">
        <v>7.24</v>
      </c>
      <c r="I11" s="9">
        <v>7.7220000000000004</v>
      </c>
      <c r="J11" s="10">
        <v>6</v>
      </c>
      <c r="K11" s="10">
        <v>4.9400000000000004</v>
      </c>
      <c r="L11" s="10">
        <v>12.63</v>
      </c>
      <c r="M11" s="6">
        <v>5.44</v>
      </c>
      <c r="N11" s="6">
        <v>11.605263157894736</v>
      </c>
      <c r="O11" s="89">
        <f>O$12</f>
        <v>4.1161290322580637</v>
      </c>
      <c r="P11" s="89">
        <f t="shared" si="0"/>
        <v>4.731182795698925</v>
      </c>
      <c r="Q11" s="89">
        <f t="shared" si="0"/>
        <v>2.3655913978494625</v>
      </c>
      <c r="R11" s="89">
        <f t="shared" si="0"/>
        <v>2.9806451612903224</v>
      </c>
      <c r="S11" s="89">
        <v>15</v>
      </c>
      <c r="T11" s="89">
        <v>13</v>
      </c>
      <c r="U11" s="89">
        <v>17</v>
      </c>
      <c r="V11" s="89">
        <v>26.29</v>
      </c>
    </row>
    <row r="12" spans="1:24" x14ac:dyDescent="0.3">
      <c r="A12" s="8" t="s">
        <v>117</v>
      </c>
      <c r="B12" s="9">
        <v>5.44</v>
      </c>
      <c r="C12" s="9">
        <v>3.36</v>
      </c>
      <c r="D12" s="9">
        <v>11.443299999999999</v>
      </c>
      <c r="E12" s="9">
        <v>7.56</v>
      </c>
      <c r="F12" s="10">
        <v>10.47</v>
      </c>
      <c r="G12" s="10">
        <v>7.42</v>
      </c>
      <c r="H12" s="10">
        <v>7.24</v>
      </c>
      <c r="I12" s="9">
        <v>7.7220000000000004</v>
      </c>
      <c r="J12" s="10">
        <v>6</v>
      </c>
      <c r="K12" s="10">
        <v>4.9400000000000004</v>
      </c>
      <c r="L12" s="10">
        <v>12.63</v>
      </c>
      <c r="M12" s="6">
        <v>5.44</v>
      </c>
      <c r="N12" s="6">
        <v>11.605263157894736</v>
      </c>
      <c r="O12" s="186">
        <f>O13*0.88/0.93</f>
        <v>4.1161290322580637</v>
      </c>
      <c r="P12" s="186">
        <f t="shared" ref="P12:R12" si="1">P13*0.88/0.93</f>
        <v>4.731182795698925</v>
      </c>
      <c r="Q12" s="186">
        <f t="shared" si="1"/>
        <v>2.3655913978494625</v>
      </c>
      <c r="R12" s="186">
        <f t="shared" si="1"/>
        <v>2.9806451612903224</v>
      </c>
      <c r="S12" s="89">
        <v>15</v>
      </c>
      <c r="T12" s="89">
        <v>13</v>
      </c>
      <c r="U12" s="89">
        <v>17</v>
      </c>
      <c r="V12" s="89">
        <v>26.29</v>
      </c>
      <c r="X12" s="179"/>
    </row>
    <row r="13" spans="1:24" s="176" customFormat="1" x14ac:dyDescent="0.3">
      <c r="A13" s="12" t="s">
        <v>118</v>
      </c>
      <c r="B13" s="174">
        <v>5.44</v>
      </c>
      <c r="C13" s="101">
        <v>3.58</v>
      </c>
      <c r="D13" s="174">
        <v>11.443299999999999</v>
      </c>
      <c r="E13" s="101">
        <v>8.07</v>
      </c>
      <c r="F13" s="102">
        <v>11.15</v>
      </c>
      <c r="G13" s="102">
        <v>7.89</v>
      </c>
      <c r="H13" s="102">
        <v>7.73</v>
      </c>
      <c r="I13" s="174">
        <v>7.7220000000000004</v>
      </c>
      <c r="J13" s="102">
        <v>5.78</v>
      </c>
      <c r="K13" s="102">
        <v>5.78</v>
      </c>
      <c r="L13" s="102">
        <v>14.21</v>
      </c>
      <c r="M13" s="102">
        <v>5.44</v>
      </c>
      <c r="N13" s="102">
        <v>12.378947368421052</v>
      </c>
      <c r="O13" s="175">
        <v>4.3499999999999996</v>
      </c>
      <c r="P13" s="175">
        <v>5</v>
      </c>
      <c r="Q13" s="175">
        <v>2.5</v>
      </c>
      <c r="R13" s="175">
        <v>3.15</v>
      </c>
      <c r="S13" s="175">
        <v>15</v>
      </c>
      <c r="T13" s="175">
        <v>13</v>
      </c>
      <c r="U13" s="175">
        <v>17</v>
      </c>
      <c r="V13" s="175">
        <v>26.29</v>
      </c>
      <c r="X13" s="178"/>
    </row>
    <row r="14" spans="1:24" x14ac:dyDescent="0.3">
      <c r="A14" s="8" t="s">
        <v>119</v>
      </c>
      <c r="B14" s="9">
        <v>5.44</v>
      </c>
      <c r="C14" s="9">
        <v>3.36</v>
      </c>
      <c r="D14" s="9">
        <v>11.443299999999999</v>
      </c>
      <c r="E14" s="9">
        <v>7.56</v>
      </c>
      <c r="F14" s="10">
        <v>10.47</v>
      </c>
      <c r="G14" s="10">
        <v>7.42</v>
      </c>
      <c r="H14" s="10">
        <v>7.24</v>
      </c>
      <c r="I14" s="9">
        <v>7.7220000000000004</v>
      </c>
      <c r="J14" s="10">
        <v>6</v>
      </c>
      <c r="K14" s="10">
        <v>4.9400000000000004</v>
      </c>
      <c r="L14" s="10">
        <v>12.63</v>
      </c>
      <c r="M14" s="6">
        <v>5.44</v>
      </c>
      <c r="N14" s="6">
        <v>11.605263157894736</v>
      </c>
      <c r="O14" s="89">
        <f t="shared" ref="O14:O19" si="2">O$12</f>
        <v>4.1161290322580637</v>
      </c>
      <c r="P14" s="89">
        <v>5</v>
      </c>
      <c r="Q14" s="89">
        <v>2.5</v>
      </c>
      <c r="R14" s="89">
        <v>3.15</v>
      </c>
      <c r="S14" s="89">
        <v>15</v>
      </c>
      <c r="T14" s="89">
        <v>13</v>
      </c>
      <c r="U14" s="89">
        <v>17</v>
      </c>
      <c r="V14" s="89">
        <v>26.29</v>
      </c>
    </row>
    <row r="15" spans="1:24" x14ac:dyDescent="0.3">
      <c r="A15" s="8" t="s">
        <v>120</v>
      </c>
      <c r="B15" s="9">
        <v>5.44</v>
      </c>
      <c r="C15" s="9">
        <v>3.36</v>
      </c>
      <c r="D15" s="9">
        <v>11.443299999999999</v>
      </c>
      <c r="E15" s="9">
        <v>7.56</v>
      </c>
      <c r="F15" s="10">
        <v>10.47</v>
      </c>
      <c r="G15" s="10">
        <v>7.42</v>
      </c>
      <c r="H15" s="10">
        <v>7.24</v>
      </c>
      <c r="I15" s="9">
        <v>7.7220000000000004</v>
      </c>
      <c r="J15" s="10">
        <v>6</v>
      </c>
      <c r="K15" s="10">
        <v>4.9400000000000004</v>
      </c>
      <c r="L15" s="10">
        <v>12.63</v>
      </c>
      <c r="M15" s="6">
        <v>5.44</v>
      </c>
      <c r="N15" s="6">
        <v>11.605263157894736</v>
      </c>
      <c r="O15" s="89">
        <f t="shared" si="2"/>
        <v>4.1161290322580637</v>
      </c>
      <c r="P15" s="89">
        <v>5</v>
      </c>
      <c r="Q15" s="89">
        <v>2.5</v>
      </c>
      <c r="R15" s="89">
        <v>3.15</v>
      </c>
      <c r="S15" s="89">
        <v>15</v>
      </c>
      <c r="T15" s="89">
        <v>13</v>
      </c>
      <c r="U15" s="89">
        <v>17</v>
      </c>
      <c r="V15" s="89">
        <v>26.29</v>
      </c>
    </row>
    <row r="16" spans="1:24" x14ac:dyDescent="0.3">
      <c r="A16" s="8" t="s">
        <v>121</v>
      </c>
      <c r="B16" s="9">
        <v>5.44</v>
      </c>
      <c r="C16" s="9">
        <v>3.36</v>
      </c>
      <c r="D16" s="9">
        <v>11.443299999999999</v>
      </c>
      <c r="E16" s="9">
        <v>7.56</v>
      </c>
      <c r="F16" s="10">
        <v>10.47</v>
      </c>
      <c r="G16" s="10">
        <v>7.42</v>
      </c>
      <c r="H16" s="10">
        <v>7.24</v>
      </c>
      <c r="I16" s="9">
        <v>7.7220000000000004</v>
      </c>
      <c r="J16" s="10">
        <v>6</v>
      </c>
      <c r="K16" s="10">
        <v>4.9400000000000004</v>
      </c>
      <c r="L16" s="10">
        <v>12.63</v>
      </c>
      <c r="M16" s="6">
        <v>5.44</v>
      </c>
      <c r="N16" s="6">
        <v>11.605263157894736</v>
      </c>
      <c r="O16" s="89">
        <f t="shared" si="2"/>
        <v>4.1161290322580637</v>
      </c>
      <c r="P16" s="89">
        <v>5</v>
      </c>
      <c r="Q16" s="89">
        <v>2.5</v>
      </c>
      <c r="R16" s="89">
        <v>3.15</v>
      </c>
      <c r="S16" s="89">
        <v>15</v>
      </c>
      <c r="T16" s="89">
        <v>13</v>
      </c>
      <c r="U16" s="89">
        <v>17</v>
      </c>
      <c r="V16" s="89">
        <v>26.29</v>
      </c>
    </row>
    <row r="17" spans="1:22" x14ac:dyDescent="0.3">
      <c r="A17" s="8" t="s">
        <v>122</v>
      </c>
      <c r="B17" s="9">
        <v>5.44</v>
      </c>
      <c r="C17" s="9">
        <v>3.36</v>
      </c>
      <c r="D17" s="9">
        <v>11.443299999999999</v>
      </c>
      <c r="E17" s="9">
        <v>7.56</v>
      </c>
      <c r="F17" s="10">
        <v>10.47</v>
      </c>
      <c r="G17" s="10">
        <v>7.42</v>
      </c>
      <c r="H17" s="10">
        <v>7.24</v>
      </c>
      <c r="I17" s="9">
        <v>7.7220000000000004</v>
      </c>
      <c r="J17" s="10">
        <v>6</v>
      </c>
      <c r="K17" s="10">
        <v>4.9400000000000004</v>
      </c>
      <c r="L17" s="10">
        <v>12.63</v>
      </c>
      <c r="M17" s="6">
        <v>5.44</v>
      </c>
      <c r="N17" s="6">
        <v>11.605263157894736</v>
      </c>
      <c r="O17" s="89">
        <f t="shared" si="2"/>
        <v>4.1161290322580637</v>
      </c>
      <c r="P17" s="89">
        <v>5</v>
      </c>
      <c r="Q17" s="89">
        <v>2.5</v>
      </c>
      <c r="R17" s="89">
        <v>3.15</v>
      </c>
      <c r="S17" s="89">
        <v>15</v>
      </c>
      <c r="T17" s="89">
        <v>13</v>
      </c>
      <c r="U17" s="89">
        <v>17</v>
      </c>
      <c r="V17" s="89">
        <v>26.29</v>
      </c>
    </row>
    <row r="18" spans="1:22" x14ac:dyDescent="0.3">
      <c r="A18" s="8" t="s">
        <v>123</v>
      </c>
      <c r="B18" s="9">
        <v>5.44</v>
      </c>
      <c r="C18" s="9">
        <v>3.36</v>
      </c>
      <c r="D18" s="9">
        <v>11.443299999999999</v>
      </c>
      <c r="E18" s="9">
        <v>7.56</v>
      </c>
      <c r="F18" s="10">
        <v>10.47</v>
      </c>
      <c r="G18" s="10">
        <v>7.42</v>
      </c>
      <c r="H18" s="10">
        <v>7.24</v>
      </c>
      <c r="I18" s="9">
        <v>7.7220000000000004</v>
      </c>
      <c r="J18" s="10">
        <v>6</v>
      </c>
      <c r="K18" s="10">
        <v>4.9400000000000004</v>
      </c>
      <c r="L18" s="10">
        <v>12.63</v>
      </c>
      <c r="M18" s="6">
        <v>5.44</v>
      </c>
      <c r="N18" s="6">
        <v>11.605263157894736</v>
      </c>
      <c r="O18" s="89">
        <f t="shared" si="2"/>
        <v>4.1161290322580637</v>
      </c>
      <c r="P18" s="89">
        <v>5</v>
      </c>
      <c r="Q18" s="89">
        <v>2.5</v>
      </c>
      <c r="R18" s="89">
        <v>3.15</v>
      </c>
      <c r="S18" s="89">
        <v>15</v>
      </c>
      <c r="T18" s="89">
        <v>13</v>
      </c>
      <c r="U18" s="89">
        <v>17</v>
      </c>
      <c r="V18" s="89">
        <v>26.29</v>
      </c>
    </row>
    <row r="19" spans="1:22" x14ac:dyDescent="0.3">
      <c r="A19" s="8" t="s">
        <v>124</v>
      </c>
      <c r="B19" s="9">
        <v>5.44</v>
      </c>
      <c r="C19" s="9">
        <v>3.36</v>
      </c>
      <c r="D19" s="9">
        <v>11.443299999999999</v>
      </c>
      <c r="E19" s="9">
        <v>7.56</v>
      </c>
      <c r="F19" s="10">
        <v>10.47</v>
      </c>
      <c r="G19" s="10">
        <v>7.42</v>
      </c>
      <c r="H19" s="10">
        <v>7.24</v>
      </c>
      <c r="I19" s="9">
        <v>7.7220000000000004</v>
      </c>
      <c r="J19" s="10">
        <v>6</v>
      </c>
      <c r="K19" s="10">
        <v>4.9400000000000004</v>
      </c>
      <c r="L19" s="10">
        <v>12.63</v>
      </c>
      <c r="M19" s="6">
        <v>5.44</v>
      </c>
      <c r="N19" s="6">
        <v>11.605263157894736</v>
      </c>
      <c r="O19" s="89">
        <f t="shared" si="2"/>
        <v>4.1161290322580637</v>
      </c>
      <c r="P19" s="89">
        <v>5</v>
      </c>
      <c r="Q19" s="89">
        <v>2.5</v>
      </c>
      <c r="R19" s="89">
        <v>3.15</v>
      </c>
      <c r="S19" s="89">
        <v>15</v>
      </c>
      <c r="T19" s="89">
        <v>13</v>
      </c>
      <c r="U19" s="89">
        <v>17</v>
      </c>
      <c r="V19" s="89">
        <v>26.29</v>
      </c>
    </row>
    <row r="20" spans="1:22" s="185" customFormat="1" x14ac:dyDescent="0.3">
      <c r="A20" s="180" t="s">
        <v>125</v>
      </c>
      <c r="B20" s="181">
        <v>5.91</v>
      </c>
      <c r="C20" s="182">
        <v>3.58</v>
      </c>
      <c r="D20" s="181">
        <v>12.5351</v>
      </c>
      <c r="E20" s="182">
        <v>8.07</v>
      </c>
      <c r="F20" s="183">
        <v>11.15</v>
      </c>
      <c r="G20" s="183">
        <v>7.89</v>
      </c>
      <c r="H20" s="183">
        <v>7.73</v>
      </c>
      <c r="I20" s="181">
        <v>8.3930000000000007</v>
      </c>
      <c r="J20" s="183">
        <v>5.78</v>
      </c>
      <c r="K20" s="183">
        <v>5.78</v>
      </c>
      <c r="L20" s="183">
        <v>14.21</v>
      </c>
      <c r="M20" s="183">
        <v>5.91</v>
      </c>
      <c r="N20" s="183">
        <v>12.378947368421052</v>
      </c>
      <c r="O20" s="184">
        <f>O$13</f>
        <v>4.3499999999999996</v>
      </c>
      <c r="P20" s="184">
        <f t="shared" ref="P20:R21" si="3">P$13</f>
        <v>5</v>
      </c>
      <c r="Q20" s="184">
        <f t="shared" si="3"/>
        <v>2.5</v>
      </c>
      <c r="R20" s="184">
        <f t="shared" si="3"/>
        <v>3.15</v>
      </c>
      <c r="S20" s="184">
        <f>(S19*0.96)/0.88</f>
        <v>16.363636363636363</v>
      </c>
      <c r="T20" s="184">
        <f t="shared" ref="T20:V20" si="4">(T19*0.96)/0.88</f>
        <v>14.181818181818182</v>
      </c>
      <c r="U20" s="184">
        <f t="shared" si="4"/>
        <v>18.545454545454547</v>
      </c>
      <c r="V20" s="184">
        <f t="shared" si="4"/>
        <v>28.68</v>
      </c>
    </row>
    <row r="21" spans="1:22" s="176" customFormat="1" x14ac:dyDescent="0.3">
      <c r="A21" s="12" t="s">
        <v>126</v>
      </c>
      <c r="B21" s="174">
        <v>5.44</v>
      </c>
      <c r="C21" s="101">
        <v>3.58</v>
      </c>
      <c r="D21" s="174">
        <v>11.443299999999999</v>
      </c>
      <c r="E21" s="101">
        <v>8.07</v>
      </c>
      <c r="F21" s="102">
        <v>11.15</v>
      </c>
      <c r="G21" s="102">
        <v>7.89</v>
      </c>
      <c r="H21" s="102">
        <v>7.73</v>
      </c>
      <c r="I21" s="174">
        <v>7.7220000000000004</v>
      </c>
      <c r="J21" s="102">
        <v>5.78</v>
      </c>
      <c r="K21" s="102">
        <v>5.78</v>
      </c>
      <c r="L21" s="102">
        <v>14.21</v>
      </c>
      <c r="M21" s="102">
        <v>5.44</v>
      </c>
      <c r="N21" s="102">
        <v>12.378947368421052</v>
      </c>
      <c r="O21" s="175">
        <f t="shared" ref="O21" si="5">O$13</f>
        <v>4.3499999999999996</v>
      </c>
      <c r="P21" s="175">
        <f t="shared" si="3"/>
        <v>5</v>
      </c>
      <c r="Q21" s="175">
        <f t="shared" si="3"/>
        <v>2.5</v>
      </c>
      <c r="R21" s="175">
        <f t="shared" si="3"/>
        <v>3.15</v>
      </c>
      <c r="S21" s="175">
        <v>15</v>
      </c>
      <c r="T21" s="175">
        <v>13</v>
      </c>
      <c r="U21" s="175">
        <v>17</v>
      </c>
      <c r="V21" s="175">
        <v>26.29</v>
      </c>
    </row>
    <row r="22" spans="1:22" x14ac:dyDescent="0.3">
      <c r="A22" s="8" t="s">
        <v>127</v>
      </c>
      <c r="B22" s="9">
        <v>5.44</v>
      </c>
      <c r="C22" s="9">
        <v>3.36</v>
      </c>
      <c r="D22" s="9">
        <v>11.443299999999999</v>
      </c>
      <c r="E22" s="9">
        <v>7.56</v>
      </c>
      <c r="F22" s="10">
        <v>10.47</v>
      </c>
      <c r="G22" s="10">
        <v>7.42</v>
      </c>
      <c r="H22" s="10">
        <v>7.24</v>
      </c>
      <c r="I22" s="9">
        <v>7.7220000000000004</v>
      </c>
      <c r="J22" s="10">
        <v>6</v>
      </c>
      <c r="K22" s="10">
        <v>4.9400000000000004</v>
      </c>
      <c r="L22" s="10">
        <v>12.63</v>
      </c>
      <c r="M22" s="6">
        <v>5.44</v>
      </c>
      <c r="N22" s="6">
        <v>11.605263157894736</v>
      </c>
      <c r="O22" s="89">
        <f t="shared" ref="O22:O24" si="6">O$12</f>
        <v>4.1161290322580637</v>
      </c>
      <c r="P22" s="89">
        <v>5</v>
      </c>
      <c r="Q22" s="89">
        <v>2.5</v>
      </c>
      <c r="R22" s="89">
        <v>3.15</v>
      </c>
      <c r="S22" s="89">
        <v>15</v>
      </c>
      <c r="T22" s="89">
        <v>13</v>
      </c>
      <c r="U22" s="89">
        <v>17</v>
      </c>
      <c r="V22" s="89">
        <v>26.29</v>
      </c>
    </row>
    <row r="23" spans="1:22" x14ac:dyDescent="0.3">
      <c r="A23" s="8" t="s">
        <v>128</v>
      </c>
      <c r="B23" s="9">
        <v>5.44</v>
      </c>
      <c r="C23" s="9">
        <v>3.36</v>
      </c>
      <c r="D23" s="9">
        <v>11.443299999999999</v>
      </c>
      <c r="E23" s="9">
        <v>7.56</v>
      </c>
      <c r="F23" s="10">
        <v>10.47</v>
      </c>
      <c r="G23" s="10">
        <v>7.42</v>
      </c>
      <c r="H23" s="10">
        <v>7.24</v>
      </c>
      <c r="I23" s="9">
        <v>7.7220000000000004</v>
      </c>
      <c r="J23" s="10">
        <v>6</v>
      </c>
      <c r="K23" s="10">
        <v>4.9400000000000004</v>
      </c>
      <c r="L23" s="10">
        <v>12.63</v>
      </c>
      <c r="M23" s="6">
        <v>5.44</v>
      </c>
      <c r="N23" s="6">
        <v>11.605263157894736</v>
      </c>
      <c r="O23" s="89">
        <f t="shared" si="6"/>
        <v>4.1161290322580637</v>
      </c>
      <c r="P23" s="89">
        <v>5</v>
      </c>
      <c r="Q23" s="89">
        <v>2.5</v>
      </c>
      <c r="R23" s="89">
        <v>3.15</v>
      </c>
      <c r="S23" s="89">
        <v>15</v>
      </c>
      <c r="T23" s="89">
        <v>13</v>
      </c>
      <c r="U23" s="89">
        <v>17</v>
      </c>
      <c r="V23" s="89">
        <v>26.29</v>
      </c>
    </row>
    <row r="24" spans="1:22" x14ac:dyDescent="0.3">
      <c r="A24" s="8" t="s">
        <v>129</v>
      </c>
      <c r="B24" s="9">
        <v>5.44</v>
      </c>
      <c r="C24" s="9">
        <v>3.36</v>
      </c>
      <c r="D24" s="9">
        <v>11.443299999999999</v>
      </c>
      <c r="E24" s="9">
        <v>7.56</v>
      </c>
      <c r="F24" s="10">
        <v>10.47</v>
      </c>
      <c r="G24" s="10">
        <v>7.42</v>
      </c>
      <c r="H24" s="10">
        <v>7.24</v>
      </c>
      <c r="I24" s="9">
        <v>7.7220000000000004</v>
      </c>
      <c r="J24" s="10">
        <v>6</v>
      </c>
      <c r="K24" s="10">
        <v>4.9400000000000004</v>
      </c>
      <c r="L24" s="10">
        <v>12.63</v>
      </c>
      <c r="M24" s="6">
        <v>5.44</v>
      </c>
      <c r="N24" s="6">
        <v>11.605263157894736</v>
      </c>
      <c r="O24" s="89">
        <f t="shared" si="6"/>
        <v>4.1161290322580637</v>
      </c>
      <c r="P24" s="89">
        <v>5</v>
      </c>
      <c r="Q24" s="89">
        <v>2.5</v>
      </c>
      <c r="R24" s="89">
        <v>3.15</v>
      </c>
      <c r="S24" s="89">
        <v>15</v>
      </c>
      <c r="T24" s="89">
        <v>13</v>
      </c>
      <c r="U24" s="89">
        <v>17</v>
      </c>
      <c r="V24" s="89">
        <v>26.29</v>
      </c>
    </row>
    <row r="25" spans="1:22" s="176" customFormat="1" x14ac:dyDescent="0.3">
      <c r="A25" s="12" t="s">
        <v>130</v>
      </c>
      <c r="B25" s="174">
        <v>5.44</v>
      </c>
      <c r="C25" s="101">
        <v>3.58</v>
      </c>
      <c r="D25" s="174">
        <v>11.443299999999999</v>
      </c>
      <c r="E25" s="101">
        <v>8.07</v>
      </c>
      <c r="F25" s="102">
        <v>11.15</v>
      </c>
      <c r="G25" s="102">
        <v>7.89</v>
      </c>
      <c r="H25" s="102">
        <v>7.73</v>
      </c>
      <c r="I25" s="174">
        <v>7.7220000000000004</v>
      </c>
      <c r="J25" s="102">
        <v>5.78</v>
      </c>
      <c r="K25" s="102">
        <v>5.78</v>
      </c>
      <c r="L25" s="102">
        <v>14.21</v>
      </c>
      <c r="M25" s="102">
        <v>5.44</v>
      </c>
      <c r="N25" s="102">
        <v>12.378947368421052</v>
      </c>
      <c r="O25" s="175">
        <f t="shared" ref="O25:R26" si="7">O$13</f>
        <v>4.3499999999999996</v>
      </c>
      <c r="P25" s="175">
        <f t="shared" si="7"/>
        <v>5</v>
      </c>
      <c r="Q25" s="175">
        <f t="shared" si="7"/>
        <v>2.5</v>
      </c>
      <c r="R25" s="175">
        <f t="shared" si="7"/>
        <v>3.15</v>
      </c>
      <c r="S25" s="175">
        <v>15</v>
      </c>
      <c r="T25" s="175">
        <v>13</v>
      </c>
      <c r="U25" s="175">
        <v>17</v>
      </c>
      <c r="V25" s="175">
        <v>26.29</v>
      </c>
    </row>
    <row r="26" spans="1:22" s="176" customFormat="1" x14ac:dyDescent="0.3">
      <c r="A26" s="12" t="s">
        <v>131</v>
      </c>
      <c r="B26" s="174">
        <v>5.44</v>
      </c>
      <c r="C26" s="101">
        <v>3.58</v>
      </c>
      <c r="D26" s="174">
        <v>11.443299999999999</v>
      </c>
      <c r="E26" s="101">
        <v>8.07</v>
      </c>
      <c r="F26" s="102">
        <v>11.15</v>
      </c>
      <c r="G26" s="102">
        <v>7.89</v>
      </c>
      <c r="H26" s="102">
        <v>7.73</v>
      </c>
      <c r="I26" s="174">
        <v>7.7220000000000004</v>
      </c>
      <c r="J26" s="102">
        <v>5.78</v>
      </c>
      <c r="K26" s="102">
        <v>5.78</v>
      </c>
      <c r="L26" s="102">
        <v>14.21</v>
      </c>
      <c r="M26" s="102">
        <v>5.44</v>
      </c>
      <c r="N26" s="102">
        <v>12.378947368421052</v>
      </c>
      <c r="O26" s="175">
        <f t="shared" si="7"/>
        <v>4.3499999999999996</v>
      </c>
      <c r="P26" s="175">
        <f t="shared" si="7"/>
        <v>5</v>
      </c>
      <c r="Q26" s="175">
        <f t="shared" si="7"/>
        <v>2.5</v>
      </c>
      <c r="R26" s="175">
        <f t="shared" si="7"/>
        <v>3.15</v>
      </c>
      <c r="S26" s="175">
        <v>15</v>
      </c>
      <c r="T26" s="175">
        <v>13</v>
      </c>
      <c r="U26" s="175">
        <v>17</v>
      </c>
      <c r="V26" s="175">
        <v>26.29</v>
      </c>
    </row>
    <row r="27" spans="1:22" x14ac:dyDescent="0.3">
      <c r="A27" s="8" t="s">
        <v>132</v>
      </c>
      <c r="B27" s="9">
        <v>5.44</v>
      </c>
      <c r="C27" s="9">
        <v>3.36</v>
      </c>
      <c r="D27" s="9">
        <v>11.443299999999999</v>
      </c>
      <c r="E27" s="9">
        <v>7.56</v>
      </c>
      <c r="F27" s="10">
        <v>10.47</v>
      </c>
      <c r="G27" s="10">
        <v>7.42</v>
      </c>
      <c r="H27" s="10">
        <v>7.24</v>
      </c>
      <c r="I27" s="9">
        <v>7.7220000000000004</v>
      </c>
      <c r="J27" s="10">
        <v>6</v>
      </c>
      <c r="K27" s="10">
        <v>4.9400000000000004</v>
      </c>
      <c r="L27" s="10">
        <v>12.63</v>
      </c>
      <c r="M27" s="6">
        <v>5.44</v>
      </c>
      <c r="N27" s="6">
        <v>11.605263157894736</v>
      </c>
      <c r="O27" s="89">
        <f t="shared" ref="O27:R27" si="8">O$12</f>
        <v>4.1161290322580637</v>
      </c>
      <c r="P27" s="89">
        <f t="shared" si="8"/>
        <v>4.731182795698925</v>
      </c>
      <c r="Q27" s="89">
        <f t="shared" si="8"/>
        <v>2.3655913978494625</v>
      </c>
      <c r="R27" s="89">
        <f t="shared" si="8"/>
        <v>2.9806451612903224</v>
      </c>
      <c r="S27" s="89">
        <v>15</v>
      </c>
      <c r="T27" s="89">
        <v>13</v>
      </c>
      <c r="U27" s="89">
        <v>17</v>
      </c>
      <c r="V27" s="89">
        <v>26.29</v>
      </c>
    </row>
    <row r="28" spans="1:22" s="176" customFormat="1" x14ac:dyDescent="0.3">
      <c r="A28" s="12" t="s">
        <v>133</v>
      </c>
      <c r="B28" s="174">
        <v>5.44</v>
      </c>
      <c r="C28" s="101">
        <v>3.58</v>
      </c>
      <c r="D28" s="174">
        <v>11.443299999999999</v>
      </c>
      <c r="E28" s="101">
        <v>8.07</v>
      </c>
      <c r="F28" s="102">
        <v>11.15</v>
      </c>
      <c r="G28" s="102">
        <v>7.89</v>
      </c>
      <c r="H28" s="102">
        <v>7.73</v>
      </c>
      <c r="I28" s="174">
        <v>7.7220000000000004</v>
      </c>
      <c r="J28" s="102">
        <v>5.78</v>
      </c>
      <c r="K28" s="102">
        <v>5.78</v>
      </c>
      <c r="L28" s="102">
        <v>14.21</v>
      </c>
      <c r="M28" s="102">
        <v>5.44</v>
      </c>
      <c r="N28" s="102">
        <v>12.378947368421052</v>
      </c>
      <c r="O28" s="175">
        <f t="shared" ref="O28:R29" si="9">O$13</f>
        <v>4.3499999999999996</v>
      </c>
      <c r="P28" s="175">
        <f t="shared" si="9"/>
        <v>5</v>
      </c>
      <c r="Q28" s="175">
        <f t="shared" si="9"/>
        <v>2.5</v>
      </c>
      <c r="R28" s="175">
        <f t="shared" si="9"/>
        <v>3.15</v>
      </c>
      <c r="S28" s="175">
        <v>15</v>
      </c>
      <c r="T28" s="175">
        <v>13</v>
      </c>
      <c r="U28" s="175">
        <v>17</v>
      </c>
      <c r="V28" s="175">
        <v>26.29</v>
      </c>
    </row>
    <row r="29" spans="1:22" s="176" customFormat="1" x14ac:dyDescent="0.3">
      <c r="A29" s="12" t="s">
        <v>134</v>
      </c>
      <c r="B29" s="174">
        <v>5.44</v>
      </c>
      <c r="C29" s="101">
        <v>3.58</v>
      </c>
      <c r="D29" s="174">
        <v>11.443299999999999</v>
      </c>
      <c r="E29" s="101">
        <v>8.07</v>
      </c>
      <c r="F29" s="102">
        <v>11.15</v>
      </c>
      <c r="G29" s="102">
        <v>7.89</v>
      </c>
      <c r="H29" s="102">
        <v>7.73</v>
      </c>
      <c r="I29" s="174">
        <v>7.7220000000000004</v>
      </c>
      <c r="J29" s="102">
        <v>5.78</v>
      </c>
      <c r="K29" s="102">
        <v>5.78</v>
      </c>
      <c r="L29" s="102">
        <v>14.21</v>
      </c>
      <c r="M29" s="102">
        <v>5.44</v>
      </c>
      <c r="N29" s="102">
        <v>12.378947368421052</v>
      </c>
      <c r="O29" s="175">
        <f t="shared" si="9"/>
        <v>4.3499999999999996</v>
      </c>
      <c r="P29" s="175">
        <f t="shared" si="9"/>
        <v>5</v>
      </c>
      <c r="Q29" s="175">
        <f t="shared" si="9"/>
        <v>2.5</v>
      </c>
      <c r="R29" s="175">
        <f t="shared" si="9"/>
        <v>3.15</v>
      </c>
      <c r="S29" s="175">
        <v>15</v>
      </c>
      <c r="T29" s="175">
        <v>13</v>
      </c>
      <c r="U29" s="175">
        <v>17</v>
      </c>
      <c r="V29" s="175">
        <v>26.29</v>
      </c>
    </row>
    <row r="30" spans="1:22" x14ac:dyDescent="0.3">
      <c r="A30" s="8" t="s">
        <v>135</v>
      </c>
      <c r="B30" s="9">
        <v>5.44</v>
      </c>
      <c r="C30" s="9">
        <v>3.36</v>
      </c>
      <c r="D30" s="9">
        <v>11.443299999999999</v>
      </c>
      <c r="E30" s="9">
        <v>7.56</v>
      </c>
      <c r="F30" s="10">
        <v>10.47</v>
      </c>
      <c r="G30" s="10">
        <v>7.42</v>
      </c>
      <c r="H30" s="10">
        <v>7.24</v>
      </c>
      <c r="I30" s="9">
        <v>7.7220000000000004</v>
      </c>
      <c r="J30" s="10">
        <v>6</v>
      </c>
      <c r="K30" s="10">
        <v>4.9400000000000004</v>
      </c>
      <c r="L30" s="10">
        <v>12.63</v>
      </c>
      <c r="M30" s="6">
        <v>5.44</v>
      </c>
      <c r="N30" s="6">
        <v>11.605263157894736</v>
      </c>
      <c r="O30" s="89">
        <f t="shared" ref="O30:R31" si="10">O$12</f>
        <v>4.1161290322580637</v>
      </c>
      <c r="P30" s="89">
        <f t="shared" si="10"/>
        <v>4.731182795698925</v>
      </c>
      <c r="Q30" s="89">
        <f t="shared" si="10"/>
        <v>2.3655913978494625</v>
      </c>
      <c r="R30" s="89">
        <f t="shared" si="10"/>
        <v>2.9806451612903224</v>
      </c>
      <c r="S30" s="89">
        <v>15</v>
      </c>
      <c r="T30" s="89">
        <v>13</v>
      </c>
      <c r="U30" s="89">
        <v>17</v>
      </c>
      <c r="V30" s="89">
        <v>26.29</v>
      </c>
    </row>
    <row r="31" spans="1:22" x14ac:dyDescent="0.3">
      <c r="A31" s="103" t="s">
        <v>136</v>
      </c>
      <c r="B31" s="104">
        <v>4.72</v>
      </c>
      <c r="C31" s="104">
        <v>2.82</v>
      </c>
      <c r="D31" s="104">
        <v>9.9292000000000016</v>
      </c>
      <c r="E31" s="104">
        <v>6.35</v>
      </c>
      <c r="F31" s="104">
        <v>8.7799999999999994</v>
      </c>
      <c r="G31" s="104">
        <v>6.21</v>
      </c>
      <c r="H31" s="104">
        <v>6.09</v>
      </c>
      <c r="I31" s="104">
        <v>6.6990000000000007</v>
      </c>
      <c r="J31" s="105">
        <v>5.2</v>
      </c>
      <c r="K31" s="105">
        <v>4.29</v>
      </c>
      <c r="L31" s="105">
        <v>10.95</v>
      </c>
      <c r="M31" s="105">
        <v>4.72</v>
      </c>
      <c r="N31" s="105">
        <v>10.067565789473685</v>
      </c>
      <c r="O31" s="89">
        <f t="shared" si="10"/>
        <v>4.1161290322580637</v>
      </c>
      <c r="P31" s="89">
        <f t="shared" si="10"/>
        <v>4.731182795698925</v>
      </c>
      <c r="Q31" s="89">
        <f t="shared" si="10"/>
        <v>2.3655913978494625</v>
      </c>
      <c r="R31" s="89">
        <f t="shared" si="10"/>
        <v>2.9806451612903224</v>
      </c>
      <c r="S31" s="89">
        <v>15</v>
      </c>
      <c r="T31" s="89">
        <v>13</v>
      </c>
      <c r="U31" s="89">
        <v>17</v>
      </c>
      <c r="V31" s="89">
        <v>26.29</v>
      </c>
    </row>
    <row r="33" spans="1:22" x14ac:dyDescent="0.3">
      <c r="A33" s="106" t="s">
        <v>22</v>
      </c>
      <c r="B33" s="107">
        <v>8.99</v>
      </c>
      <c r="C33" s="108">
        <v>5.49</v>
      </c>
      <c r="D33" s="108">
        <v>18.989999999999998</v>
      </c>
      <c r="E33" s="108">
        <v>12.99</v>
      </c>
      <c r="F33" s="108">
        <v>17.989999999999998</v>
      </c>
      <c r="G33" s="108">
        <v>13.89</v>
      </c>
      <c r="H33" s="108">
        <v>12.9</v>
      </c>
      <c r="I33" s="108">
        <v>11.99</v>
      </c>
      <c r="J33" s="108">
        <v>9.99</v>
      </c>
      <c r="K33" s="108">
        <v>9.99</v>
      </c>
      <c r="L33" s="108">
        <v>24.99</v>
      </c>
      <c r="M33" s="108">
        <v>8.99</v>
      </c>
      <c r="N33" s="6"/>
      <c r="O33" s="6"/>
    </row>
    <row r="34" spans="1:22" x14ac:dyDescent="0.3">
      <c r="I34" t="s">
        <v>151</v>
      </c>
      <c r="J34">
        <v>8.99</v>
      </c>
      <c r="K34">
        <v>7.99</v>
      </c>
      <c r="L34">
        <v>19.989999999999998</v>
      </c>
    </row>
    <row r="35" spans="1:22" x14ac:dyDescent="0.3">
      <c r="C35" s="177">
        <f>C20/C19</f>
        <v>1.0654761904761905</v>
      </c>
      <c r="D35" s="177">
        <f t="shared" ref="D35:V35" si="11">D20/D19</f>
        <v>1.0954095409540956</v>
      </c>
      <c r="E35" s="177">
        <f t="shared" si="11"/>
        <v>1.0674603174603174</v>
      </c>
      <c r="F35" s="177">
        <f t="shared" si="11"/>
        <v>1.0649474689589302</v>
      </c>
      <c r="G35" s="177">
        <f t="shared" si="11"/>
        <v>1.0633423180592991</v>
      </c>
      <c r="H35" s="177">
        <f t="shared" si="11"/>
        <v>1.0676795580110499</v>
      </c>
      <c r="I35" s="177">
        <f t="shared" si="11"/>
        <v>1.086894586894587</v>
      </c>
      <c r="J35" s="177">
        <f t="shared" si="11"/>
        <v>0.96333333333333337</v>
      </c>
      <c r="K35" s="177">
        <f t="shared" si="11"/>
        <v>1.1700404858299596</v>
      </c>
      <c r="L35" s="177">
        <f t="shared" si="11"/>
        <v>1.1250989707046715</v>
      </c>
      <c r="M35" s="177">
        <f t="shared" si="11"/>
        <v>1.0863970588235294</v>
      </c>
      <c r="N35" s="177">
        <f t="shared" si="11"/>
        <v>1.0666666666666667</v>
      </c>
      <c r="O35" s="177">
        <f t="shared" si="11"/>
        <v>1.0568181818181819</v>
      </c>
      <c r="P35" s="177">
        <f t="shared" si="11"/>
        <v>1</v>
      </c>
      <c r="Q35" s="177">
        <f t="shared" si="11"/>
        <v>1</v>
      </c>
      <c r="R35" s="177">
        <f t="shared" si="11"/>
        <v>1</v>
      </c>
      <c r="S35" s="177">
        <f t="shared" si="11"/>
        <v>1.0909090909090908</v>
      </c>
      <c r="T35" s="177">
        <f t="shared" si="11"/>
        <v>1.0909090909090908</v>
      </c>
      <c r="U35" s="177">
        <f t="shared" si="11"/>
        <v>1.0909090909090911</v>
      </c>
      <c r="V35" s="177">
        <f t="shared" si="11"/>
        <v>1.0909090909090908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672DDCC2-0A78-48E1-95BC-49A078CC88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58F9D-9939-45BF-9398-657D581B78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A92EBF-DF07-4B05-93BC-08764795A079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PSC</vt:lpstr>
      <vt:lpstr>ST RECHEADOS</vt:lpstr>
      <vt:lpstr>PREÇOS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2026-05-18T14:32:24Z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