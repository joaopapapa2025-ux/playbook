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ownloads\"/>
    </mc:Choice>
  </mc:AlternateContent>
  <xr:revisionPtr revIDLastSave="0" documentId="13_ncr:1_{97E67CFD-2769-41A7-B46A-AA0109D5EF5D}" xr6:coauthVersionLast="47" xr6:coauthVersionMax="47" xr10:uidLastSave="{00000000-0000-0000-0000-000000000000}"/>
  <workbookProtection workbookAlgorithmName="SHA-512" workbookHashValue="W/wuCbWYfPuULrDNJT29DSceui75Yw6SSdljRqn3TqWaw6tiEce51iXD4Ixz9YP2nrm9f7AMkfbyx4FEM017AQ==" workbookSaltValue="ICmGvPt3CeysWVQbcHDHNA==" workbookSpinCount="100000" lockStructure="1"/>
  <bookViews>
    <workbookView xWindow="28680" yWindow="-120" windowWidth="29040" windowHeight="15720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BISCOTTI" sheetId="8" state="hidden" r:id="rId6"/>
    <sheet name="ST CEREAL" sheetId="7" state="hidden" r:id="rId7"/>
    <sheet name="ST CEREAL SABOR POUCH 170" sheetId="9" state="hidden" r:id="rId8"/>
    <sheet name="ST MULTI 170 POUCH" sheetId="10" state="hidden" r:id="rId9"/>
    <sheet name="ST MULTI 500 POUCH" sheetId="11" state="hidden" r:id="rId10"/>
    <sheet name="PREÇOS" sheetId="4" state="hidden" r:id="rId11"/>
    <sheet name="PSC" sheetId="12" state="hidden" r:id="rId12"/>
  </sheets>
  <externalReferences>
    <externalReference r:id="rId13"/>
    <externalReference r:id="rId14"/>
  </externalReferences>
  <definedNames>
    <definedName name="_xlnm._FilterDatabase" localSheetId="10" hidden="1">PREÇOS!$A$2:$F$2</definedName>
    <definedName name="_xlnm._FilterDatabase" localSheetId="3" hidden="1">'ST PAPAPASTA'!$A$1:$J$1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" i="1" l="1"/>
  <c r="O52" i="1" s="1"/>
  <c r="R52" i="1" s="1"/>
  <c r="L49" i="1"/>
  <c r="M49" i="1" s="1"/>
  <c r="Q49" i="1" s="1"/>
  <c r="L55" i="1"/>
  <c r="M55" i="1" s="1"/>
  <c r="Q55" i="1" s="1"/>
  <c r="L54" i="1"/>
  <c r="O54" i="1" s="1"/>
  <c r="R54" i="1" s="1"/>
  <c r="L53" i="1"/>
  <c r="O53" i="1" s="1"/>
  <c r="R53" i="1" s="1"/>
  <c r="K55" i="1"/>
  <c r="K54" i="1"/>
  <c r="K53" i="1"/>
  <c r="K52" i="1"/>
  <c r="L50" i="1"/>
  <c r="N50" i="1"/>
  <c r="K50" i="1"/>
  <c r="G50" i="1"/>
  <c r="N49" i="1"/>
  <c r="K49" i="1"/>
  <c r="G49" i="1"/>
  <c r="L15" i="1"/>
  <c r="M15" i="1" s="1"/>
  <c r="L14" i="1"/>
  <c r="M14" i="1" s="1"/>
  <c r="K15" i="1"/>
  <c r="G15" i="1"/>
  <c r="K14" i="1"/>
  <c r="G14" i="1"/>
  <c r="O50" i="1" l="1"/>
  <c r="R50" i="1" s="1"/>
  <c r="M52" i="1"/>
  <c r="Q52" i="1" s="1"/>
  <c r="M54" i="1"/>
  <c r="Q54" i="1" s="1"/>
  <c r="M53" i="1"/>
  <c r="Q53" i="1" s="1"/>
  <c r="O55" i="1"/>
  <c r="R55" i="1" s="1"/>
  <c r="O49" i="1"/>
  <c r="R49" i="1" s="1"/>
  <c r="M50" i="1"/>
  <c r="Q50" i="1" s="1"/>
  <c r="Q14" i="1"/>
  <c r="O14" i="1"/>
  <c r="R14" i="1" s="1"/>
  <c r="Q15" i="1"/>
  <c r="O15" i="1"/>
  <c r="R15" i="1" s="1"/>
  <c r="L32" i="4" l="1"/>
  <c r="K32" i="4"/>
  <c r="J32" i="4"/>
  <c r="H32" i="4"/>
  <c r="G32" i="4"/>
  <c r="F32" i="4"/>
  <c r="E32" i="4"/>
  <c r="D32" i="4"/>
  <c r="C32" i="4"/>
  <c r="B32" i="4"/>
  <c r="L30" i="4"/>
  <c r="K30" i="4"/>
  <c r="J30" i="4"/>
  <c r="I30" i="4"/>
  <c r="H30" i="4"/>
  <c r="G30" i="4"/>
  <c r="F30" i="4"/>
  <c r="E30" i="4"/>
  <c r="D30" i="4"/>
  <c r="C30" i="4"/>
  <c r="B30" i="4"/>
  <c r="L29" i="4"/>
  <c r="K29" i="4"/>
  <c r="J29" i="4"/>
  <c r="I29" i="4"/>
  <c r="H29" i="4"/>
  <c r="G29" i="4"/>
  <c r="F29" i="4"/>
  <c r="E29" i="4"/>
  <c r="D29" i="4"/>
  <c r="C29" i="4"/>
  <c r="B29" i="4"/>
  <c r="L28" i="4"/>
  <c r="K28" i="4"/>
  <c r="J28" i="4"/>
  <c r="I28" i="4"/>
  <c r="H28" i="4"/>
  <c r="G28" i="4"/>
  <c r="F28" i="4"/>
  <c r="E28" i="4"/>
  <c r="D28" i="4"/>
  <c r="C28" i="4"/>
  <c r="B28" i="4"/>
  <c r="L27" i="4"/>
  <c r="K27" i="4"/>
  <c r="J27" i="4"/>
  <c r="I27" i="4"/>
  <c r="H27" i="4"/>
  <c r="G27" i="4"/>
  <c r="F27" i="4"/>
  <c r="E27" i="4"/>
  <c r="D27" i="4"/>
  <c r="C27" i="4"/>
  <c r="B27" i="4"/>
  <c r="L26" i="4"/>
  <c r="K26" i="4"/>
  <c r="J26" i="4"/>
  <c r="I26" i="4"/>
  <c r="H26" i="4"/>
  <c r="G26" i="4"/>
  <c r="F26" i="4"/>
  <c r="E26" i="4"/>
  <c r="D26" i="4"/>
  <c r="C26" i="4"/>
  <c r="B26" i="4"/>
  <c r="L25" i="4"/>
  <c r="K25" i="4"/>
  <c r="J25" i="4"/>
  <c r="I25" i="4"/>
  <c r="H25" i="4"/>
  <c r="G25" i="4"/>
  <c r="F25" i="4"/>
  <c r="E25" i="4"/>
  <c r="D25" i="4"/>
  <c r="C25" i="4"/>
  <c r="B25" i="4"/>
  <c r="L24" i="4"/>
  <c r="K24" i="4"/>
  <c r="J24" i="4"/>
  <c r="I24" i="4"/>
  <c r="H24" i="4"/>
  <c r="G24" i="4"/>
  <c r="F24" i="4"/>
  <c r="E24" i="4"/>
  <c r="D24" i="4"/>
  <c r="C24" i="4"/>
  <c r="B24" i="4"/>
  <c r="L23" i="4"/>
  <c r="K23" i="4"/>
  <c r="J23" i="4"/>
  <c r="I23" i="4"/>
  <c r="H23" i="4"/>
  <c r="G23" i="4"/>
  <c r="F23" i="4"/>
  <c r="E23" i="4"/>
  <c r="D23" i="4"/>
  <c r="C23" i="4"/>
  <c r="B23" i="4"/>
  <c r="L22" i="4"/>
  <c r="K22" i="4"/>
  <c r="J22" i="4"/>
  <c r="I22" i="4"/>
  <c r="H22" i="4"/>
  <c r="G22" i="4"/>
  <c r="F22" i="4"/>
  <c r="E22" i="4"/>
  <c r="D22" i="4"/>
  <c r="C22" i="4"/>
  <c r="B22" i="4"/>
  <c r="L21" i="4"/>
  <c r="K21" i="4"/>
  <c r="J21" i="4"/>
  <c r="I21" i="4"/>
  <c r="H21" i="4"/>
  <c r="G21" i="4"/>
  <c r="F21" i="4"/>
  <c r="E21" i="4"/>
  <c r="D21" i="4"/>
  <c r="C21" i="4"/>
  <c r="B21" i="4"/>
  <c r="L20" i="4"/>
  <c r="K20" i="4"/>
  <c r="J20" i="4"/>
  <c r="I20" i="4"/>
  <c r="H20" i="4"/>
  <c r="G20" i="4"/>
  <c r="F20" i="4"/>
  <c r="E20" i="4"/>
  <c r="D20" i="4"/>
  <c r="C20" i="4"/>
  <c r="B20" i="4"/>
  <c r="L19" i="4"/>
  <c r="K19" i="4"/>
  <c r="J19" i="4"/>
  <c r="I19" i="4"/>
  <c r="H19" i="4"/>
  <c r="G19" i="4"/>
  <c r="F19" i="4"/>
  <c r="E19" i="4"/>
  <c r="D19" i="4"/>
  <c r="C19" i="4"/>
  <c r="B19" i="4"/>
  <c r="L18" i="4"/>
  <c r="K18" i="4"/>
  <c r="J18" i="4"/>
  <c r="I18" i="4"/>
  <c r="H18" i="4"/>
  <c r="G18" i="4"/>
  <c r="F18" i="4"/>
  <c r="E18" i="4"/>
  <c r="D18" i="4"/>
  <c r="C18" i="4"/>
  <c r="B18" i="4"/>
  <c r="L17" i="4"/>
  <c r="K17" i="4"/>
  <c r="J17" i="4"/>
  <c r="I17" i="4"/>
  <c r="H17" i="4"/>
  <c r="G17" i="4"/>
  <c r="F17" i="4"/>
  <c r="E17" i="4"/>
  <c r="D17" i="4"/>
  <c r="C17" i="4"/>
  <c r="B17" i="4"/>
  <c r="L16" i="4"/>
  <c r="K16" i="4"/>
  <c r="J16" i="4"/>
  <c r="I16" i="4"/>
  <c r="H16" i="4"/>
  <c r="G16" i="4"/>
  <c r="F16" i="4"/>
  <c r="E16" i="4"/>
  <c r="D16" i="4"/>
  <c r="C16" i="4"/>
  <c r="B16" i="4"/>
  <c r="L15" i="4"/>
  <c r="K15" i="4"/>
  <c r="J15" i="4"/>
  <c r="I15" i="4"/>
  <c r="H15" i="4"/>
  <c r="G15" i="4"/>
  <c r="F15" i="4"/>
  <c r="E15" i="4"/>
  <c r="D15" i="4"/>
  <c r="C15" i="4"/>
  <c r="B15" i="4"/>
  <c r="L14" i="4"/>
  <c r="K14" i="4"/>
  <c r="J14" i="4"/>
  <c r="I14" i="4"/>
  <c r="H14" i="4"/>
  <c r="G14" i="4"/>
  <c r="F14" i="4"/>
  <c r="E14" i="4"/>
  <c r="D14" i="4"/>
  <c r="C14" i="4"/>
  <c r="B14" i="4"/>
  <c r="L13" i="4"/>
  <c r="K13" i="4"/>
  <c r="J13" i="4"/>
  <c r="I13" i="4"/>
  <c r="H13" i="4"/>
  <c r="G13" i="4"/>
  <c r="F13" i="4"/>
  <c r="E13" i="4"/>
  <c r="D13" i="4"/>
  <c r="C13" i="4"/>
  <c r="B13" i="4"/>
  <c r="L12" i="4"/>
  <c r="K12" i="4"/>
  <c r="J12" i="4"/>
  <c r="I12" i="4"/>
  <c r="H12" i="4"/>
  <c r="G12" i="4"/>
  <c r="F12" i="4"/>
  <c r="E12" i="4"/>
  <c r="D12" i="4"/>
  <c r="C12" i="4"/>
  <c r="B12" i="4"/>
  <c r="L11" i="4"/>
  <c r="K11" i="4"/>
  <c r="J11" i="4"/>
  <c r="I11" i="4"/>
  <c r="H11" i="4"/>
  <c r="G11" i="4"/>
  <c r="F11" i="4"/>
  <c r="E11" i="4"/>
  <c r="D11" i="4"/>
  <c r="C11" i="4"/>
  <c r="B11" i="4"/>
  <c r="L10" i="4"/>
  <c r="K10" i="4"/>
  <c r="J10" i="4"/>
  <c r="I10" i="4"/>
  <c r="H10" i="4"/>
  <c r="G10" i="4"/>
  <c r="F10" i="4"/>
  <c r="E10" i="4"/>
  <c r="D10" i="4"/>
  <c r="C10" i="4"/>
  <c r="B10" i="4"/>
  <c r="L9" i="4"/>
  <c r="K9" i="4"/>
  <c r="J9" i="4"/>
  <c r="I9" i="4"/>
  <c r="H9" i="4"/>
  <c r="G9" i="4"/>
  <c r="F9" i="4"/>
  <c r="E9" i="4"/>
  <c r="D9" i="4"/>
  <c r="C9" i="4"/>
  <c r="B9" i="4"/>
  <c r="L8" i="4"/>
  <c r="K8" i="4"/>
  <c r="J8" i="4"/>
  <c r="I8" i="4"/>
  <c r="H8" i="4"/>
  <c r="G8" i="4"/>
  <c r="F8" i="4"/>
  <c r="E8" i="4"/>
  <c r="D8" i="4"/>
  <c r="C8" i="4"/>
  <c r="B8" i="4"/>
  <c r="L7" i="4"/>
  <c r="K7" i="4"/>
  <c r="J7" i="4"/>
  <c r="I7" i="4"/>
  <c r="H7" i="4"/>
  <c r="G7" i="4"/>
  <c r="F7" i="4"/>
  <c r="E7" i="4"/>
  <c r="D7" i="4"/>
  <c r="C7" i="4"/>
  <c r="B7" i="4"/>
  <c r="L6" i="4"/>
  <c r="K6" i="4"/>
  <c r="J6" i="4"/>
  <c r="I6" i="4"/>
  <c r="H6" i="4"/>
  <c r="G6" i="4"/>
  <c r="F6" i="4"/>
  <c r="E6" i="4"/>
  <c r="D6" i="4"/>
  <c r="C6" i="4"/>
  <c r="B6" i="4"/>
  <c r="L5" i="4"/>
  <c r="K5" i="4"/>
  <c r="J5" i="4"/>
  <c r="I5" i="4"/>
  <c r="H5" i="4"/>
  <c r="G5" i="4"/>
  <c r="F5" i="4"/>
  <c r="E5" i="4"/>
  <c r="D5" i="4"/>
  <c r="C5" i="4"/>
  <c r="B5" i="4"/>
  <c r="L4" i="4"/>
  <c r="K4" i="4"/>
  <c r="J4" i="4"/>
  <c r="I4" i="4"/>
  <c r="H4" i="4"/>
  <c r="G4" i="4"/>
  <c r="F4" i="4"/>
  <c r="E4" i="4"/>
  <c r="D4" i="4"/>
  <c r="C4" i="4"/>
  <c r="B4" i="4"/>
  <c r="L3" i="4"/>
  <c r="K3" i="4"/>
  <c r="J3" i="4"/>
  <c r="I3" i="4"/>
  <c r="H3" i="4"/>
  <c r="G3" i="4"/>
  <c r="F3" i="4"/>
  <c r="E3" i="4"/>
  <c r="D3" i="4"/>
  <c r="C3" i="4"/>
  <c r="B3" i="4"/>
  <c r="G25" i="1"/>
  <c r="G12" i="1"/>
  <c r="G26" i="1"/>
  <c r="H27" i="6"/>
  <c r="G48" i="1"/>
  <c r="G47" i="1"/>
  <c r="G46" i="1"/>
  <c r="G36" i="1"/>
  <c r="G35" i="1"/>
  <c r="G34" i="1"/>
  <c r="G32" i="1"/>
  <c r="G31" i="1"/>
  <c r="G29" i="1"/>
  <c r="G28" i="1"/>
  <c r="G24" i="1"/>
  <c r="G22" i="1"/>
  <c r="G21" i="1"/>
  <c r="G20" i="1"/>
  <c r="G19" i="1"/>
  <c r="G18" i="1"/>
  <c r="G17" i="1"/>
  <c r="G44" i="1"/>
  <c r="G43" i="1"/>
  <c r="G41" i="1"/>
  <c r="G42" i="1"/>
  <c r="G39" i="1"/>
  <c r="G40" i="1"/>
  <c r="G38" i="1"/>
  <c r="G11" i="1"/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41" i="1"/>
  <c r="L44" i="1"/>
  <c r="L43" i="1"/>
  <c r="L42" i="1"/>
  <c r="L40" i="1"/>
  <c r="M40" i="1" s="1"/>
  <c r="Q40" i="1" s="1"/>
  <c r="J4" i="11" l="1"/>
  <c r="I12" i="10"/>
  <c r="J12" i="9"/>
  <c r="J4" i="9"/>
  <c r="J14" i="10"/>
  <c r="J14" i="9"/>
  <c r="I28" i="9"/>
  <c r="I12" i="11"/>
  <c r="J27" i="11"/>
  <c r="J3" i="11"/>
  <c r="I19" i="11"/>
  <c r="J14" i="11"/>
  <c r="K43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42" i="1"/>
  <c r="K41" i="1"/>
  <c r="I20" i="11"/>
  <c r="K44" i="1"/>
  <c r="J20" i="9"/>
  <c r="I14" i="11"/>
  <c r="J27" i="9"/>
  <c r="J3" i="9"/>
  <c r="J20" i="11"/>
  <c r="I4" i="11"/>
  <c r="I27" i="11"/>
  <c r="M44" i="1"/>
  <c r="Q44" i="1" s="1"/>
  <c r="M41" i="1"/>
  <c r="Q41" i="1" s="1"/>
  <c r="M43" i="1"/>
  <c r="Q43" i="1" s="1"/>
  <c r="M42" i="1"/>
  <c r="Q42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J27" i="6"/>
  <c r="H28" i="6"/>
  <c r="H29" i="6"/>
  <c r="I29" i="6"/>
  <c r="J29" i="6"/>
  <c r="H30" i="6"/>
  <c r="I30" i="6"/>
  <c r="J30" i="6"/>
  <c r="L48" i="1"/>
  <c r="L47" i="1"/>
  <c r="L46" i="1"/>
  <c r="L39" i="1"/>
  <c r="L38" i="1"/>
  <c r="M38" i="1" s="1"/>
  <c r="L36" i="1"/>
  <c r="L35" i="1"/>
  <c r="L34" i="1"/>
  <c r="L32" i="1"/>
  <c r="L31" i="1"/>
  <c r="L29" i="1"/>
  <c r="L28" i="1"/>
  <c r="L26" i="1"/>
  <c r="L25" i="1"/>
  <c r="L24" i="1"/>
  <c r="L12" i="1"/>
  <c r="L11" i="1"/>
  <c r="N44" i="1" l="1"/>
  <c r="O44" i="1" s="1"/>
  <c r="R44" i="1" s="1"/>
  <c r="N43" i="1"/>
  <c r="O43" i="1" s="1"/>
  <c r="R43" i="1" s="1"/>
  <c r="K40" i="1"/>
  <c r="I28" i="11"/>
  <c r="N42" i="1"/>
  <c r="O42" i="1" s="1"/>
  <c r="R42" i="1" s="1"/>
  <c r="N41" i="1"/>
  <c r="O41" i="1" s="1"/>
  <c r="R41" i="1" s="1"/>
  <c r="I27" i="6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Q12" i="1" s="1"/>
  <c r="M11" i="1"/>
  <c r="Q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8" i="1"/>
  <c r="K47" i="1"/>
  <c r="K46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I20" i="7" l="1"/>
  <c r="N40" i="1" s="1"/>
  <c r="O40" i="1" s="1"/>
  <c r="R40" i="1" s="1"/>
  <c r="J3" i="8"/>
  <c r="I14" i="8"/>
  <c r="I5" i="8"/>
  <c r="J19" i="7"/>
  <c r="I12" i="8"/>
  <c r="I20" i="8"/>
  <c r="N47" i="1" s="1"/>
  <c r="J3" i="7"/>
  <c r="J14" i="7"/>
  <c r="I4" i="7"/>
  <c r="I12" i="7"/>
  <c r="M46" i="1"/>
  <c r="Q46" i="1" s="1"/>
  <c r="M47" i="1"/>
  <c r="Q47" i="1" s="1"/>
  <c r="M48" i="1"/>
  <c r="Q48" i="1" s="1"/>
  <c r="M39" i="1"/>
  <c r="N48" i="1" l="1"/>
  <c r="O48" i="1" s="1"/>
  <c r="R48" i="1" s="1"/>
  <c r="N46" i="1"/>
  <c r="O46" i="1" s="1"/>
  <c r="R46" i="1" s="1"/>
  <c r="O47" i="1"/>
  <c r="R47" i="1" s="1"/>
  <c r="Q38" i="1"/>
  <c r="K39" i="1"/>
  <c r="K38" i="1"/>
  <c r="M22" i="1"/>
  <c r="Q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N38" i="1" l="1"/>
  <c r="O38" i="1" s="1"/>
  <c r="R38" i="1" s="1"/>
  <c r="N39" i="1"/>
  <c r="O39" i="1" s="1"/>
  <c r="R39" i="1" s="1"/>
  <c r="O22" i="1"/>
  <c r="R22" i="1" s="1"/>
  <c r="Q39" i="1"/>
  <c r="O35" i="1"/>
  <c r="R35" i="1" s="1"/>
  <c r="O34" i="1"/>
  <c r="R34" i="1" s="1"/>
  <c r="M32" i="1"/>
  <c r="Q32" i="1" s="1"/>
  <c r="M28" i="1"/>
  <c r="Q28" i="1" s="1"/>
  <c r="M25" i="1"/>
  <c r="Q25" i="1" s="1"/>
  <c r="M20" i="1"/>
  <c r="Q20" i="1" s="1"/>
  <c r="M19" i="1"/>
  <c r="M18" i="1"/>
  <c r="O18" i="1" s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O36" i="1" l="1"/>
  <c r="R36" i="1" s="1"/>
  <c r="M36" i="1"/>
  <c r="Q36" i="1" s="1"/>
  <c r="Q21" i="1"/>
  <c r="O21" i="1"/>
  <c r="R21" i="1" s="1"/>
  <c r="M31" i="1"/>
  <c r="Q31" i="1" s="1"/>
  <c r="M29" i="1"/>
  <c r="Q29" i="1" s="1"/>
  <c r="M26" i="1"/>
  <c r="Q26" i="1" s="1"/>
  <c r="M24" i="1"/>
  <c r="Q24" i="1" s="1"/>
  <c r="O19" i="1"/>
  <c r="R19" i="1" s="1"/>
  <c r="Q19" i="1"/>
  <c r="Q17" i="1"/>
  <c r="O17" i="1"/>
  <c r="R17" i="1" s="1"/>
  <c r="R18" i="1"/>
  <c r="Q18" i="1"/>
  <c r="O20" i="1"/>
  <c r="R20" i="1" s="1"/>
  <c r="M35" i="1"/>
  <c r="Q35" i="1" s="1"/>
  <c r="M34" i="1"/>
  <c r="Q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R58" i="1" l="1"/>
  <c r="I19" i="6"/>
  <c r="I5" i="6"/>
  <c r="I3" i="6"/>
  <c r="I2" i="6"/>
  <c r="J14" i="6"/>
  <c r="I4" i="6"/>
  <c r="I12" i="6"/>
  <c r="I20" i="6"/>
  <c r="N25" i="1" l="1"/>
  <c r="O25" i="1" s="1"/>
  <c r="R25" i="1" s="1"/>
  <c r="N24" i="1"/>
  <c r="O24" i="1" s="1"/>
  <c r="R24" i="1" s="1"/>
  <c r="N26" i="1"/>
  <c r="O26" i="1" s="1"/>
  <c r="R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O12" i="1" l="1"/>
  <c r="R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O11" i="1" l="1"/>
  <c r="R11" i="1" s="1"/>
  <c r="N31" i="1"/>
  <c r="O31" i="1" s="1"/>
  <c r="R31" i="1" s="1"/>
  <c r="N32" i="1"/>
  <c r="O32" i="1" s="1"/>
  <c r="R32" i="1" s="1"/>
  <c r="N29" i="1"/>
  <c r="O29" i="1" s="1"/>
  <c r="R29" i="1" s="1"/>
  <c r="N28" i="1"/>
  <c r="O28" i="1" s="1"/>
  <c r="R28" i="1" s="1"/>
  <c r="R62" i="1" l="1"/>
  <c r="R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  <author>tc={34481B84-EB9F-40FB-A5E9-4DA01E873CBC}</author>
    <author>tc={C41DDD64-AA7D-4A6F-B8E8-9F3452B0D8EC}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R2" authorId="2" shapeId="0" xr:uid="{34481B84-EB9F-40FB-A5E9-4DA01E873C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T2" authorId="3" shapeId="0" xr:uid="{C41DDD64-AA7D-4A6F-B8E8-9F3452B0D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<sst xmlns="http://schemas.openxmlformats.org/spreadsheetml/2006/main" count="653" uniqueCount="160">
  <si>
    <t>BABY ROO COMERCIO DE ALIMENTOS EIRELI</t>
  </si>
  <si>
    <t>CNPJ: 34.282.307.0001-44</t>
  </si>
  <si>
    <t>INSC. ESTADUAL: 90821939-25</t>
  </si>
  <si>
    <t>Nome / Razão Social:</t>
  </si>
  <si>
    <t>Endereço:</t>
  </si>
  <si>
    <t>Municipio:</t>
  </si>
  <si>
    <t>UF:</t>
  </si>
  <si>
    <t>CNPJ:</t>
  </si>
  <si>
    <t>Inscrição Estadual:</t>
  </si>
  <si>
    <t>CEP:</t>
  </si>
  <si>
    <t>Descrição</t>
  </si>
  <si>
    <t>Código</t>
  </si>
  <si>
    <t>Ean 13</t>
  </si>
  <si>
    <t>Embalagem</t>
  </si>
  <si>
    <t>Dun 14</t>
  </si>
  <si>
    <t>Crédito ICMS (%)</t>
  </si>
  <si>
    <t>Valor Unit.</t>
  </si>
  <si>
    <t>Valor Caixa</t>
  </si>
  <si>
    <t>Valor Caixa + ST</t>
  </si>
  <si>
    <t>TOTAL Caixas</t>
  </si>
  <si>
    <t>Valor TOTAL</t>
  </si>
  <si>
    <t>Papinha Papapá Org Maçã Ameixa 100g</t>
  </si>
  <si>
    <t>7898994908722</t>
  </si>
  <si>
    <t>12 x 100g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</si>
  <si>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</si>
  <si>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</si>
  <si>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</si>
  <si>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</si>
  <si>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</si>
  <si>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</si>
  <si>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7898994908746</t>
  </si>
  <si>
    <t>16 x 20g</t>
  </si>
  <si>
    <t>12 x 36g</t>
  </si>
  <si>
    <t>PR</t>
  </si>
  <si>
    <t>SP</t>
  </si>
  <si>
    <t>Estado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</si>
  <si>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</si>
  <si>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</si>
  <si>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</si>
  <si>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</si>
  <si>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</si>
  <si>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</si>
  <si>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</si>
  <si>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</si>
  <si>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</si>
  <si>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</si>
  <si>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</si>
  <si>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</si>
  <si>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</si>
  <si>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</si>
  <si>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</si>
  <si>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</si>
  <si>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</si>
  <si>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</si>
  <si>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</si>
  <si>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</si>
  <si>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</si>
  <si>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</si>
  <si>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</si>
  <si>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</si>
  <si>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TO</t>
  </si>
  <si>
    <t>Palitinhos</t>
  </si>
  <si>
    <t>Papinhas</t>
  </si>
  <si>
    <t>Biscoitinhos</t>
  </si>
  <si>
    <t>Preço</t>
  </si>
  <si>
    <t>Regime SIMPLES?</t>
  </si>
  <si>
    <t>SIM</t>
  </si>
  <si>
    <t>NÃO</t>
  </si>
  <si>
    <t>MVA (normal)</t>
  </si>
  <si>
    <t>MVA (simples)</t>
  </si>
  <si>
    <t>Ajustada (normal)</t>
  </si>
  <si>
    <t>Ajustada (simples)</t>
  </si>
  <si>
    <t>ST Normal</t>
  </si>
  <si>
    <t>ST Simples</t>
  </si>
  <si>
    <t>Aliquota interestadual</t>
  </si>
  <si>
    <t>Aliquota interna</t>
  </si>
  <si>
    <t>Papapasta</t>
  </si>
  <si>
    <t>12 x 200g</t>
  </si>
  <si>
    <t>La Chef</t>
  </si>
  <si>
    <t>6 x 180g</t>
  </si>
  <si>
    <t>NCM</t>
  </si>
  <si>
    <t>SUBSTITUIÇÃO TRIBUTÁRIA UN</t>
  </si>
  <si>
    <t>E-mail XML:</t>
  </si>
  <si>
    <t>2104.20.00</t>
  </si>
  <si>
    <t>1904.10.00</t>
  </si>
  <si>
    <t>1905.90.20</t>
  </si>
  <si>
    <t>19.02.19.00</t>
  </si>
  <si>
    <t>VALOR TOTAL PRODUTOS (R$):</t>
  </si>
  <si>
    <t>VALOR ST (R$):</t>
  </si>
  <si>
    <t>VALOR TOTAL PEDIDO (R$):</t>
  </si>
  <si>
    <t>(*) quando inside ST o valor do imposto é adicionado nesta coluna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</si>
  <si>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</si>
  <si>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PSC</t>
  </si>
  <si>
    <t>Papinha Papapá Org Maçã B. Doce Cenoura 100g</t>
  </si>
  <si>
    <t>Biscoito inf Papapá org. Beterraba 20g</t>
  </si>
  <si>
    <t>Biscoito inf Papapá org. Cenoura 20g</t>
  </si>
  <si>
    <t>Biscoito inf Papapá org. Tomate/Manjericão 20g</t>
  </si>
  <si>
    <t>Biscoito Inf Papapá dent. Maçã e Abóbora 36g</t>
  </si>
  <si>
    <t>Biscoito Inf Papapá dent Vegetais 36g</t>
  </si>
  <si>
    <t>Sopinha  Papapá org Lentinha Carne Legumes 180g</t>
  </si>
  <si>
    <t>Risotinho Papapá org Arroz quinoa frango 180g</t>
  </si>
  <si>
    <t>Caseirinho Papapá org Arroz feijão carne leg. 180g</t>
  </si>
  <si>
    <t xml:space="preserve">Validade </t>
  </si>
  <si>
    <t>16 meses</t>
  </si>
  <si>
    <t>15 meses</t>
  </si>
  <si>
    <t>14 meses</t>
  </si>
  <si>
    <t>9 meses</t>
  </si>
  <si>
    <t>Nr. pedido</t>
  </si>
  <si>
    <t>Papinha Papapá Org Morango Maçã 100g</t>
  </si>
  <si>
    <t>12 x 170g</t>
  </si>
  <si>
    <t>12 meses</t>
  </si>
  <si>
    <t>19.01.10.30</t>
  </si>
  <si>
    <t>EX</t>
  </si>
  <si>
    <t>Fone contato com (DDD)</t>
  </si>
  <si>
    <t>Biscotti</t>
  </si>
  <si>
    <t>Biscoito Infantil Papapá Biscotti com Laranja e Cenoura 60g</t>
  </si>
  <si>
    <t>12 x 60g</t>
  </si>
  <si>
    <t>Biscoito Infantil Papapá Biscotti com Maçã e Canela 60g</t>
  </si>
  <si>
    <t>Biscoito Infantil Papapá Biscotti com Banana e Cacau 60g</t>
  </si>
  <si>
    <t>ENDEREÇO: Rua Grã Nicco, 113 - sala 501, bloco 2 - Mossunguê, Curitiba - PR, 81200-200</t>
  </si>
  <si>
    <t>10 meses</t>
  </si>
  <si>
    <t>Macarrao Inf Papapá m. Elbow Quinoa 200g</t>
  </si>
  <si>
    <t>Macarrao Inf Papapá m. Fusilli Vegetais 200g</t>
  </si>
  <si>
    <t>12 x 120g</t>
  </si>
  <si>
    <t>Pouch Carne</t>
  </si>
  <si>
    <t>Bowl</t>
  </si>
  <si>
    <t>Mini</t>
  </si>
  <si>
    <t>outro</t>
  </si>
  <si>
    <t>Papinha Papapa Carne Arroz Legumes 120g</t>
  </si>
  <si>
    <t>Papinha Papapa Frango Grão Vegetais 120g</t>
  </si>
  <si>
    <t>SP/Atacado</t>
  </si>
  <si>
    <t>Cereal Infantil Papapá Aveia - Banana e Ameixa sache 170g</t>
  </si>
  <si>
    <t>Cereal Infantil Papapá Aveia - Multicereais sache 170g</t>
  </si>
  <si>
    <t>Cereal Infantil Papapá Aveia - Multicereais sache 500g</t>
  </si>
  <si>
    <t>Cereal Infantil Papapá Aveia - Morango e Beterraba sache 170g</t>
  </si>
  <si>
    <t>Cereal Infantil Papapá Aveia - Morango e Beterraba 170g caixa</t>
  </si>
  <si>
    <t>Cereal Infantil Papapá Aveia - Banana e Ameixa 170g caixa</t>
  </si>
  <si>
    <t>Cereal Infantil Papapá Aveia - Multicereais 170g caixa</t>
  </si>
  <si>
    <t>P. Cereal 170g Sache sabores</t>
  </si>
  <si>
    <t>icms 7%</t>
  </si>
  <si>
    <t>Preços atualizados 04 set 2024</t>
  </si>
  <si>
    <t>12 x 500g</t>
  </si>
  <si>
    <t>Linha Cerais</t>
  </si>
  <si>
    <t>P. Cereal 170g Sache MULTI</t>
  </si>
  <si>
    <t>MULTI sache 500 g</t>
  </si>
  <si>
    <t>CONSUMIDOR</t>
  </si>
  <si>
    <t>Pedido Mínimo:</t>
  </si>
  <si>
    <t>ESPECIAL</t>
  </si>
  <si>
    <t>0625MV</t>
  </si>
  <si>
    <t>Papinha Papapa Iogurte Frutas Amarelas e Banana 100g</t>
  </si>
  <si>
    <t>16 x 100g</t>
  </si>
  <si>
    <t>Papinha Papapa Iogurte Frutas Vermelhas e Banana 100g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</si>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</sst>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5" fillId="9" borderId="17" xfId="7" applyNumberFormat="1" applyFont="1" applyBorder="1" applyAlignment="1" applyProtection="1">
      <alignment horizontal="center" vertical="center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5" fillId="9" borderId="17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7" xfId="7" applyFont="1" applyBorder="1" applyAlignment="1" applyProtection="1">
      <alignment horizontal="center"/>
    </xf>
    <xf numFmtId="9" fontId="15" fillId="9" borderId="17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 vertical="center"/>
    </xf>
    <xf numFmtId="44" fontId="14" fillId="9" borderId="17" xfId="7" applyNumberFormat="1" applyFont="1" applyBorder="1" applyAlignment="1" applyProtection="1">
      <alignment horizontal="center"/>
    </xf>
    <xf numFmtId="0" fontId="14" fillId="6" borderId="17" xfId="0" applyFont="1" applyFill="1" applyBorder="1" applyAlignment="1" applyProtection="1">
      <alignment horizontal="center"/>
      <protection locked="0"/>
    </xf>
    <xf numFmtId="44" fontId="15" fillId="9" borderId="15" xfId="7" applyNumberFormat="1" applyFont="1" applyBorder="1" applyAlignment="1" applyProtection="1">
      <alignment horizontal="center"/>
    </xf>
    <xf numFmtId="2" fontId="24" fillId="9" borderId="17" xfId="7" applyNumberFormat="1" applyFont="1" applyBorder="1" applyAlignment="1" applyProtection="1">
      <alignment horizontal="center" vertical="center"/>
    </xf>
    <xf numFmtId="2" fontId="24" fillId="10" borderId="9" xfId="0" applyNumberFormat="1" applyFont="1" applyFill="1" applyBorder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44" fontId="12" fillId="19" borderId="0" xfId="1" applyFont="1" applyFill="1" applyBorder="1"/>
    <xf numFmtId="44" fontId="23" fillId="20" borderId="0" xfId="1" applyFont="1" applyFill="1" applyBorder="1"/>
    <xf numFmtId="44" fontId="23" fillId="20" borderId="0" xfId="0" applyNumberFormat="1" applyFont="1" applyFill="1"/>
    <xf numFmtId="44" fontId="0" fillId="21" borderId="0" xfId="1" applyFont="1" applyFill="1"/>
    <xf numFmtId="44" fontId="1" fillId="21" borderId="0" xfId="1" applyFont="1" applyFill="1"/>
    <xf numFmtId="43" fontId="0" fillId="21" borderId="0" xfId="8" applyFont="1" applyFill="1"/>
    <xf numFmtId="0" fontId="0" fillId="22" borderId="0" xfId="0" applyFill="1" applyAlignment="1">
      <alignment horizontal="center" vertical="center"/>
    </xf>
    <xf numFmtId="9" fontId="1" fillId="22" borderId="0" xfId="2" applyFont="1" applyFill="1" applyAlignment="1">
      <alignment horizontal="center" vertical="center"/>
    </xf>
    <xf numFmtId="10" fontId="1" fillId="22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9" fontId="1" fillId="23" borderId="0" xfId="2" applyFont="1" applyFill="1" applyAlignment="1">
      <alignment horizontal="center" vertical="center"/>
    </xf>
    <xf numFmtId="10" fontId="1" fillId="23" borderId="0" xfId="2" applyNumberFormat="1" applyFont="1" applyFill="1" applyAlignment="1">
      <alignment horizontal="center" vertical="center"/>
    </xf>
    <xf numFmtId="164" fontId="1" fillId="22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5" borderId="13" xfId="0" applyFont="1" applyFill="1" applyBorder="1" applyAlignment="1">
      <alignment horizontal="center" vertical="center" wrapText="1"/>
    </xf>
    <xf numFmtId="44" fontId="13" fillId="26" borderId="0" xfId="0" applyNumberFormat="1" applyFont="1" applyFill="1"/>
    <xf numFmtId="0" fontId="18" fillId="17" borderId="0" xfId="0" applyFont="1" applyFill="1" applyAlignment="1">
      <alignment horizontal="center"/>
    </xf>
    <xf numFmtId="0" fontId="8" fillId="0" borderId="13" xfId="0" applyFont="1" applyBorder="1" applyAlignment="1">
      <alignment horizontal="center" vertical="center"/>
    </xf>
    <xf numFmtId="44" fontId="23" fillId="0" borderId="0" xfId="1" applyFont="1" applyFill="1" applyBorder="1"/>
    <xf numFmtId="44" fontId="25" fillId="0" borderId="0" xfId="1" applyFont="1" applyFill="1" applyBorder="1"/>
    <xf numFmtId="0" fontId="12" fillId="27" borderId="0" xfId="0" applyFont="1" applyFill="1" applyAlignment="1">
      <alignment horizontal="center" vertical="center"/>
    </xf>
    <xf numFmtId="44" fontId="0" fillId="23" borderId="0" xfId="0" applyNumberFormat="1" applyFill="1"/>
    <xf numFmtId="44" fontId="26" fillId="26" borderId="0" xfId="0" applyNumberFormat="1" applyFont="1" applyFill="1"/>
    <xf numFmtId="44" fontId="4" fillId="0" borderId="28" xfId="1" applyFont="1" applyBorder="1" applyAlignment="1" applyProtection="1"/>
    <xf numFmtId="44" fontId="4" fillId="0" borderId="29" xfId="1" applyFont="1" applyBorder="1" applyAlignment="1" applyProtection="1"/>
    <xf numFmtId="0" fontId="0" fillId="16" borderId="0" xfId="0" applyFill="1"/>
    <xf numFmtId="0" fontId="18" fillId="16" borderId="0" xfId="0" applyFont="1" applyFill="1"/>
    <xf numFmtId="8" fontId="0" fillId="0" borderId="0" xfId="0" applyNumberFormat="1"/>
    <xf numFmtId="0" fontId="14" fillId="6" borderId="0" xfId="0" applyFont="1" applyFill="1" applyAlignment="1" applyProtection="1">
      <alignment horizontal="center"/>
      <protection locked="0"/>
    </xf>
    <xf numFmtId="2" fontId="24" fillId="10" borderId="0" xfId="0" applyNumberFormat="1" applyFont="1" applyFill="1" applyAlignment="1">
      <alignment horizontal="center" vertical="center"/>
    </xf>
    <xf numFmtId="0" fontId="14" fillId="10" borderId="5" xfId="0" applyFont="1" applyFill="1" applyBorder="1" applyAlignment="1">
      <alignment horizontal="left" vertical="center"/>
    </xf>
    <xf numFmtId="0" fontId="14" fillId="0" borderId="4" xfId="0" applyFont="1" applyBorder="1"/>
    <xf numFmtId="0" fontId="14" fillId="9" borderId="5" xfId="7" applyFont="1" applyBorder="1" applyAlignment="1" applyProtection="1">
      <alignment horizontal="left" vertical="center"/>
    </xf>
    <xf numFmtId="0" fontId="4" fillId="2" borderId="27" xfId="0" applyFont="1" applyFill="1" applyBorder="1" applyAlignment="1">
      <alignment horizontal="left"/>
    </xf>
    <xf numFmtId="0" fontId="4" fillId="2" borderId="28" xfId="0" applyFont="1" applyFill="1" applyBorder="1" applyAlignment="1">
      <alignment horizontal="left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10" borderId="4" xfId="0" applyFont="1" applyFill="1" applyBorder="1" applyAlignment="1">
      <alignment horizontal="left" vertical="center"/>
    </xf>
    <xf numFmtId="0" fontId="14" fillId="9" borderId="15" xfId="7" applyFont="1" applyBorder="1" applyAlignment="1" applyProtection="1">
      <alignment horizontal="left" vertical="center"/>
    </xf>
    <xf numFmtId="0" fontId="14" fillId="0" borderId="16" xfId="0" applyFont="1" applyBorder="1"/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1656720</xdr:colOff>
      <xdr:row>3</xdr:row>
      <xdr:rowOff>132715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.sharepoint.com/sites/Papapa-Fileserver/Documentos%20Compartilhados/Comercial/01%20Comercial%20bkp/TABELAS%20DE%20PRE&#199;OS/Planilhas%20de%20pre&#231;o/2025/0325E_PC%20reajuste.xlsx" TargetMode="External"/><Relationship Id="rId1" Type="http://schemas.openxmlformats.org/officeDocument/2006/relationships/externalLinkPath" Target="https://papapacombr.sharepoint.com/sites/Papapa-Fileserver/Documentos%20Compartilhados/Comercial/01%20Comercial%20bkp/TABELAS%20DE%20PRE&#199;OS/Planilhas%20de%20pre&#231;o/2025/0325E_PC%20reajus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https://papapacombr.sharepoint.com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"/>
      <sheetName val="Planilha1"/>
      <sheetName val="ST BISCOITINHOS"/>
      <sheetName val="ST PAPAPASTA"/>
      <sheetName val="ST PALITINHOS"/>
      <sheetName val="ST BISCOTTI"/>
      <sheetName val="ST CEREAL"/>
      <sheetName val="ST CEREAL SABOR POUCH 170"/>
      <sheetName val="ST MULTI 170 POUCH"/>
      <sheetName val="ST MULTI 500 POUCH"/>
      <sheetName val="PREÇOS"/>
      <sheetName val="PSC"/>
    </sheetNames>
    <sheetDataSet>
      <sheetData sheetId="0"/>
      <sheetData sheetId="1"/>
      <sheetData sheetId="2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0.04</v>
          </cell>
        </row>
        <row r="3">
          <cell r="A3" t="str">
            <v>AL</v>
          </cell>
          <cell r="B3">
            <v>0.04</v>
          </cell>
        </row>
        <row r="4">
          <cell r="A4" t="str">
            <v>AM</v>
          </cell>
          <cell r="B4">
            <v>0.04</v>
          </cell>
        </row>
        <row r="5">
          <cell r="A5" t="str">
            <v>AP</v>
          </cell>
          <cell r="B5">
            <v>0.04</v>
          </cell>
        </row>
        <row r="6">
          <cell r="A6" t="str">
            <v>BA</v>
          </cell>
          <cell r="B6">
            <v>0.04</v>
          </cell>
        </row>
        <row r="7">
          <cell r="A7" t="str">
            <v>CE</v>
          </cell>
          <cell r="B7">
            <v>0.04</v>
          </cell>
        </row>
        <row r="8">
          <cell r="A8" t="str">
            <v>DF</v>
          </cell>
          <cell r="B8">
            <v>0.04</v>
          </cell>
        </row>
        <row r="9">
          <cell r="A9" t="str">
            <v>ES</v>
          </cell>
          <cell r="B9">
            <v>0.04</v>
          </cell>
        </row>
        <row r="10">
          <cell r="A10" t="str">
            <v>GO</v>
          </cell>
          <cell r="B10">
            <v>0.04</v>
          </cell>
        </row>
        <row r="11">
          <cell r="A11" t="str">
            <v>MA</v>
          </cell>
          <cell r="B11">
            <v>0.04</v>
          </cell>
        </row>
        <row r="12">
          <cell r="A12" t="str">
            <v>MG</v>
          </cell>
          <cell r="B12">
            <v>0.04</v>
          </cell>
        </row>
        <row r="13">
          <cell r="A13" t="str">
            <v>MS</v>
          </cell>
          <cell r="B13">
            <v>0.04</v>
          </cell>
        </row>
        <row r="14">
          <cell r="A14" t="str">
            <v>MT</v>
          </cell>
          <cell r="B14">
            <v>0.04</v>
          </cell>
        </row>
        <row r="15">
          <cell r="A15" t="str">
            <v>PA</v>
          </cell>
          <cell r="B15">
            <v>0.04</v>
          </cell>
        </row>
        <row r="16">
          <cell r="A16" t="str">
            <v>PB</v>
          </cell>
          <cell r="B16">
            <v>0.04</v>
          </cell>
        </row>
        <row r="17">
          <cell r="A17" t="str">
            <v>PE</v>
          </cell>
          <cell r="B17">
            <v>0.04</v>
          </cell>
        </row>
        <row r="18">
          <cell r="A18" t="str">
            <v>PI</v>
          </cell>
          <cell r="B18">
            <v>0.04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0.04</v>
          </cell>
        </row>
        <row r="21">
          <cell r="A21" t="str">
            <v>RN</v>
          </cell>
          <cell r="B21">
            <v>0.04</v>
          </cell>
        </row>
        <row r="22">
          <cell r="A22" t="str">
            <v>RO</v>
          </cell>
          <cell r="B22">
            <v>0.04</v>
          </cell>
        </row>
        <row r="23">
          <cell r="A23" t="str">
            <v>RR</v>
          </cell>
          <cell r="B23">
            <v>0.04</v>
          </cell>
        </row>
        <row r="24">
          <cell r="A24" t="str">
            <v>RS</v>
          </cell>
          <cell r="B24">
            <v>0.04</v>
          </cell>
        </row>
        <row r="25">
          <cell r="A25" t="str">
            <v>SC</v>
          </cell>
          <cell r="B25">
            <v>0.04</v>
          </cell>
        </row>
        <row r="26">
          <cell r="A26" t="str">
            <v>SE</v>
          </cell>
          <cell r="B26">
            <v>0.04</v>
          </cell>
        </row>
        <row r="27">
          <cell r="A27" t="str">
            <v>SP</v>
          </cell>
          <cell r="B27">
            <v>0.04</v>
          </cell>
        </row>
        <row r="28">
          <cell r="A28" t="str">
            <v>SP/Atacado</v>
          </cell>
          <cell r="B28">
            <v>0.04</v>
          </cell>
        </row>
        <row r="29">
          <cell r="A29" t="str">
            <v>TO</v>
          </cell>
          <cell r="B29">
            <v>0.04</v>
          </cell>
        </row>
        <row r="30">
          <cell r="A30" t="str">
            <v>EX</v>
          </cell>
        </row>
      </sheetData>
      <sheetData sheetId="3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7.0000000000000007E-2</v>
          </cell>
        </row>
        <row r="3">
          <cell r="A3" t="str">
            <v>AL</v>
          </cell>
          <cell r="B3">
            <v>7.0000000000000007E-2</v>
          </cell>
        </row>
        <row r="4">
          <cell r="A4" t="str">
            <v>AM</v>
          </cell>
          <cell r="B4">
            <v>7.0000000000000007E-2</v>
          </cell>
        </row>
        <row r="5">
          <cell r="A5" t="str">
            <v>AP</v>
          </cell>
          <cell r="B5">
            <v>7.0000000000000007E-2</v>
          </cell>
        </row>
        <row r="6">
          <cell r="A6" t="str">
            <v>BA</v>
          </cell>
          <cell r="B6">
            <v>7.0000000000000007E-2</v>
          </cell>
        </row>
        <row r="7">
          <cell r="A7" t="str">
            <v>CE</v>
          </cell>
          <cell r="B7">
            <v>7.0000000000000007E-2</v>
          </cell>
        </row>
        <row r="8">
          <cell r="A8" t="str">
            <v>DF</v>
          </cell>
          <cell r="B8">
            <v>7.0000000000000007E-2</v>
          </cell>
        </row>
        <row r="9">
          <cell r="A9" t="str">
            <v>ES</v>
          </cell>
          <cell r="B9">
            <v>7.0000000000000007E-2</v>
          </cell>
        </row>
        <row r="10">
          <cell r="A10" t="str">
            <v>GO</v>
          </cell>
          <cell r="B10">
            <v>7.0000000000000007E-2</v>
          </cell>
        </row>
        <row r="11">
          <cell r="A11" t="str">
            <v>MA</v>
          </cell>
          <cell r="B11">
            <v>7.0000000000000007E-2</v>
          </cell>
        </row>
        <row r="12">
          <cell r="A12" t="str">
            <v>MG</v>
          </cell>
          <cell r="B12">
            <v>0.12</v>
          </cell>
        </row>
        <row r="13">
          <cell r="A13" t="str">
            <v>MS</v>
          </cell>
          <cell r="B13">
            <v>7.0000000000000007E-2</v>
          </cell>
        </row>
        <row r="14">
          <cell r="A14" t="str">
            <v>MT</v>
          </cell>
          <cell r="B14">
            <v>7.0000000000000007E-2</v>
          </cell>
        </row>
        <row r="15">
          <cell r="A15" t="str">
            <v>PA</v>
          </cell>
          <cell r="B15">
            <v>7.0000000000000007E-2</v>
          </cell>
        </row>
        <row r="16">
          <cell r="A16" t="str">
            <v>PB</v>
          </cell>
          <cell r="B16">
            <v>7.0000000000000007E-2</v>
          </cell>
        </row>
        <row r="17">
          <cell r="A17" t="str">
            <v>PE</v>
          </cell>
          <cell r="B17">
            <v>7.0000000000000007E-2</v>
          </cell>
        </row>
        <row r="18">
          <cell r="A18" t="str">
            <v>PI</v>
          </cell>
          <cell r="B18">
            <v>7.0000000000000007E-2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0.12</v>
          </cell>
        </row>
        <row r="21">
          <cell r="A21" t="str">
            <v>RN</v>
          </cell>
          <cell r="B21">
            <v>7.0000000000000007E-2</v>
          </cell>
        </row>
        <row r="22">
          <cell r="A22" t="str">
            <v>RO</v>
          </cell>
          <cell r="B22">
            <v>7.0000000000000007E-2</v>
          </cell>
        </row>
        <row r="23">
          <cell r="A23" t="str">
            <v>RR</v>
          </cell>
          <cell r="B23">
            <v>7.0000000000000007E-2</v>
          </cell>
        </row>
        <row r="24">
          <cell r="A24" t="str">
            <v>RS</v>
          </cell>
          <cell r="B24">
            <v>0.12</v>
          </cell>
        </row>
        <row r="25">
          <cell r="A25" t="str">
            <v>SC</v>
          </cell>
          <cell r="B25">
            <v>0.12</v>
          </cell>
        </row>
        <row r="26">
          <cell r="A26" t="str">
            <v>SE</v>
          </cell>
          <cell r="B26">
            <v>7.0000000000000007E-2</v>
          </cell>
        </row>
        <row r="27">
          <cell r="A27" t="str">
            <v>SP</v>
          </cell>
          <cell r="B27">
            <v>0.12</v>
          </cell>
        </row>
        <row r="28">
          <cell r="A28" t="str">
            <v>SP/Atacado</v>
          </cell>
          <cell r="B28">
            <v>0.12</v>
          </cell>
        </row>
        <row r="29">
          <cell r="A29" t="str">
            <v>TO</v>
          </cell>
          <cell r="B29">
            <v>7.0000000000000007E-2</v>
          </cell>
        </row>
        <row r="30">
          <cell r="A30" t="str">
            <v>EX</v>
          </cell>
        </row>
      </sheetData>
      <sheetData sheetId="4"/>
      <sheetData sheetId="5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0.19</v>
          </cell>
          <cell r="D2"/>
          <cell r="E2"/>
          <cell r="F2"/>
          <cell r="G2"/>
          <cell r="H2">
            <v>7.93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0.2</v>
          </cell>
          <cell r="D3"/>
          <cell r="E3"/>
          <cell r="F3">
            <v>0.51129999999999998</v>
          </cell>
          <cell r="G3"/>
          <cell r="H3">
            <v>7.93</v>
          </cell>
          <cell r="I3">
            <v>1.8418218</v>
          </cell>
          <cell r="J3">
            <v>1.8418218</v>
          </cell>
        </row>
        <row r="4">
          <cell r="A4" t="str">
            <v>AM</v>
          </cell>
          <cell r="B4">
            <v>7.0000000000000007E-2</v>
          </cell>
          <cell r="C4">
            <v>0.2</v>
          </cell>
          <cell r="D4"/>
          <cell r="E4"/>
          <cell r="F4"/>
          <cell r="G4"/>
          <cell r="H4">
            <v>7.93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/>
          <cell r="E5"/>
          <cell r="F5">
            <v>0.51980000000000004</v>
          </cell>
          <cell r="G5"/>
          <cell r="H5">
            <v>7.93</v>
          </cell>
          <cell r="I5">
            <v>1.61426252</v>
          </cell>
          <cell r="J5">
            <v>1.61426252</v>
          </cell>
        </row>
        <row r="6">
          <cell r="A6" t="str">
            <v>BA</v>
          </cell>
          <cell r="B6">
            <v>7.0000000000000007E-2</v>
          </cell>
          <cell r="C6">
            <v>0.19</v>
          </cell>
          <cell r="D6"/>
          <cell r="E6"/>
          <cell r="F6"/>
          <cell r="G6"/>
          <cell r="H6">
            <v>7.93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0.2</v>
          </cell>
          <cell r="D7"/>
          <cell r="E7"/>
          <cell r="F7"/>
          <cell r="G7"/>
          <cell r="H7">
            <v>7.93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0.18</v>
          </cell>
          <cell r="D8"/>
          <cell r="E8"/>
          <cell r="F8"/>
          <cell r="G8"/>
          <cell r="H8">
            <v>7.93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0.17</v>
          </cell>
          <cell r="D9"/>
          <cell r="E9"/>
          <cell r="F9"/>
          <cell r="G9"/>
          <cell r="H9">
            <v>7.93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0.17</v>
          </cell>
          <cell r="D10"/>
          <cell r="E10"/>
          <cell r="F10"/>
          <cell r="G10"/>
          <cell r="H10">
            <v>7.93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0.2</v>
          </cell>
          <cell r="D11"/>
          <cell r="E11"/>
          <cell r="F11"/>
          <cell r="G11"/>
          <cell r="H11">
            <v>7.93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0.12</v>
          </cell>
          <cell r="D12"/>
          <cell r="E12"/>
          <cell r="F12">
            <v>0.25</v>
          </cell>
          <cell r="G12"/>
          <cell r="H12">
            <v>8.4</v>
          </cell>
          <cell r="I12">
            <v>0.252</v>
          </cell>
          <cell r="J12">
            <v>0.252</v>
          </cell>
        </row>
        <row r="13">
          <cell r="A13" t="str">
            <v>MS</v>
          </cell>
          <cell r="B13">
            <v>7.0000000000000007E-2</v>
          </cell>
          <cell r="C13">
            <v>0.17</v>
          </cell>
          <cell r="D13"/>
          <cell r="E13"/>
          <cell r="F13"/>
          <cell r="G13"/>
          <cell r="H13">
            <v>7.93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/>
          <cell r="E14"/>
          <cell r="F14">
            <v>0.39779999999999999</v>
          </cell>
          <cell r="G14"/>
          <cell r="H14">
            <v>7.93</v>
          </cell>
          <cell r="I14">
            <v>1.3292741800000001</v>
          </cell>
          <cell r="J14">
            <v>1.3292741800000001</v>
          </cell>
        </row>
        <row r="15">
          <cell r="A15" t="str">
            <v>PA</v>
          </cell>
          <cell r="B15">
            <v>7.0000000000000007E-2</v>
          </cell>
          <cell r="C15">
            <v>0.19</v>
          </cell>
          <cell r="D15"/>
          <cell r="E15"/>
          <cell r="F15"/>
          <cell r="G15"/>
          <cell r="H15">
            <v>7.93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0.18</v>
          </cell>
          <cell r="D16"/>
          <cell r="E16"/>
          <cell r="F16"/>
          <cell r="G16"/>
          <cell r="H16">
            <v>7.93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0.18</v>
          </cell>
          <cell r="D17"/>
          <cell r="E17"/>
          <cell r="F17"/>
          <cell r="G17"/>
          <cell r="H17">
            <v>7.93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0.21</v>
          </cell>
          <cell r="D18"/>
          <cell r="E18"/>
          <cell r="F18"/>
          <cell r="G18"/>
          <cell r="H18">
            <v>7.93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0.12</v>
          </cell>
          <cell r="D19"/>
          <cell r="E19"/>
          <cell r="F19"/>
          <cell r="G19"/>
          <cell r="H19">
            <v>8.4</v>
          </cell>
          <cell r="I19">
            <v>0</v>
          </cell>
          <cell r="J19">
            <v>0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/>
          <cell r="E20"/>
          <cell r="F20">
            <v>0.52529999999999999</v>
          </cell>
          <cell r="G20"/>
          <cell r="H20">
            <v>8.4</v>
          </cell>
          <cell r="I20">
            <v>1.8107544000000004</v>
          </cell>
          <cell r="J20">
            <v>1.8107544000000004</v>
          </cell>
        </row>
        <row r="21">
          <cell r="A21" t="str">
            <v>RN</v>
          </cell>
          <cell r="B21">
            <v>7.0000000000000007E-2</v>
          </cell>
          <cell r="C21">
            <v>0.2</v>
          </cell>
          <cell r="D21"/>
          <cell r="E21"/>
          <cell r="F21"/>
          <cell r="G21"/>
          <cell r="H21">
            <v>7.93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0.17499999999999999</v>
          </cell>
          <cell r="D22"/>
          <cell r="E22"/>
          <cell r="F22"/>
          <cell r="G22"/>
          <cell r="H22">
            <v>7.93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0.2</v>
          </cell>
          <cell r="D23"/>
          <cell r="E23"/>
          <cell r="F23"/>
          <cell r="G23"/>
          <cell r="H23">
            <v>7.93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0.17</v>
          </cell>
          <cell r="D24"/>
          <cell r="E24"/>
          <cell r="F24"/>
          <cell r="G24"/>
          <cell r="H24">
            <v>8.4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0.17</v>
          </cell>
          <cell r="D25"/>
          <cell r="E25"/>
          <cell r="F25"/>
          <cell r="G25"/>
          <cell r="H25">
            <v>8.4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0.2</v>
          </cell>
          <cell r="D26"/>
          <cell r="E26"/>
          <cell r="F26"/>
          <cell r="G26"/>
          <cell r="H26">
            <v>7.93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>
            <v>0.5917</v>
          </cell>
          <cell r="E27"/>
          <cell r="F27">
            <v>0.5917</v>
          </cell>
          <cell r="G27"/>
          <cell r="H27">
            <v>8.4</v>
          </cell>
          <cell r="I27">
            <v>1.3986503999999997</v>
          </cell>
          <cell r="J27">
            <v>1.3986503999999997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0.48320000000000002</v>
          </cell>
          <cell r="E28">
            <v>0</v>
          </cell>
          <cell r="F28">
            <v>0.48320000000000002</v>
          </cell>
          <cell r="G28">
            <v>0</v>
          </cell>
          <cell r="H28">
            <v>8.4</v>
          </cell>
          <cell r="I28">
            <v>1.2345983999999999</v>
          </cell>
          <cell r="J28">
            <v>1.2345983999999999</v>
          </cell>
        </row>
        <row r="29">
          <cell r="A29" t="str">
            <v>TO</v>
          </cell>
          <cell r="B29">
            <v>7.0000000000000007E-2</v>
          </cell>
          <cell r="C29">
            <v>0.2</v>
          </cell>
          <cell r="D29"/>
          <cell r="E29"/>
          <cell r="F29"/>
          <cell r="G29"/>
          <cell r="H29">
            <v>7.93</v>
          </cell>
          <cell r="I29">
            <v>0</v>
          </cell>
          <cell r="J29">
            <v>0</v>
          </cell>
        </row>
        <row r="30">
          <cell r="A30" t="str">
            <v>EX</v>
          </cell>
        </row>
      </sheetData>
      <sheetData sheetId="6"/>
      <sheetData sheetId="7"/>
      <sheetData sheetId="8"/>
      <sheetData sheetId="9"/>
      <sheetData sheetId="10"/>
      <sheetData sheetId="11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</row>
        <row r="3">
          <cell r="A3" t="str">
            <v>AC</v>
          </cell>
          <cell r="B3">
            <v>9.49</v>
          </cell>
          <cell r="C3">
            <v>5.79</v>
          </cell>
          <cell r="D3">
            <v>19.989999999999998</v>
          </cell>
          <cell r="E3">
            <v>13.69</v>
          </cell>
          <cell r="F3">
            <v>17.989999999999998</v>
          </cell>
          <cell r="G3">
            <v>13.89</v>
          </cell>
          <cell r="H3">
            <v>13.49</v>
          </cell>
          <cell r="I3">
            <v>12.49</v>
          </cell>
          <cell r="J3">
            <v>8.99</v>
          </cell>
          <cell r="K3">
            <v>7.99</v>
          </cell>
          <cell r="L3">
            <v>19.989999999999998</v>
          </cell>
          <cell r="M3">
            <v>9.49</v>
          </cell>
        </row>
        <row r="4">
          <cell r="A4" t="str">
            <v>AL</v>
          </cell>
          <cell r="B4">
            <v>9.49</v>
          </cell>
          <cell r="C4">
            <v>5.79</v>
          </cell>
          <cell r="D4">
            <v>19.989999999999998</v>
          </cell>
          <cell r="E4">
            <v>13.69</v>
          </cell>
          <cell r="F4">
            <v>17.989999999999998</v>
          </cell>
          <cell r="G4">
            <v>13.89</v>
          </cell>
          <cell r="H4">
            <v>13.49</v>
          </cell>
          <cell r="I4">
            <v>12.49</v>
          </cell>
          <cell r="J4">
            <v>8.99</v>
          </cell>
          <cell r="K4">
            <v>7.99</v>
          </cell>
          <cell r="L4">
            <v>19.989999999999998</v>
          </cell>
          <cell r="M4">
            <v>9.49</v>
          </cell>
        </row>
        <row r="5">
          <cell r="A5" t="str">
            <v>AM</v>
          </cell>
          <cell r="B5">
            <v>9.49</v>
          </cell>
          <cell r="C5">
            <v>5.79</v>
          </cell>
          <cell r="D5">
            <v>19.989999999999998</v>
          </cell>
          <cell r="E5">
            <v>13.69</v>
          </cell>
          <cell r="F5">
            <v>17.989999999999998</v>
          </cell>
          <cell r="G5">
            <v>13.89</v>
          </cell>
          <cell r="H5">
            <v>13.49</v>
          </cell>
          <cell r="I5">
            <v>12.49</v>
          </cell>
          <cell r="J5">
            <v>8.99</v>
          </cell>
          <cell r="K5">
            <v>7.99</v>
          </cell>
          <cell r="L5">
            <v>19.989999999999998</v>
          </cell>
          <cell r="M5">
            <v>9.49</v>
          </cell>
        </row>
        <row r="6">
          <cell r="A6" t="str">
            <v>AP</v>
          </cell>
          <cell r="B6">
            <v>9.49</v>
          </cell>
          <cell r="C6">
            <v>5.79</v>
          </cell>
          <cell r="D6">
            <v>19.989999999999998</v>
          </cell>
          <cell r="E6">
            <v>13.69</v>
          </cell>
          <cell r="F6">
            <v>17.989999999999998</v>
          </cell>
          <cell r="G6">
            <v>13.89</v>
          </cell>
          <cell r="H6">
            <v>13.49</v>
          </cell>
          <cell r="I6">
            <v>12.49</v>
          </cell>
          <cell r="J6">
            <v>8.99</v>
          </cell>
          <cell r="K6">
            <v>7.99</v>
          </cell>
          <cell r="L6">
            <v>19.989999999999998</v>
          </cell>
          <cell r="M6">
            <v>9.49</v>
          </cell>
        </row>
        <row r="7">
          <cell r="A7" t="str">
            <v>BA</v>
          </cell>
          <cell r="B7">
            <v>9.49</v>
          </cell>
          <cell r="C7">
            <v>5.79</v>
          </cell>
          <cell r="D7">
            <v>19.989999999999998</v>
          </cell>
          <cell r="E7">
            <v>13.69</v>
          </cell>
          <cell r="F7">
            <v>17.989999999999998</v>
          </cell>
          <cell r="G7">
            <v>13.89</v>
          </cell>
          <cell r="H7">
            <v>13.49</v>
          </cell>
          <cell r="I7">
            <v>12.49</v>
          </cell>
          <cell r="J7">
            <v>8.99</v>
          </cell>
          <cell r="K7">
            <v>7.99</v>
          </cell>
          <cell r="L7">
            <v>19.989999999999998</v>
          </cell>
          <cell r="M7">
            <v>9.49</v>
          </cell>
        </row>
        <row r="8">
          <cell r="A8" t="str">
            <v>CE</v>
          </cell>
          <cell r="B8">
            <v>9.49</v>
          </cell>
          <cell r="C8">
            <v>5.79</v>
          </cell>
          <cell r="D8">
            <v>19.989999999999998</v>
          </cell>
          <cell r="E8">
            <v>13.69</v>
          </cell>
          <cell r="F8">
            <v>17.989999999999998</v>
          </cell>
          <cell r="G8">
            <v>13.89</v>
          </cell>
          <cell r="H8">
            <v>13.49</v>
          </cell>
          <cell r="I8">
            <v>12.49</v>
          </cell>
          <cell r="J8">
            <v>8.99</v>
          </cell>
          <cell r="K8">
            <v>7.99</v>
          </cell>
          <cell r="L8">
            <v>19.989999999999998</v>
          </cell>
          <cell r="M8">
            <v>9.49</v>
          </cell>
        </row>
        <row r="9">
          <cell r="A9" t="str">
            <v>DF</v>
          </cell>
          <cell r="B9">
            <v>9.49</v>
          </cell>
          <cell r="C9">
            <v>5.79</v>
          </cell>
          <cell r="D9">
            <v>19.989999999999998</v>
          </cell>
          <cell r="E9">
            <v>13.69</v>
          </cell>
          <cell r="F9">
            <v>17.989999999999998</v>
          </cell>
          <cell r="G9">
            <v>13.89</v>
          </cell>
          <cell r="H9">
            <v>13.49</v>
          </cell>
          <cell r="I9">
            <v>12.49</v>
          </cell>
          <cell r="J9">
            <v>8.99</v>
          </cell>
          <cell r="K9">
            <v>7.99</v>
          </cell>
          <cell r="L9">
            <v>19.989999999999998</v>
          </cell>
          <cell r="M9">
            <v>9.49</v>
          </cell>
        </row>
        <row r="10">
          <cell r="A10" t="str">
            <v>ES</v>
          </cell>
          <cell r="B10">
            <v>9.49</v>
          </cell>
          <cell r="C10">
            <v>5.79</v>
          </cell>
          <cell r="D10">
            <v>19.989999999999998</v>
          </cell>
          <cell r="E10">
            <v>13.69</v>
          </cell>
          <cell r="F10">
            <v>17.989999999999998</v>
          </cell>
          <cell r="G10">
            <v>13.89</v>
          </cell>
          <cell r="H10">
            <v>13.49</v>
          </cell>
          <cell r="I10">
            <v>12.49</v>
          </cell>
          <cell r="J10">
            <v>9.99</v>
          </cell>
          <cell r="K10">
            <v>9.99</v>
          </cell>
          <cell r="L10">
            <v>24.99</v>
          </cell>
          <cell r="M10">
            <v>9.49</v>
          </cell>
        </row>
        <row r="11">
          <cell r="A11" t="str">
            <v>GO</v>
          </cell>
          <cell r="B11">
            <v>9.49</v>
          </cell>
          <cell r="C11">
            <v>5.79</v>
          </cell>
          <cell r="D11">
            <v>19.989999999999998</v>
          </cell>
          <cell r="E11">
            <v>13.69</v>
          </cell>
          <cell r="F11">
            <v>17.989999999999998</v>
          </cell>
          <cell r="G11">
            <v>13.89</v>
          </cell>
          <cell r="H11">
            <v>13.49</v>
          </cell>
          <cell r="I11">
            <v>12.49</v>
          </cell>
          <cell r="J11">
            <v>8.99</v>
          </cell>
          <cell r="K11">
            <v>7.99</v>
          </cell>
          <cell r="L11">
            <v>19.989999999999998</v>
          </cell>
          <cell r="M11">
            <v>9.49</v>
          </cell>
        </row>
        <row r="12">
          <cell r="A12" t="str">
            <v>MA</v>
          </cell>
          <cell r="B12">
            <v>9.49</v>
          </cell>
          <cell r="C12">
            <v>5.79</v>
          </cell>
          <cell r="D12">
            <v>19.989999999999998</v>
          </cell>
          <cell r="E12">
            <v>13.69</v>
          </cell>
          <cell r="F12">
            <v>17.989999999999998</v>
          </cell>
          <cell r="G12">
            <v>13.89</v>
          </cell>
          <cell r="H12">
            <v>13.49</v>
          </cell>
          <cell r="I12">
            <v>12.49</v>
          </cell>
          <cell r="J12">
            <v>8.99</v>
          </cell>
          <cell r="K12">
            <v>7.99</v>
          </cell>
          <cell r="L12">
            <v>19.989999999999998</v>
          </cell>
          <cell r="M12">
            <v>9.49</v>
          </cell>
        </row>
        <row r="13">
          <cell r="A13" t="str">
            <v>MG</v>
          </cell>
          <cell r="B13">
            <v>9.49</v>
          </cell>
          <cell r="C13">
            <v>5.79</v>
          </cell>
          <cell r="D13">
            <v>19.989999999999998</v>
          </cell>
          <cell r="E13">
            <v>13.69</v>
          </cell>
          <cell r="F13">
            <v>17.989999999999998</v>
          </cell>
          <cell r="G13">
            <v>13.89</v>
          </cell>
          <cell r="H13">
            <v>13.49</v>
          </cell>
          <cell r="I13">
            <v>12.49</v>
          </cell>
          <cell r="J13">
            <v>9.99</v>
          </cell>
          <cell r="K13">
            <v>9.99</v>
          </cell>
          <cell r="L13">
            <v>24.99</v>
          </cell>
          <cell r="M13">
            <v>9.49</v>
          </cell>
        </row>
        <row r="14">
          <cell r="A14" t="str">
            <v>MS</v>
          </cell>
          <cell r="B14">
            <v>9.49</v>
          </cell>
          <cell r="C14">
            <v>5.79</v>
          </cell>
          <cell r="D14">
            <v>19.989999999999998</v>
          </cell>
          <cell r="E14">
            <v>13.69</v>
          </cell>
          <cell r="F14">
            <v>17.989999999999998</v>
          </cell>
          <cell r="G14">
            <v>13.89</v>
          </cell>
          <cell r="H14">
            <v>13.49</v>
          </cell>
          <cell r="I14">
            <v>12.49</v>
          </cell>
          <cell r="J14">
            <v>8.99</v>
          </cell>
          <cell r="K14">
            <v>7.99</v>
          </cell>
          <cell r="L14">
            <v>19.989999999999998</v>
          </cell>
          <cell r="M14">
            <v>9.49</v>
          </cell>
        </row>
        <row r="15">
          <cell r="A15" t="str">
            <v>MT</v>
          </cell>
          <cell r="B15">
            <v>9.49</v>
          </cell>
          <cell r="C15">
            <v>5.79</v>
          </cell>
          <cell r="D15">
            <v>19.989999999999998</v>
          </cell>
          <cell r="E15">
            <v>13.69</v>
          </cell>
          <cell r="F15">
            <v>17.989999999999998</v>
          </cell>
          <cell r="G15">
            <v>13.89</v>
          </cell>
          <cell r="H15">
            <v>13.49</v>
          </cell>
          <cell r="I15">
            <v>12.49</v>
          </cell>
          <cell r="J15">
            <v>8.99</v>
          </cell>
          <cell r="K15">
            <v>7.99</v>
          </cell>
          <cell r="L15">
            <v>19.989999999999998</v>
          </cell>
          <cell r="M15">
            <v>9.49</v>
          </cell>
        </row>
        <row r="16">
          <cell r="A16" t="str">
            <v>PA</v>
          </cell>
          <cell r="B16">
            <v>9.49</v>
          </cell>
          <cell r="C16">
            <v>5.79</v>
          </cell>
          <cell r="D16">
            <v>19.989999999999998</v>
          </cell>
          <cell r="E16">
            <v>13.69</v>
          </cell>
          <cell r="F16">
            <v>17.989999999999998</v>
          </cell>
          <cell r="G16">
            <v>13.89</v>
          </cell>
          <cell r="H16">
            <v>13.49</v>
          </cell>
          <cell r="I16">
            <v>12.49</v>
          </cell>
          <cell r="J16">
            <v>8.99</v>
          </cell>
          <cell r="K16">
            <v>7.99</v>
          </cell>
          <cell r="L16">
            <v>19.989999999999998</v>
          </cell>
          <cell r="M16">
            <v>9.49</v>
          </cell>
        </row>
        <row r="17">
          <cell r="A17" t="str">
            <v>PB</v>
          </cell>
          <cell r="B17">
            <v>9.49</v>
          </cell>
          <cell r="C17">
            <v>5.79</v>
          </cell>
          <cell r="D17">
            <v>19.989999999999998</v>
          </cell>
          <cell r="E17">
            <v>13.69</v>
          </cell>
          <cell r="F17">
            <v>17.989999999999998</v>
          </cell>
          <cell r="G17">
            <v>13.89</v>
          </cell>
          <cell r="H17">
            <v>13.49</v>
          </cell>
          <cell r="I17">
            <v>12.49</v>
          </cell>
          <cell r="J17">
            <v>8.99</v>
          </cell>
          <cell r="K17">
            <v>7.99</v>
          </cell>
          <cell r="L17">
            <v>19.989999999999998</v>
          </cell>
          <cell r="M17">
            <v>9.49</v>
          </cell>
        </row>
        <row r="18">
          <cell r="A18" t="str">
            <v>PE</v>
          </cell>
          <cell r="B18">
            <v>9.49</v>
          </cell>
          <cell r="C18">
            <v>5.79</v>
          </cell>
          <cell r="D18">
            <v>19.989999999999998</v>
          </cell>
          <cell r="E18">
            <v>13.69</v>
          </cell>
          <cell r="F18">
            <v>17.989999999999998</v>
          </cell>
          <cell r="G18">
            <v>13.89</v>
          </cell>
          <cell r="H18">
            <v>13.49</v>
          </cell>
          <cell r="I18">
            <v>12.49</v>
          </cell>
          <cell r="J18">
            <v>8.99</v>
          </cell>
          <cell r="K18">
            <v>7.99</v>
          </cell>
          <cell r="L18">
            <v>19.989999999999998</v>
          </cell>
          <cell r="M18">
            <v>9.49</v>
          </cell>
        </row>
        <row r="19">
          <cell r="A19" t="str">
            <v>PI</v>
          </cell>
          <cell r="B19">
            <v>9.49</v>
          </cell>
          <cell r="C19">
            <v>5.79</v>
          </cell>
          <cell r="D19">
            <v>19.989999999999998</v>
          </cell>
          <cell r="E19">
            <v>13.69</v>
          </cell>
          <cell r="F19">
            <v>17.989999999999998</v>
          </cell>
          <cell r="G19">
            <v>13.89</v>
          </cell>
          <cell r="H19">
            <v>13.49</v>
          </cell>
          <cell r="I19">
            <v>12.49</v>
          </cell>
          <cell r="J19">
            <v>8.99</v>
          </cell>
          <cell r="K19">
            <v>7.99</v>
          </cell>
          <cell r="L19">
            <v>19.989999999999998</v>
          </cell>
          <cell r="M19">
            <v>9.49</v>
          </cell>
        </row>
        <row r="20">
          <cell r="A20" t="str">
            <v>PR</v>
          </cell>
          <cell r="B20">
            <v>9.49</v>
          </cell>
          <cell r="C20">
            <v>5.79</v>
          </cell>
          <cell r="D20">
            <v>19.989999999999998</v>
          </cell>
          <cell r="E20">
            <v>13.69</v>
          </cell>
          <cell r="F20">
            <v>17.989999999999998</v>
          </cell>
          <cell r="G20">
            <v>13.89</v>
          </cell>
          <cell r="H20">
            <v>13.49</v>
          </cell>
          <cell r="I20">
            <v>12.49</v>
          </cell>
          <cell r="J20">
            <v>9.99</v>
          </cell>
          <cell r="K20">
            <v>9.99</v>
          </cell>
          <cell r="L20">
            <v>24.99</v>
          </cell>
          <cell r="M20">
            <v>9.49</v>
          </cell>
        </row>
        <row r="21">
          <cell r="A21" t="str">
            <v>RJ</v>
          </cell>
          <cell r="B21">
            <v>9.49</v>
          </cell>
          <cell r="C21">
            <v>5.79</v>
          </cell>
          <cell r="D21">
            <v>19.989999999999998</v>
          </cell>
          <cell r="E21">
            <v>13.69</v>
          </cell>
          <cell r="F21">
            <v>17.989999999999998</v>
          </cell>
          <cell r="G21">
            <v>13.89</v>
          </cell>
          <cell r="H21">
            <v>13.49</v>
          </cell>
          <cell r="I21">
            <v>12.49</v>
          </cell>
          <cell r="J21">
            <v>9.99</v>
          </cell>
          <cell r="K21">
            <v>9.99</v>
          </cell>
          <cell r="L21">
            <v>24.99</v>
          </cell>
          <cell r="M21">
            <v>9.49</v>
          </cell>
        </row>
        <row r="22">
          <cell r="A22" t="str">
            <v>RN</v>
          </cell>
          <cell r="B22">
            <v>9.49</v>
          </cell>
          <cell r="C22">
            <v>5.79</v>
          </cell>
          <cell r="D22">
            <v>19.989999999999998</v>
          </cell>
          <cell r="E22">
            <v>13.69</v>
          </cell>
          <cell r="F22">
            <v>17.989999999999998</v>
          </cell>
          <cell r="G22">
            <v>13.89</v>
          </cell>
          <cell r="H22">
            <v>13.49</v>
          </cell>
          <cell r="I22">
            <v>12.49</v>
          </cell>
          <cell r="J22">
            <v>8.99</v>
          </cell>
          <cell r="K22">
            <v>7.99</v>
          </cell>
          <cell r="L22">
            <v>19.989999999999998</v>
          </cell>
          <cell r="M22">
            <v>9.49</v>
          </cell>
        </row>
        <row r="23">
          <cell r="A23" t="str">
            <v>RO</v>
          </cell>
          <cell r="B23">
            <v>9.49</v>
          </cell>
          <cell r="C23">
            <v>5.79</v>
          </cell>
          <cell r="D23">
            <v>19.989999999999998</v>
          </cell>
          <cell r="E23">
            <v>13.69</v>
          </cell>
          <cell r="F23">
            <v>17.989999999999998</v>
          </cell>
          <cell r="G23">
            <v>13.89</v>
          </cell>
          <cell r="H23">
            <v>13.49</v>
          </cell>
          <cell r="I23">
            <v>12.49</v>
          </cell>
          <cell r="J23">
            <v>8.99</v>
          </cell>
          <cell r="K23">
            <v>7.99</v>
          </cell>
          <cell r="L23">
            <v>19.989999999999998</v>
          </cell>
          <cell r="M23">
            <v>9.49</v>
          </cell>
        </row>
        <row r="24">
          <cell r="A24" t="str">
            <v>RR</v>
          </cell>
          <cell r="B24">
            <v>9.49</v>
          </cell>
          <cell r="C24">
            <v>5.79</v>
          </cell>
          <cell r="D24">
            <v>19.989999999999998</v>
          </cell>
          <cell r="E24">
            <v>13.69</v>
          </cell>
          <cell r="F24">
            <v>17.989999999999998</v>
          </cell>
          <cell r="G24">
            <v>13.89</v>
          </cell>
          <cell r="H24">
            <v>13.49</v>
          </cell>
          <cell r="I24">
            <v>12.49</v>
          </cell>
          <cell r="J24">
            <v>8.99</v>
          </cell>
          <cell r="K24">
            <v>7.99</v>
          </cell>
          <cell r="L24">
            <v>19.989999999999998</v>
          </cell>
          <cell r="M24">
            <v>9.49</v>
          </cell>
        </row>
        <row r="25">
          <cell r="A25" t="str">
            <v>RS</v>
          </cell>
          <cell r="B25">
            <v>9.49</v>
          </cell>
          <cell r="C25">
            <v>5.79</v>
          </cell>
          <cell r="D25">
            <v>19.989999999999998</v>
          </cell>
          <cell r="E25">
            <v>13.69</v>
          </cell>
          <cell r="F25">
            <v>17.989999999999998</v>
          </cell>
          <cell r="G25">
            <v>13.89</v>
          </cell>
          <cell r="H25">
            <v>13.49</v>
          </cell>
          <cell r="I25">
            <v>12.49</v>
          </cell>
          <cell r="J25">
            <v>9.99</v>
          </cell>
          <cell r="K25">
            <v>9.99</v>
          </cell>
          <cell r="L25">
            <v>24.99</v>
          </cell>
          <cell r="M25">
            <v>9.49</v>
          </cell>
        </row>
        <row r="26">
          <cell r="A26" t="str">
            <v>SC</v>
          </cell>
          <cell r="B26">
            <v>9.49</v>
          </cell>
          <cell r="C26">
            <v>5.79</v>
          </cell>
          <cell r="D26">
            <v>19.989999999999998</v>
          </cell>
          <cell r="E26">
            <v>13.69</v>
          </cell>
          <cell r="F26">
            <v>17.989999999999998</v>
          </cell>
          <cell r="G26">
            <v>13.89</v>
          </cell>
          <cell r="H26">
            <v>13.49</v>
          </cell>
          <cell r="I26">
            <v>12.49</v>
          </cell>
          <cell r="J26">
            <v>9.99</v>
          </cell>
          <cell r="K26">
            <v>9.99</v>
          </cell>
          <cell r="L26">
            <v>24.99</v>
          </cell>
          <cell r="M26">
            <v>9.49</v>
          </cell>
        </row>
        <row r="27">
          <cell r="A27" t="str">
            <v>SE</v>
          </cell>
          <cell r="B27">
            <v>9.49</v>
          </cell>
          <cell r="C27">
            <v>5.79</v>
          </cell>
          <cell r="D27">
            <v>19.989999999999998</v>
          </cell>
          <cell r="E27">
            <v>13.69</v>
          </cell>
          <cell r="F27">
            <v>17.989999999999998</v>
          </cell>
          <cell r="G27">
            <v>13.89</v>
          </cell>
          <cell r="H27">
            <v>13.49</v>
          </cell>
          <cell r="I27">
            <v>12.49</v>
          </cell>
          <cell r="J27">
            <v>8.99</v>
          </cell>
          <cell r="K27">
            <v>7.99</v>
          </cell>
          <cell r="L27">
            <v>19.989999999999998</v>
          </cell>
          <cell r="M27">
            <v>9.49</v>
          </cell>
        </row>
        <row r="28">
          <cell r="A28" t="str">
            <v>SP</v>
          </cell>
          <cell r="B28">
            <v>9.49</v>
          </cell>
          <cell r="C28">
            <v>5.79</v>
          </cell>
          <cell r="D28">
            <v>19.989999999999998</v>
          </cell>
          <cell r="E28">
            <v>13.69</v>
          </cell>
          <cell r="F28">
            <v>17.989999999999998</v>
          </cell>
          <cell r="G28">
            <v>13.89</v>
          </cell>
          <cell r="H28">
            <v>13.49</v>
          </cell>
          <cell r="I28">
            <v>12.49</v>
          </cell>
          <cell r="J28">
            <v>9.99</v>
          </cell>
          <cell r="K28">
            <v>9.99</v>
          </cell>
          <cell r="L28">
            <v>24.99</v>
          </cell>
          <cell r="M28">
            <v>9.49</v>
          </cell>
        </row>
        <row r="29">
          <cell r="A29" t="str">
            <v>SP/Atacado</v>
          </cell>
          <cell r="B29">
            <v>9.49</v>
          </cell>
          <cell r="C29">
            <v>5.79</v>
          </cell>
          <cell r="D29">
            <v>19.989999999999998</v>
          </cell>
          <cell r="E29">
            <v>13.69</v>
          </cell>
          <cell r="F29">
            <v>17.989999999999998</v>
          </cell>
          <cell r="G29">
            <v>13.89</v>
          </cell>
          <cell r="H29">
            <v>13.49</v>
          </cell>
          <cell r="I29">
            <v>12.49</v>
          </cell>
          <cell r="J29">
            <v>9.99</v>
          </cell>
          <cell r="K29">
            <v>9.99</v>
          </cell>
          <cell r="L29">
            <v>24.99</v>
          </cell>
          <cell r="M29">
            <v>9.49</v>
          </cell>
        </row>
        <row r="30">
          <cell r="A30" t="str">
            <v>TO</v>
          </cell>
          <cell r="B30">
            <v>9.49</v>
          </cell>
          <cell r="C30">
            <v>5.79</v>
          </cell>
          <cell r="D30">
            <v>19.989999999999998</v>
          </cell>
          <cell r="E30">
            <v>13.69</v>
          </cell>
          <cell r="F30">
            <v>17.989999999999998</v>
          </cell>
          <cell r="G30">
            <v>13.89</v>
          </cell>
          <cell r="H30">
            <v>13.49</v>
          </cell>
          <cell r="I30">
            <v>12.49</v>
          </cell>
          <cell r="J30">
            <v>8.99</v>
          </cell>
          <cell r="K30">
            <v>7.99</v>
          </cell>
          <cell r="L30">
            <v>19.989999999999998</v>
          </cell>
          <cell r="M30">
            <v>9.49</v>
          </cell>
        </row>
        <row r="31">
          <cell r="A31" t="str">
            <v>EX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  <threadedComment ref="R2" dT="2023-08-19T19:58:57.77" personId="{00000000-0000-0000-0000-000000000000}" id="{34481B84-EB9F-40FB-A5E9-4DA01E873CBC}">
    <text>IMPORTADO</text>
  </threadedComment>
  <threadedComment ref="T2" dT="2023-08-19T19:59:16.67" personId="{00000000-0000-0000-0000-000000000000}" id="{C41DDD64-AA7D-4A6F-B8E8-9F3452B0D8EC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R65"/>
  <sheetViews>
    <sheetView showGridLines="0" tabSelected="1" zoomScale="70" zoomScaleNormal="7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O16" sqref="O16"/>
    </sheetView>
  </sheetViews>
  <sheetFormatPr defaultRowHeight="14.4" x14ac:dyDescent="0.3"/>
  <cols>
    <col min="1" max="1" width="2.21875" customWidth="1"/>
    <col min="2" max="2" width="26.5546875" customWidth="1"/>
    <col min="3" max="3" width="33.21875" customWidth="1"/>
    <col min="4" max="4" width="15.77734375" bestFit="1" customWidth="1"/>
    <col min="5" max="5" width="14" bestFit="1" customWidth="1"/>
    <col min="6" max="6" width="10.77734375" customWidth="1"/>
    <col min="7" max="7" width="13.77734375" customWidth="1"/>
    <col min="8" max="8" width="11.21875" bestFit="1" customWidth="1"/>
    <col min="9" max="9" width="15.77734375" bestFit="1" customWidth="1"/>
    <col min="10" max="10" width="18.77734375" bestFit="1" customWidth="1"/>
    <col min="11" max="12" width="15" customWidth="1"/>
    <col min="13" max="13" width="13.77734375" customWidth="1"/>
    <col min="14" max="14" width="16.21875" customWidth="1"/>
    <col min="15" max="15" width="14.21875" customWidth="1"/>
    <col min="16" max="16" width="9.77734375" customWidth="1"/>
    <col min="17" max="17" width="14.21875" bestFit="1" customWidth="1"/>
    <col min="18" max="18" width="17.77734375" bestFit="1" customWidth="1"/>
    <col min="22" max="22" width="19.21875" customWidth="1"/>
  </cols>
  <sheetData>
    <row r="1" spans="1:18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x14ac:dyDescent="0.3">
      <c r="A4" s="49"/>
      <c r="B4" s="49"/>
      <c r="C4" s="56" t="s">
        <v>119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22.5" customHeight="1" thickBot="1" x14ac:dyDescent="0.35">
      <c r="A6" s="49"/>
      <c r="B6" s="57" t="s">
        <v>3</v>
      </c>
      <c r="C6" s="22"/>
      <c r="D6" s="23"/>
      <c r="E6" s="23"/>
      <c r="F6" s="23"/>
      <c r="G6" s="23"/>
      <c r="H6" s="23"/>
      <c r="I6" s="23"/>
      <c r="J6" s="58" t="s">
        <v>107</v>
      </c>
      <c r="K6" s="24"/>
      <c r="L6" s="59" t="s">
        <v>82</v>
      </c>
      <c r="M6" s="17"/>
      <c r="N6" s="17"/>
      <c r="O6" s="17"/>
      <c r="P6" s="17"/>
      <c r="Q6" s="25"/>
      <c r="R6" s="26"/>
    </row>
    <row r="7" spans="1:18" ht="22.5" customHeight="1" thickBot="1" x14ac:dyDescent="0.35">
      <c r="A7" s="49"/>
      <c r="B7" s="60" t="s">
        <v>4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5</v>
      </c>
      <c r="M7" s="18"/>
      <c r="N7" s="18"/>
      <c r="O7" s="21"/>
      <c r="P7" s="62" t="s">
        <v>6</v>
      </c>
      <c r="Q7" s="157" t="s">
        <v>33</v>
      </c>
      <c r="R7" s="158"/>
    </row>
    <row r="8" spans="1:18" ht="30" customHeight="1" thickBot="1" x14ac:dyDescent="0.35">
      <c r="A8" s="49"/>
      <c r="B8" s="63" t="s">
        <v>7</v>
      </c>
      <c r="C8" s="22"/>
      <c r="D8" s="23"/>
      <c r="E8" s="23"/>
      <c r="F8" s="24"/>
      <c r="G8" s="64" t="s">
        <v>8</v>
      </c>
      <c r="H8" s="19"/>
      <c r="I8" s="20"/>
      <c r="J8" s="65" t="s">
        <v>65</v>
      </c>
      <c r="K8" s="29" t="s">
        <v>67</v>
      </c>
      <c r="L8" s="66" t="s">
        <v>113</v>
      </c>
      <c r="M8" s="20"/>
      <c r="N8" s="20"/>
      <c r="O8" s="30"/>
      <c r="P8" s="67" t="s">
        <v>9</v>
      </c>
      <c r="Q8" s="31"/>
      <c r="R8" s="32"/>
    </row>
    <row r="9" spans="1:18" s="50" customFormat="1" ht="17.399999999999999" x14ac:dyDescent="0.3">
      <c r="A9" s="68"/>
      <c r="B9" s="69" t="str">
        <f>PREÇOS!A1</f>
        <v>0625MV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</row>
    <row r="10" spans="1:18" ht="28.2" thickBot="1" x14ac:dyDescent="0.35">
      <c r="A10" s="49"/>
      <c r="B10" s="108" t="s">
        <v>10</v>
      </c>
      <c r="C10" s="108"/>
      <c r="D10" s="71" t="s">
        <v>11</v>
      </c>
      <c r="E10" s="71" t="s">
        <v>13</v>
      </c>
      <c r="F10" s="71" t="s">
        <v>102</v>
      </c>
      <c r="G10" s="71" t="s">
        <v>92</v>
      </c>
      <c r="H10" s="71" t="s">
        <v>80</v>
      </c>
      <c r="I10" s="71" t="s">
        <v>12</v>
      </c>
      <c r="J10" s="71" t="s">
        <v>14</v>
      </c>
      <c r="K10" s="71" t="s">
        <v>15</v>
      </c>
      <c r="L10" s="71" t="s">
        <v>16</v>
      </c>
      <c r="M10" s="71" t="s">
        <v>17</v>
      </c>
      <c r="N10" s="71" t="s">
        <v>81</v>
      </c>
      <c r="O10" s="71" t="s">
        <v>18</v>
      </c>
      <c r="P10" s="71" t="s">
        <v>19</v>
      </c>
      <c r="Q10" s="71" t="s">
        <v>20</v>
      </c>
      <c r="R10" s="71" t="s">
        <v>91</v>
      </c>
    </row>
    <row r="11" spans="1:18" ht="15" thickTop="1" x14ac:dyDescent="0.3">
      <c r="A11" s="49"/>
      <c r="B11" s="160" t="s">
        <v>128</v>
      </c>
      <c r="C11" s="161"/>
      <c r="D11" s="109">
        <v>5313</v>
      </c>
      <c r="E11" s="109" t="s">
        <v>123</v>
      </c>
      <c r="F11" s="109" t="s">
        <v>110</v>
      </c>
      <c r="G11" s="111">
        <f>VLOOKUP($Q$7,PSC!$A$2:$L$31,9,FALSE)</f>
        <v>12.99</v>
      </c>
      <c r="H11" s="33" t="s">
        <v>83</v>
      </c>
      <c r="I11" s="33">
        <v>7898969895316</v>
      </c>
      <c r="J11" s="33">
        <v>17898969895313</v>
      </c>
      <c r="K11" s="110">
        <f>VLOOKUP($Q$7,'ST BISCOITINHOS'!A:B,2,FALSE)</f>
        <v>0.12</v>
      </c>
      <c r="L11" s="111">
        <f>VLOOKUP($Q$7,PREÇOS!$A$2:$L$31,9,FALSE)</f>
        <v>7.54</v>
      </c>
      <c r="M11" s="112">
        <f>L11*12</f>
        <v>90.48</v>
      </c>
      <c r="N11" s="115">
        <v>0</v>
      </c>
      <c r="O11" s="43">
        <f>(L11+N11)*12</f>
        <v>90.48</v>
      </c>
      <c r="P11" s="113"/>
      <c r="Q11" s="114">
        <f t="shared" ref="Q11:Q12" si="0">P11*M11</f>
        <v>0</v>
      </c>
      <c r="R11" s="43">
        <f t="shared" ref="R11:R12" si="1">P11*O11</f>
        <v>0</v>
      </c>
    </row>
    <row r="12" spans="1:18" x14ac:dyDescent="0.3">
      <c r="A12" s="49"/>
      <c r="B12" s="152" t="s">
        <v>129</v>
      </c>
      <c r="C12" s="153"/>
      <c r="D12" s="72">
        <v>5320</v>
      </c>
      <c r="E12" s="73" t="s">
        <v>123</v>
      </c>
      <c r="F12" s="73" t="s">
        <v>110</v>
      </c>
      <c r="G12" s="44">
        <f>VLOOKUP($Q$7,PSC!$A$2:$L$31,9,FALSE)</f>
        <v>12.99</v>
      </c>
      <c r="H12" s="72" t="s">
        <v>83</v>
      </c>
      <c r="I12" s="72">
        <v>7898969895323</v>
      </c>
      <c r="J12" s="72">
        <v>17898969895320</v>
      </c>
      <c r="K12" s="74">
        <f>VLOOKUP($Q$7,'ST BISCOITINHOS'!A:B,2,FALSE)</f>
        <v>0.12</v>
      </c>
      <c r="L12" s="44">
        <f>VLOOKUP($Q$7,PREÇOS!$A$2:$L$31,9,FALSE)</f>
        <v>7.54</v>
      </c>
      <c r="M12" s="45">
        <f>L12*12</f>
        <v>90.48</v>
      </c>
      <c r="N12" s="116">
        <v>0</v>
      </c>
      <c r="O12" s="46">
        <f>(L12+N12)*12</f>
        <v>90.48</v>
      </c>
      <c r="P12" s="41"/>
      <c r="Q12" s="47">
        <f t="shared" si="0"/>
        <v>0</v>
      </c>
      <c r="R12" s="46">
        <f t="shared" si="1"/>
        <v>0</v>
      </c>
    </row>
    <row r="13" spans="1:18" x14ac:dyDescent="0.3">
      <c r="A13" s="49"/>
      <c r="B13" s="78"/>
      <c r="C13" s="79"/>
      <c r="D13" s="80"/>
      <c r="E13" s="81"/>
      <c r="F13" s="81"/>
      <c r="G13" s="53"/>
      <c r="H13" s="80"/>
      <c r="I13" s="80"/>
      <c r="J13" s="80"/>
      <c r="K13" s="82"/>
      <c r="L13" s="53"/>
      <c r="M13" s="54"/>
      <c r="N13" s="151"/>
      <c r="O13" s="55"/>
      <c r="P13" s="150"/>
      <c r="Q13" s="55"/>
      <c r="R13" s="55"/>
    </row>
    <row r="14" spans="1:18" x14ac:dyDescent="0.3">
      <c r="A14" s="49"/>
      <c r="B14" s="154" t="s">
        <v>149</v>
      </c>
      <c r="C14" s="153"/>
      <c r="D14" s="35">
        <v>5566</v>
      </c>
      <c r="E14" s="34" t="s">
        <v>150</v>
      </c>
      <c r="F14" s="34" t="s">
        <v>104</v>
      </c>
      <c r="G14" s="37">
        <f>VLOOKUP($Q$7,[1]PSC!$A$2:$M$31,13,FALSE)</f>
        <v>9.49</v>
      </c>
      <c r="H14" s="35" t="s">
        <v>83</v>
      </c>
      <c r="I14" s="35">
        <v>7898969895569</v>
      </c>
      <c r="J14" s="35">
        <v>27898969895563</v>
      </c>
      <c r="K14" s="36">
        <f>VLOOKUP($Q$7,'[1]ST BISCOITINHOS'!A:B,2,FALSE)</f>
        <v>0.12</v>
      </c>
      <c r="L14" s="37">
        <f>VLOOKUP($Q$7,PREÇOS!$A$2:$L$31,2,FALSE)</f>
        <v>5.65</v>
      </c>
      <c r="M14" s="38">
        <f>L14*16</f>
        <v>90.4</v>
      </c>
      <c r="N14" s="39">
        <v>0</v>
      </c>
      <c r="O14" s="40">
        <f>M14</f>
        <v>90.4</v>
      </c>
      <c r="P14" s="41"/>
      <c r="Q14" s="42">
        <f t="shared" ref="Q14:Q15" si="2">P14*M14</f>
        <v>0</v>
      </c>
      <c r="R14" s="40">
        <f t="shared" ref="R14:R15" si="3">P14*O14</f>
        <v>0</v>
      </c>
    </row>
    <row r="15" spans="1:18" x14ac:dyDescent="0.3">
      <c r="A15" s="49"/>
      <c r="B15" s="152" t="s">
        <v>151</v>
      </c>
      <c r="C15" s="153"/>
      <c r="D15" s="72">
        <v>5573</v>
      </c>
      <c r="E15" s="72" t="s">
        <v>150</v>
      </c>
      <c r="F15" s="72" t="s">
        <v>104</v>
      </c>
      <c r="G15" s="44">
        <f>VLOOKUP($Q$7,[1]PSC!$A$2:$M$31,13,FALSE)</f>
        <v>9.49</v>
      </c>
      <c r="H15" s="73" t="s">
        <v>83</v>
      </c>
      <c r="I15" s="72">
        <v>7898969895576</v>
      </c>
      <c r="J15" s="72">
        <v>27898969895570</v>
      </c>
      <c r="K15" s="74">
        <f>VLOOKUP($Q$7,'[1]ST BISCOITINHOS'!A:B,2,FALSE)</f>
        <v>0.12</v>
      </c>
      <c r="L15" s="37">
        <f>VLOOKUP($Q$7,PREÇOS!$A$2:$L$31,2,FALSE)</f>
        <v>5.65</v>
      </c>
      <c r="M15" s="45">
        <f>L15*16</f>
        <v>90.4</v>
      </c>
      <c r="N15" s="75">
        <v>0</v>
      </c>
      <c r="O15" s="46">
        <f>M15</f>
        <v>90.4</v>
      </c>
      <c r="P15" s="41"/>
      <c r="Q15" s="47">
        <f t="shared" si="2"/>
        <v>0</v>
      </c>
      <c r="R15" s="46">
        <f t="shared" si="3"/>
        <v>0</v>
      </c>
    </row>
    <row r="16" spans="1:18" x14ac:dyDescent="0.3">
      <c r="A16" s="49"/>
      <c r="B16" s="108"/>
      <c r="C16" s="108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</row>
    <row r="17" spans="1:18" x14ac:dyDescent="0.3">
      <c r="A17" s="49"/>
      <c r="B17" s="154" t="s">
        <v>21</v>
      </c>
      <c r="C17" s="153"/>
      <c r="D17" s="35">
        <v>17898994908729</v>
      </c>
      <c r="E17" s="34" t="s">
        <v>23</v>
      </c>
      <c r="F17" s="34" t="s">
        <v>103</v>
      </c>
      <c r="G17" s="37">
        <f>VLOOKUP($Q$7,PSC!$A$2:$L$31,2,FALSE)</f>
        <v>8.99</v>
      </c>
      <c r="H17" s="35" t="s">
        <v>83</v>
      </c>
      <c r="I17" s="35" t="s">
        <v>22</v>
      </c>
      <c r="J17" s="35">
        <v>17898994908729</v>
      </c>
      <c r="K17" s="36">
        <f>VLOOKUP($Q$7,'ST BISCOITINHOS'!A:B,2,FALSE)</f>
        <v>0.12</v>
      </c>
      <c r="L17" s="37">
        <f>VLOOKUP($Q$7,PREÇOS!$A$2:$L$31,2,FALSE)</f>
        <v>5.65</v>
      </c>
      <c r="M17" s="38">
        <f>L17*12</f>
        <v>67.800000000000011</v>
      </c>
      <c r="N17" s="39">
        <v>0</v>
      </c>
      <c r="O17" s="40">
        <f>M17</f>
        <v>67.800000000000011</v>
      </c>
      <c r="P17" s="41"/>
      <c r="Q17" s="42">
        <f t="shared" ref="Q17:Q36" si="4">P17*M17</f>
        <v>0</v>
      </c>
      <c r="R17" s="40">
        <f t="shared" ref="R17:R36" si="5">P17*O17</f>
        <v>0</v>
      </c>
    </row>
    <row r="18" spans="1:18" x14ac:dyDescent="0.3">
      <c r="A18" s="49"/>
      <c r="B18" s="152" t="s">
        <v>24</v>
      </c>
      <c r="C18" s="153"/>
      <c r="D18" s="72">
        <v>17898994908736</v>
      </c>
      <c r="E18" s="73" t="s">
        <v>23</v>
      </c>
      <c r="F18" s="73" t="s">
        <v>103</v>
      </c>
      <c r="G18" s="44">
        <f>VLOOKUP($Q$7,PSC!$A$2:$L$31,2,FALSE)</f>
        <v>8.99</v>
      </c>
      <c r="H18" s="72" t="s">
        <v>83</v>
      </c>
      <c r="I18" s="72" t="s">
        <v>25</v>
      </c>
      <c r="J18" s="72">
        <v>17898994908736</v>
      </c>
      <c r="K18" s="74">
        <f>VLOOKUP($Q$7,'ST BISCOITINHOS'!A:B,2,FALSE)</f>
        <v>0.12</v>
      </c>
      <c r="L18" s="44">
        <f>VLOOKUP($Q$7,PREÇOS!$A$2:$L$31,2,FALSE)</f>
        <v>5.65</v>
      </c>
      <c r="M18" s="45">
        <f t="shared" ref="M18:M22" si="6">L18*12</f>
        <v>67.800000000000011</v>
      </c>
      <c r="N18" s="75">
        <v>0</v>
      </c>
      <c r="O18" s="46">
        <f>M18</f>
        <v>67.800000000000011</v>
      </c>
      <c r="P18" s="41"/>
      <c r="Q18" s="47">
        <f t="shared" si="4"/>
        <v>0</v>
      </c>
      <c r="R18" s="46">
        <f t="shared" si="5"/>
        <v>0</v>
      </c>
    </row>
    <row r="19" spans="1:18" x14ac:dyDescent="0.3">
      <c r="A19" s="49"/>
      <c r="B19" s="154" t="s">
        <v>26</v>
      </c>
      <c r="C19" s="153"/>
      <c r="D19" s="35">
        <v>17898994908712</v>
      </c>
      <c r="E19" s="34" t="s">
        <v>23</v>
      </c>
      <c r="F19" s="34" t="s">
        <v>103</v>
      </c>
      <c r="G19" s="37">
        <f>VLOOKUP($Q$7,PSC!$A$2:$L$31,2,FALSE)</f>
        <v>8.99</v>
      </c>
      <c r="H19" s="35" t="s">
        <v>83</v>
      </c>
      <c r="I19" s="35" t="s">
        <v>27</v>
      </c>
      <c r="J19" s="35">
        <v>17898994908712</v>
      </c>
      <c r="K19" s="36">
        <f>VLOOKUP($Q$7,'ST BISCOITINHOS'!A:B,2,FALSE)</f>
        <v>0.12</v>
      </c>
      <c r="L19" s="37">
        <f>VLOOKUP($Q$7,PREÇOS!$A$2:$L$31,2,FALSE)</f>
        <v>5.65</v>
      </c>
      <c r="M19" s="38">
        <f t="shared" si="6"/>
        <v>67.800000000000011</v>
      </c>
      <c r="N19" s="39">
        <v>0</v>
      </c>
      <c r="O19" s="40">
        <f>M19</f>
        <v>67.800000000000011</v>
      </c>
      <c r="P19" s="41"/>
      <c r="Q19" s="42">
        <f t="shared" si="4"/>
        <v>0</v>
      </c>
      <c r="R19" s="40">
        <f t="shared" si="5"/>
        <v>0</v>
      </c>
    </row>
    <row r="20" spans="1:18" x14ac:dyDescent="0.3">
      <c r="A20" s="49"/>
      <c r="B20" s="152" t="s">
        <v>28</v>
      </c>
      <c r="C20" s="153"/>
      <c r="D20" s="72">
        <v>17898994908750</v>
      </c>
      <c r="E20" s="73" t="s">
        <v>23</v>
      </c>
      <c r="F20" s="73" t="s">
        <v>103</v>
      </c>
      <c r="G20" s="44">
        <f>VLOOKUP($Q$7,PSC!$A$2:$L$31,2,FALSE)</f>
        <v>8.99</v>
      </c>
      <c r="H20" s="72" t="s">
        <v>83</v>
      </c>
      <c r="I20" s="72" t="s">
        <v>29</v>
      </c>
      <c r="J20" s="72">
        <v>17898994908750</v>
      </c>
      <c r="K20" s="74">
        <f>VLOOKUP($Q$7,'ST BISCOITINHOS'!A:B,2,FALSE)</f>
        <v>0.12</v>
      </c>
      <c r="L20" s="44">
        <f>VLOOKUP($Q$7,PREÇOS!$A$2:$L$31,2,FALSE)</f>
        <v>5.65</v>
      </c>
      <c r="M20" s="45">
        <f t="shared" si="6"/>
        <v>67.800000000000011</v>
      </c>
      <c r="N20" s="75">
        <v>0</v>
      </c>
      <c r="O20" s="46">
        <f>M20</f>
        <v>67.800000000000011</v>
      </c>
      <c r="P20" s="41"/>
      <c r="Q20" s="47">
        <f t="shared" si="4"/>
        <v>0</v>
      </c>
      <c r="R20" s="46">
        <f t="shared" si="5"/>
        <v>0</v>
      </c>
    </row>
    <row r="21" spans="1:18" x14ac:dyDescent="0.3">
      <c r="A21" s="49"/>
      <c r="B21" s="154" t="s">
        <v>93</v>
      </c>
      <c r="C21" s="153"/>
      <c r="D21" s="35">
        <v>27898994908757</v>
      </c>
      <c r="E21" s="34" t="s">
        <v>23</v>
      </c>
      <c r="F21" s="34" t="s">
        <v>103</v>
      </c>
      <c r="G21" s="37">
        <f>VLOOKUP($Q$7,PSC!$A$2:$L$31,2,FALSE)</f>
        <v>8.99</v>
      </c>
      <c r="H21" s="35" t="s">
        <v>83</v>
      </c>
      <c r="I21" s="35" t="s">
        <v>30</v>
      </c>
      <c r="J21" s="35">
        <v>17898994908757</v>
      </c>
      <c r="K21" s="36">
        <f>VLOOKUP($Q$7,'ST BISCOITINHOS'!A:B,2,FALSE)</f>
        <v>0.12</v>
      </c>
      <c r="L21" s="37">
        <f>VLOOKUP($Q$7,PREÇOS!$A$2:$L$31,2,FALSE)</f>
        <v>5.65</v>
      </c>
      <c r="M21" s="38">
        <f t="shared" si="6"/>
        <v>67.800000000000011</v>
      </c>
      <c r="N21" s="39">
        <v>0</v>
      </c>
      <c r="O21" s="40">
        <f>M21</f>
        <v>67.800000000000011</v>
      </c>
      <c r="P21" s="41"/>
      <c r="Q21" s="42">
        <f t="shared" si="4"/>
        <v>0</v>
      </c>
      <c r="R21" s="40">
        <f t="shared" si="5"/>
        <v>0</v>
      </c>
    </row>
    <row r="22" spans="1:18" x14ac:dyDescent="0.3">
      <c r="A22" s="49"/>
      <c r="B22" s="152" t="s">
        <v>108</v>
      </c>
      <c r="C22" s="159"/>
      <c r="D22" s="72">
        <v>5306</v>
      </c>
      <c r="E22" s="73" t="s">
        <v>23</v>
      </c>
      <c r="F22" s="73" t="s">
        <v>103</v>
      </c>
      <c r="G22" s="44">
        <f>VLOOKUP($Q$7,PSC!$A$2:$L$31,2,FALSE)</f>
        <v>8.99</v>
      </c>
      <c r="H22" s="72" t="s">
        <v>83</v>
      </c>
      <c r="I22" s="72">
        <v>7898969895309</v>
      </c>
      <c r="J22" s="72">
        <v>17898969895306</v>
      </c>
      <c r="K22" s="74">
        <f>VLOOKUP($Q$7,'ST BISCOITINHOS'!A:B,2,FALSE)</f>
        <v>0.12</v>
      </c>
      <c r="L22" s="44">
        <f>VLOOKUP($Q$7,PREÇOS!$A$2:$L$31,2,FALSE)</f>
        <v>5.65</v>
      </c>
      <c r="M22" s="45">
        <f t="shared" si="6"/>
        <v>67.800000000000011</v>
      </c>
      <c r="N22" s="75">
        <v>0</v>
      </c>
      <c r="O22" s="46">
        <f t="shared" ref="O22" si="7">M22</f>
        <v>67.800000000000011</v>
      </c>
      <c r="P22" s="41"/>
      <c r="Q22" s="47">
        <f t="shared" si="4"/>
        <v>0</v>
      </c>
      <c r="R22" s="46">
        <f t="shared" si="5"/>
        <v>0</v>
      </c>
    </row>
    <row r="23" spans="1:18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</row>
    <row r="24" spans="1:18" x14ac:dyDescent="0.3">
      <c r="A24" s="49"/>
      <c r="B24" s="154" t="s">
        <v>94</v>
      </c>
      <c r="C24" s="153"/>
      <c r="D24" s="35">
        <v>5085</v>
      </c>
      <c r="E24" s="34" t="s">
        <v>31</v>
      </c>
      <c r="F24" s="34" t="s">
        <v>106</v>
      </c>
      <c r="G24" s="37">
        <f>VLOOKUP($Q$7,PSC!$A$2:$L$31,3,FALSE)</f>
        <v>6.49</v>
      </c>
      <c r="H24" s="35" t="s">
        <v>84</v>
      </c>
      <c r="I24" s="35">
        <v>7898969895088</v>
      </c>
      <c r="J24" s="35">
        <v>17898969895085</v>
      </c>
      <c r="K24" s="36">
        <f>VLOOKUP($Q$7,'ST PALITINHOS'!A:B,2,FALSE)</f>
        <v>0.12</v>
      </c>
      <c r="L24" s="37">
        <f>VLOOKUP($Q$7,PREÇOS!$A$2:$L$31,3,FALSE)</f>
        <v>3.36</v>
      </c>
      <c r="M24" s="38">
        <f>L24*16</f>
        <v>53.76</v>
      </c>
      <c r="N24" s="39">
        <f>IF($K$8="SIM",VLOOKUP($Q$7,'ST PALITINHOS'!$A$1:$J$31,10,FALSE),VLOOKUP($Q$7,'ST PALITINHOS'!$A$1:$J$31,9,FALSE))</f>
        <v>0.70212239999999992</v>
      </c>
      <c r="O24" s="40">
        <f>(L24+N24)*16</f>
        <v>64.993958399999997</v>
      </c>
      <c r="P24" s="41"/>
      <c r="Q24" s="42">
        <f t="shared" si="4"/>
        <v>0</v>
      </c>
      <c r="R24" s="40">
        <f t="shared" si="5"/>
        <v>0</v>
      </c>
    </row>
    <row r="25" spans="1:18" x14ac:dyDescent="0.3">
      <c r="A25" s="49"/>
      <c r="B25" s="152" t="s">
        <v>95</v>
      </c>
      <c r="C25" s="153"/>
      <c r="D25" s="72">
        <v>5078</v>
      </c>
      <c r="E25" s="73" t="s">
        <v>31</v>
      </c>
      <c r="F25" s="73" t="s">
        <v>106</v>
      </c>
      <c r="G25" s="44">
        <f>VLOOKUP($Q$7,PSC!$A$2:$L$31,3,FALSE)</f>
        <v>6.49</v>
      </c>
      <c r="H25" s="72" t="s">
        <v>84</v>
      </c>
      <c r="I25" s="72">
        <v>7898969895071</v>
      </c>
      <c r="J25" s="72">
        <v>17898969895078</v>
      </c>
      <c r="K25" s="74">
        <f>VLOOKUP($Q$7,'ST PALITINHOS'!A:B,2,FALSE)</f>
        <v>0.12</v>
      </c>
      <c r="L25" s="44">
        <f>VLOOKUP($Q$7,PREÇOS!$A$2:$L$31,3,FALSE)</f>
        <v>3.36</v>
      </c>
      <c r="M25" s="45">
        <f>L25*16</f>
        <v>53.76</v>
      </c>
      <c r="N25" s="75">
        <f>IF($K$8="SIM",VLOOKUP($Q$7,'ST PALITINHOS'!$A$1:$J$31,10,FALSE),VLOOKUP($Q$7,'ST PALITINHOS'!$A$1:$J$31,9,FALSE))</f>
        <v>0.70212239999999992</v>
      </c>
      <c r="O25" s="46">
        <f>(L25+N25)*16</f>
        <v>64.993958399999997</v>
      </c>
      <c r="P25" s="41"/>
      <c r="Q25" s="47">
        <f t="shared" si="4"/>
        <v>0</v>
      </c>
      <c r="R25" s="46">
        <f t="shared" si="5"/>
        <v>0</v>
      </c>
    </row>
    <row r="26" spans="1:18" x14ac:dyDescent="0.3">
      <c r="A26" s="49"/>
      <c r="B26" s="154" t="s">
        <v>96</v>
      </c>
      <c r="C26" s="153"/>
      <c r="D26" s="35">
        <v>5061</v>
      </c>
      <c r="E26" s="34" t="s">
        <v>31</v>
      </c>
      <c r="F26" s="34" t="s">
        <v>106</v>
      </c>
      <c r="G26" s="37">
        <f>VLOOKUP($Q$7,PSC!$A$2:$L$31,3,FALSE)</f>
        <v>6.49</v>
      </c>
      <c r="H26" s="35" t="s">
        <v>84</v>
      </c>
      <c r="I26" s="35">
        <v>7898969895064</v>
      </c>
      <c r="J26" s="35">
        <v>17898969895061</v>
      </c>
      <c r="K26" s="36">
        <f>VLOOKUP($Q$7,'ST PALITINHOS'!A:B,2,FALSE)</f>
        <v>0.12</v>
      </c>
      <c r="L26" s="37">
        <f>VLOOKUP($Q$7,PREÇOS!$A$2:$L$31,3,FALSE)</f>
        <v>3.36</v>
      </c>
      <c r="M26" s="38">
        <f>L26*16</f>
        <v>53.76</v>
      </c>
      <c r="N26" s="39">
        <f>IF($K$8="SIM",VLOOKUP($Q$7,'ST PALITINHOS'!$A$1:$J$31,10,FALSE),VLOOKUP($Q$7,'ST PALITINHOS'!$A$1:$J$31,9,FALSE))</f>
        <v>0.70212239999999992</v>
      </c>
      <c r="O26" s="40">
        <f>(L26+N26)*16</f>
        <v>64.993958399999997</v>
      </c>
      <c r="P26" s="41"/>
      <c r="Q26" s="42">
        <f t="shared" si="4"/>
        <v>0</v>
      </c>
      <c r="R26" s="40">
        <f t="shared" si="5"/>
        <v>0</v>
      </c>
    </row>
    <row r="27" spans="1:18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x14ac:dyDescent="0.3">
      <c r="A28" s="49"/>
      <c r="B28" s="154" t="s">
        <v>97</v>
      </c>
      <c r="C28" s="153"/>
      <c r="D28" s="35">
        <v>8774</v>
      </c>
      <c r="E28" s="34" t="s">
        <v>32</v>
      </c>
      <c r="F28" s="34" t="s">
        <v>104</v>
      </c>
      <c r="G28" s="37">
        <f>VLOOKUP($Q$7,PSC!$A$2:$L$31,4,FALSE)</f>
        <v>18.989999999999998</v>
      </c>
      <c r="H28" s="35" t="s">
        <v>85</v>
      </c>
      <c r="I28" s="35">
        <v>7898994908777</v>
      </c>
      <c r="J28" s="35">
        <v>17898994908774</v>
      </c>
      <c r="K28" s="36">
        <f>VLOOKUP($Q$7,'ST BISCOITINHOS'!A:B,2,FALSE)</f>
        <v>0.12</v>
      </c>
      <c r="L28" s="37">
        <f>VLOOKUP($Q$7,PREÇOS!$A$2:$L$31,4,FALSE)</f>
        <v>10.98</v>
      </c>
      <c r="M28" s="38">
        <f>L28*12</f>
        <v>131.76</v>
      </c>
      <c r="N28" s="39">
        <f>IF($K$8="SIM",VLOOKUP($Q$7,'ST BISCOITINHOS'!$A$1:$J$31,10,FALSE),VLOOKUP($Q$7,'ST BISCOITINHOS'!$A$1:$J$31,9,FALSE))</f>
        <v>0</v>
      </c>
      <c r="O28" s="40">
        <f>(L28+N28)*12</f>
        <v>131.76</v>
      </c>
      <c r="P28" s="41"/>
      <c r="Q28" s="42">
        <f t="shared" si="4"/>
        <v>0</v>
      </c>
      <c r="R28" s="40">
        <f t="shared" si="5"/>
        <v>0</v>
      </c>
    </row>
    <row r="29" spans="1:18" x14ac:dyDescent="0.3">
      <c r="A29" s="49"/>
      <c r="B29" s="152" t="s">
        <v>98</v>
      </c>
      <c r="C29" s="153"/>
      <c r="D29" s="72">
        <v>8767</v>
      </c>
      <c r="E29" s="73" t="s">
        <v>32</v>
      </c>
      <c r="F29" s="73" t="s">
        <v>104</v>
      </c>
      <c r="G29" s="44">
        <f>VLOOKUP($Q$7,PSC!$A$2:$L$31,4,FALSE)</f>
        <v>18.989999999999998</v>
      </c>
      <c r="H29" s="72" t="s">
        <v>85</v>
      </c>
      <c r="I29" s="72">
        <v>7898994908760</v>
      </c>
      <c r="J29" s="72">
        <v>17898994908767</v>
      </c>
      <c r="K29" s="74">
        <f>VLOOKUP($Q$7,'ST BISCOITINHOS'!A:B,2,FALSE)</f>
        <v>0.12</v>
      </c>
      <c r="L29" s="44">
        <f>VLOOKUP($Q$7,PREÇOS!$A$2:$L$31,4,FALSE)</f>
        <v>10.98</v>
      </c>
      <c r="M29" s="45">
        <f>L29*12</f>
        <v>131.76</v>
      </c>
      <c r="N29" s="75">
        <f>IF($K$8="SIM",VLOOKUP($Q$7,'ST BISCOITINHOS'!$A$1:$J$31,10,FALSE),VLOOKUP($Q$7,'ST BISCOITINHOS'!$A$1:$J$31,9,FALSE))</f>
        <v>0</v>
      </c>
      <c r="O29" s="46">
        <f>(L29+N29)*12</f>
        <v>131.76</v>
      </c>
      <c r="P29" s="41"/>
      <c r="Q29" s="47">
        <f t="shared" si="4"/>
        <v>0</v>
      </c>
      <c r="R29" s="46">
        <f t="shared" si="5"/>
        <v>0</v>
      </c>
    </row>
    <row r="30" spans="1:18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18" x14ac:dyDescent="0.3">
      <c r="A31" s="49"/>
      <c r="B31" s="154" t="s">
        <v>121</v>
      </c>
      <c r="C31" s="153"/>
      <c r="D31" s="35">
        <v>5290</v>
      </c>
      <c r="E31" s="34" t="s">
        <v>77</v>
      </c>
      <c r="F31" s="34" t="s">
        <v>105</v>
      </c>
      <c r="G31" s="37">
        <f>VLOOKUP($Q$7,PSC!$A$2:$L$31,5,FALSE)</f>
        <v>13.49</v>
      </c>
      <c r="H31" s="35" t="s">
        <v>86</v>
      </c>
      <c r="I31" s="35">
        <v>7898969895293</v>
      </c>
      <c r="J31" s="35">
        <v>17898969895293</v>
      </c>
      <c r="K31" s="36">
        <f>VLOOKUP($Q$7,'ST PAPAPASTA'!A:B,2,FALSE)</f>
        <v>0.12</v>
      </c>
      <c r="L31" s="37">
        <f>VLOOKUP($Q$7,PREÇOS!$A$2:$L$31,5,FALSE)</f>
        <v>7.9</v>
      </c>
      <c r="M31" s="38">
        <f>L31*12</f>
        <v>94.800000000000011</v>
      </c>
      <c r="N31" s="39">
        <f>IF($K$8="SIM",VLOOKUP($Q$7,'ST PAPAPASTA'!$A$1:$J$31,10,FALSE),VLOOKUP($Q$7,'ST PAPAPASTA'!$A$1:$J$31,9,FALSE))</f>
        <v>0</v>
      </c>
      <c r="O31" s="40">
        <f>(L31+N31)*12</f>
        <v>94.800000000000011</v>
      </c>
      <c r="P31" s="41"/>
      <c r="Q31" s="42">
        <f t="shared" si="4"/>
        <v>0</v>
      </c>
      <c r="R31" s="40">
        <f t="shared" si="5"/>
        <v>0</v>
      </c>
    </row>
    <row r="32" spans="1:18" x14ac:dyDescent="0.3">
      <c r="A32" s="49"/>
      <c r="B32" s="152" t="s">
        <v>122</v>
      </c>
      <c r="C32" s="153"/>
      <c r="D32" s="72">
        <v>5283</v>
      </c>
      <c r="E32" s="73" t="s">
        <v>77</v>
      </c>
      <c r="F32" s="73" t="s">
        <v>105</v>
      </c>
      <c r="G32" s="44">
        <f>VLOOKUP($Q$7,PSC!$A$2:$L$31,5,FALSE)</f>
        <v>13.49</v>
      </c>
      <c r="H32" s="72" t="s">
        <v>86</v>
      </c>
      <c r="I32" s="72">
        <v>7898969895286</v>
      </c>
      <c r="J32" s="72">
        <v>17898969895286</v>
      </c>
      <c r="K32" s="74">
        <f>VLOOKUP($Q$7,'ST PAPAPASTA'!A:B,2,FALSE)</f>
        <v>0.12</v>
      </c>
      <c r="L32" s="44">
        <f>VLOOKUP($Q$7,PREÇOS!$A$2:$L$31,5,FALSE)</f>
        <v>7.9</v>
      </c>
      <c r="M32" s="45">
        <f>L32*12</f>
        <v>94.800000000000011</v>
      </c>
      <c r="N32" s="75">
        <f>IF($K$8="SIM",VLOOKUP($Q$7,'ST PAPAPASTA'!$A$1:$J$31,10,FALSE),VLOOKUP($Q$7,'ST PAPAPASTA'!$A$1:$J$31,9,FALSE))</f>
        <v>0</v>
      </c>
      <c r="O32" s="46">
        <f>(L32+N32)*12</f>
        <v>94.800000000000011</v>
      </c>
      <c r="P32" s="41"/>
      <c r="Q32" s="47">
        <f t="shared" si="4"/>
        <v>0</v>
      </c>
      <c r="R32" s="46">
        <f t="shared" si="5"/>
        <v>0</v>
      </c>
    </row>
    <row r="33" spans="1:18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18" x14ac:dyDescent="0.3">
      <c r="B34" s="154" t="s">
        <v>99</v>
      </c>
      <c r="C34" s="153"/>
      <c r="D34" s="35">
        <v>5276</v>
      </c>
      <c r="E34" s="34" t="s">
        <v>79</v>
      </c>
      <c r="F34" s="34" t="s">
        <v>103</v>
      </c>
      <c r="G34" s="37">
        <f>VLOOKUP($Q$7,PSC!$A$2:$L$31,6,FALSE)</f>
        <v>19.989999999999998</v>
      </c>
      <c r="H34" s="35" t="s">
        <v>83</v>
      </c>
      <c r="I34" s="35">
        <v>7898969895279</v>
      </c>
      <c r="J34" s="35">
        <v>17898969895276</v>
      </c>
      <c r="K34" s="36">
        <f>VLOOKUP($Q$7,'ST PAPAPASTA'!A:B,2,FALSE)</f>
        <v>0.12</v>
      </c>
      <c r="L34" s="37">
        <f>VLOOKUP($Q$7,PREÇOS!$A$2:$L$31,6,FALSE)</f>
        <v>11.58</v>
      </c>
      <c r="M34" s="38">
        <f>L34*6</f>
        <v>69.48</v>
      </c>
      <c r="N34" s="39">
        <v>0</v>
      </c>
      <c r="O34" s="40">
        <f>(L34+N34)*6</f>
        <v>69.48</v>
      </c>
      <c r="P34" s="41"/>
      <c r="Q34" s="42">
        <f t="shared" si="4"/>
        <v>0</v>
      </c>
      <c r="R34" s="40">
        <f t="shared" si="5"/>
        <v>0</v>
      </c>
    </row>
    <row r="35" spans="1:18" x14ac:dyDescent="0.3">
      <c r="B35" s="152" t="s">
        <v>100</v>
      </c>
      <c r="C35" s="153"/>
      <c r="D35" s="72">
        <v>5269</v>
      </c>
      <c r="E35" s="73" t="s">
        <v>79</v>
      </c>
      <c r="F35" s="73" t="s">
        <v>103</v>
      </c>
      <c r="G35" s="44">
        <f>VLOOKUP($Q$7,PSC!$A$2:$L$31,6,FALSE)</f>
        <v>19.989999999999998</v>
      </c>
      <c r="H35" s="72" t="s">
        <v>83</v>
      </c>
      <c r="I35" s="72">
        <v>7898969895262</v>
      </c>
      <c r="J35" s="72">
        <v>17898969895269</v>
      </c>
      <c r="K35" s="74">
        <f>VLOOKUP($Q$7,'ST PAPAPASTA'!A:B,2,FALSE)</f>
        <v>0.12</v>
      </c>
      <c r="L35" s="44">
        <f>VLOOKUP($Q$7,PREÇOS!$A$2:$L$31,6,FALSE)</f>
        <v>11.58</v>
      </c>
      <c r="M35" s="45">
        <f>L35*6</f>
        <v>69.48</v>
      </c>
      <c r="N35" s="75">
        <v>0</v>
      </c>
      <c r="O35" s="46">
        <f>(L35+N35)*6</f>
        <v>69.48</v>
      </c>
      <c r="P35" s="41"/>
      <c r="Q35" s="47">
        <f t="shared" si="4"/>
        <v>0</v>
      </c>
      <c r="R35" s="46">
        <f t="shared" si="5"/>
        <v>0</v>
      </c>
    </row>
    <row r="36" spans="1:18" x14ac:dyDescent="0.3">
      <c r="B36" s="154" t="s">
        <v>101</v>
      </c>
      <c r="C36" s="153"/>
      <c r="D36" s="35">
        <v>5252</v>
      </c>
      <c r="E36" s="34" t="s">
        <v>79</v>
      </c>
      <c r="F36" s="34" t="s">
        <v>103</v>
      </c>
      <c r="G36" s="37">
        <f>VLOOKUP($Q$7,PSC!$A$2:$L$31,6,FALSE)</f>
        <v>19.989999999999998</v>
      </c>
      <c r="H36" s="35" t="s">
        <v>83</v>
      </c>
      <c r="I36" s="35">
        <v>7898969895255</v>
      </c>
      <c r="J36" s="35">
        <v>17898969895252</v>
      </c>
      <c r="K36" s="36">
        <f>VLOOKUP($Q$7,'ST PAPAPASTA'!A:B,2,FALSE)</f>
        <v>0.12</v>
      </c>
      <c r="L36" s="37">
        <f>VLOOKUP($Q$7,PREÇOS!$A$2:$L$31,6,FALSE)</f>
        <v>11.58</v>
      </c>
      <c r="M36" s="38">
        <f>L36*6</f>
        <v>69.48</v>
      </c>
      <c r="N36" s="39">
        <v>0</v>
      </c>
      <c r="O36" s="40">
        <f>(L36+N36)*6</f>
        <v>69.48</v>
      </c>
      <c r="P36" s="41"/>
      <c r="Q36" s="42">
        <f t="shared" si="4"/>
        <v>0</v>
      </c>
      <c r="R36" s="40">
        <f t="shared" si="5"/>
        <v>0</v>
      </c>
    </row>
    <row r="37" spans="1:18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18" x14ac:dyDescent="0.3">
      <c r="A38" s="49"/>
      <c r="B38" s="154" t="s">
        <v>135</v>
      </c>
      <c r="C38" s="153"/>
      <c r="D38" s="35">
        <v>3344</v>
      </c>
      <c r="E38" s="34" t="s">
        <v>109</v>
      </c>
      <c r="F38" s="34" t="s">
        <v>110</v>
      </c>
      <c r="G38" s="37">
        <f>VLOOKUP($Q$7,PSC!$A$2:$L$31,7,FALSE)</f>
        <v>14.49</v>
      </c>
      <c r="H38" s="35" t="s">
        <v>111</v>
      </c>
      <c r="I38" s="35">
        <v>7898969895330</v>
      </c>
      <c r="J38" s="35">
        <v>17898969895337</v>
      </c>
      <c r="K38" s="36">
        <f>VLOOKUP($Q$7,'ST CEREAL'!A:B,2,FALSE)</f>
        <v>0.12</v>
      </c>
      <c r="L38" s="37">
        <f>VLOOKUP($Q$7,PREÇOS!$A$2:$L$31,7,FALSE)</f>
        <v>8.15</v>
      </c>
      <c r="M38" s="38">
        <f t="shared" ref="M38:M44" si="8">L38*12</f>
        <v>97.800000000000011</v>
      </c>
      <c r="N38" s="39">
        <f>IF($K$8="SIM",VLOOKUP($Q$7,'ST CEREAL'!$A$1:$J$31,10,FALSE),VLOOKUP($Q$7,'ST CEREAL'!$A$1:$J$31,9,FALSE))</f>
        <v>1.5775140000000005</v>
      </c>
      <c r="O38" s="40">
        <f t="shared" ref="O38:O44" si="9">(L38+N38)*12</f>
        <v>116.73016800000002</v>
      </c>
      <c r="P38" s="41"/>
      <c r="Q38" s="42">
        <f t="shared" ref="Q38:Q39" si="10">P38*M38</f>
        <v>0</v>
      </c>
      <c r="R38" s="40">
        <f t="shared" ref="R38:R39" si="11">P38*O38</f>
        <v>0</v>
      </c>
    </row>
    <row r="39" spans="1:18" x14ac:dyDescent="0.3">
      <c r="A39" s="49"/>
      <c r="B39" s="152" t="s">
        <v>136</v>
      </c>
      <c r="C39" s="153"/>
      <c r="D39" s="72">
        <v>3343</v>
      </c>
      <c r="E39" s="73" t="s">
        <v>109</v>
      </c>
      <c r="F39" s="73" t="s">
        <v>110</v>
      </c>
      <c r="G39" s="44">
        <f>VLOOKUP($Q$7,PSC!$A$2:$L$31,7,FALSE)</f>
        <v>14.49</v>
      </c>
      <c r="H39" s="72" t="s">
        <v>111</v>
      </c>
      <c r="I39" s="72">
        <v>7898969895347</v>
      </c>
      <c r="J39" s="72">
        <v>17898969895344</v>
      </c>
      <c r="K39" s="74">
        <f>VLOOKUP($Q$7,'ST CEREAL'!A:B,2,FALSE)</f>
        <v>0.12</v>
      </c>
      <c r="L39" s="44">
        <f>VLOOKUP($Q$7,PREÇOS!$A$2:$L$31,7,FALSE)</f>
        <v>8.15</v>
      </c>
      <c r="M39" s="45">
        <f t="shared" si="8"/>
        <v>97.800000000000011</v>
      </c>
      <c r="N39" s="75">
        <f>IF($K$8="SIM",VLOOKUP($Q$7,'ST CEREAL'!$A$1:$J$31,10,FALSE),VLOOKUP($Q$7,'ST CEREAL'!$A$1:$J$31,9,FALSE))</f>
        <v>1.5775140000000005</v>
      </c>
      <c r="O39" s="46">
        <f t="shared" si="9"/>
        <v>116.73016800000002</v>
      </c>
      <c r="P39" s="41"/>
      <c r="Q39" s="47">
        <f t="shared" si="10"/>
        <v>0</v>
      </c>
      <c r="R39" s="46">
        <f t="shared" si="11"/>
        <v>0</v>
      </c>
    </row>
    <row r="40" spans="1:18" x14ac:dyDescent="0.3">
      <c r="A40" s="49"/>
      <c r="B40" s="154" t="s">
        <v>137</v>
      </c>
      <c r="C40" s="153"/>
      <c r="D40" s="35">
        <v>5382</v>
      </c>
      <c r="E40" s="34" t="s">
        <v>109</v>
      </c>
      <c r="F40" s="34" t="s">
        <v>110</v>
      </c>
      <c r="G40" s="37">
        <f>VLOOKUP($Q$7,PSC!$A$2:$L$31,7,FALSE)</f>
        <v>14.49</v>
      </c>
      <c r="H40" s="35" t="s">
        <v>111</v>
      </c>
      <c r="I40" s="35">
        <v>7898969895385</v>
      </c>
      <c r="J40" s="35">
        <v>17898969895382</v>
      </c>
      <c r="K40" s="36">
        <f>VLOOKUP($Q$7,'ST CEREAL'!A:B,2,FALSE)</f>
        <v>0.12</v>
      </c>
      <c r="L40" s="37">
        <f>VLOOKUP($Q$7,PREÇOS!$A$2:$L$31,7,FALSE)</f>
        <v>8.15</v>
      </c>
      <c r="M40" s="38">
        <f t="shared" si="8"/>
        <v>97.800000000000011</v>
      </c>
      <c r="N40" s="39">
        <f>IF($K$8="SIM",VLOOKUP($Q$7,'ST CEREAL'!$A$1:$J$31,10,FALSE),VLOOKUP($Q$7,'ST CEREAL'!$A$1:$J$31,9,FALSE))</f>
        <v>1.5775140000000005</v>
      </c>
      <c r="O40" s="40">
        <f t="shared" si="9"/>
        <v>116.73016800000002</v>
      </c>
      <c r="P40" s="41"/>
      <c r="Q40" s="42">
        <f>P40*M40</f>
        <v>0</v>
      </c>
      <c r="R40" s="40">
        <f t="shared" ref="R40" si="12">P40*O40</f>
        <v>0</v>
      </c>
    </row>
    <row r="41" spans="1:18" x14ac:dyDescent="0.3">
      <c r="A41" s="49"/>
      <c r="B41" s="152" t="s">
        <v>134</v>
      </c>
      <c r="C41" s="153"/>
      <c r="D41" s="72">
        <v>5402</v>
      </c>
      <c r="E41" s="73" t="s">
        <v>109</v>
      </c>
      <c r="F41" s="73" t="s">
        <v>110</v>
      </c>
      <c r="G41" s="44">
        <f>VLOOKUP($Q$7,PSC!$A$2:$L$31,10,FALSE)</f>
        <v>9.99</v>
      </c>
      <c r="H41" s="72" t="s">
        <v>111</v>
      </c>
      <c r="I41" s="72">
        <v>7898969895408</v>
      </c>
      <c r="J41" s="72">
        <v>27898969895402</v>
      </c>
      <c r="K41" s="74">
        <f>VLOOKUP($Q$7,'ST CEREAL SABOR POUCH 170'!A:B,2,FALSE)</f>
        <v>0.12</v>
      </c>
      <c r="L41" s="44">
        <f>VLOOKUP($Q$7,PREÇOS!$A$2:$L$31,10,FALSE)</f>
        <v>5.75</v>
      </c>
      <c r="M41" s="45">
        <f t="shared" si="8"/>
        <v>69</v>
      </c>
      <c r="N41" s="75">
        <f>IF($K$8="SIM",VLOOKUP($Q$7,'ST CEREAL SABOR POUCH 170'!$A$1:$J$31,10,FALSE),VLOOKUP($Q$7,'ST CEREAL SABOR POUCH 170'!$A$1:$J$31,9,FALSE))</f>
        <v>1.1129700000000002</v>
      </c>
      <c r="O41" s="46">
        <f t="shared" si="9"/>
        <v>82.355640000000008</v>
      </c>
      <c r="P41" s="41"/>
      <c r="Q41" s="47">
        <f>P41*M41</f>
        <v>0</v>
      </c>
      <c r="R41" s="46">
        <f>P41*O41</f>
        <v>0</v>
      </c>
    </row>
    <row r="42" spans="1:18" x14ac:dyDescent="0.3">
      <c r="A42" s="49"/>
      <c r="B42" s="154" t="s">
        <v>131</v>
      </c>
      <c r="C42" s="153"/>
      <c r="D42" s="35">
        <v>5419</v>
      </c>
      <c r="E42" s="34" t="s">
        <v>109</v>
      </c>
      <c r="F42" s="34" t="s">
        <v>110</v>
      </c>
      <c r="G42" s="37">
        <f>VLOOKUP($Q$7,PSC!$A$2:$L$31,10,FALSE)</f>
        <v>9.99</v>
      </c>
      <c r="H42" s="35" t="s">
        <v>111</v>
      </c>
      <c r="I42" s="35">
        <v>7898969895415</v>
      </c>
      <c r="J42" s="35">
        <v>27898969895419</v>
      </c>
      <c r="K42" s="36">
        <f>VLOOKUP($Q$7,'ST CEREAL SABOR POUCH 170'!A:B,2,FALSE)</f>
        <v>0.12</v>
      </c>
      <c r="L42" s="37">
        <f>VLOOKUP($Q$7,PREÇOS!$A$2:$L$31,10,FALSE)</f>
        <v>5.75</v>
      </c>
      <c r="M42" s="38">
        <f t="shared" si="8"/>
        <v>69</v>
      </c>
      <c r="N42" s="39">
        <f>IF($K$8="SIM",VLOOKUP($Q$7,'ST CEREAL SABOR POUCH 170'!$A$1:$J$31,10,FALSE),VLOOKUP($Q$7,'ST CEREAL SABOR POUCH 170'!$A$1:$J$31,9,FALSE))</f>
        <v>1.1129700000000002</v>
      </c>
      <c r="O42" s="40">
        <f t="shared" si="9"/>
        <v>82.355640000000008</v>
      </c>
      <c r="P42" s="41"/>
      <c r="Q42" s="42">
        <f>P42*M42</f>
        <v>0</v>
      </c>
      <c r="R42" s="40">
        <f>P42*O42</f>
        <v>0</v>
      </c>
    </row>
    <row r="43" spans="1:18" x14ac:dyDescent="0.3">
      <c r="A43" s="49"/>
      <c r="B43" s="152" t="s">
        <v>132</v>
      </c>
      <c r="C43" s="153"/>
      <c r="D43" s="72">
        <v>5429</v>
      </c>
      <c r="E43" s="73" t="s">
        <v>109</v>
      </c>
      <c r="F43" s="73" t="s">
        <v>110</v>
      </c>
      <c r="G43" s="44">
        <f>VLOOKUP($Q$7,PSC!$A$2:$L$31,11,FALSE)</f>
        <v>9.99</v>
      </c>
      <c r="H43" s="72" t="s">
        <v>111</v>
      </c>
      <c r="I43" s="72">
        <v>7898969895422</v>
      </c>
      <c r="J43" s="72">
        <v>17898969895429</v>
      </c>
      <c r="K43" s="74">
        <f>VLOOKUP($Q$7,'ST MULTI 170 POUCH'!A:B,2,FALSE)</f>
        <v>0.12</v>
      </c>
      <c r="L43" s="44">
        <f>VLOOKUP($Q$7,PREÇOS!$A$2:$L$31,11,FALSE)</f>
        <v>5.75</v>
      </c>
      <c r="M43" s="45">
        <f t="shared" si="8"/>
        <v>69</v>
      </c>
      <c r="N43" s="75">
        <f>IF($K$8="SIM",VLOOKUP($Q$7,'ST MULTI 170 POUCH'!$A$1:$J$31,10,FALSE),VLOOKUP($Q$7,'ST MULTI 170 POUCH'!$A$1:$J$31,9,FALSE))</f>
        <v>1.1129700000000002</v>
      </c>
      <c r="O43" s="46">
        <f t="shared" si="9"/>
        <v>82.355640000000008</v>
      </c>
      <c r="P43" s="41"/>
      <c r="Q43" s="47">
        <f t="shared" ref="Q43" si="13">P43*M43</f>
        <v>0</v>
      </c>
      <c r="R43" s="46">
        <f t="shared" ref="R43:R44" si="14">P43*O43</f>
        <v>0</v>
      </c>
    </row>
    <row r="44" spans="1:18" x14ac:dyDescent="0.3">
      <c r="A44" s="49"/>
      <c r="B44" s="154" t="s">
        <v>133</v>
      </c>
      <c r="C44" s="153"/>
      <c r="D44" s="35">
        <v>5399</v>
      </c>
      <c r="E44" s="34" t="s">
        <v>141</v>
      </c>
      <c r="F44" s="34" t="s">
        <v>110</v>
      </c>
      <c r="G44" s="37">
        <f>VLOOKUP($Q$7,PSC!$A$2:$L$31,12,FALSE)</f>
        <v>24.99</v>
      </c>
      <c r="H44" s="35" t="s">
        <v>111</v>
      </c>
      <c r="I44" s="35">
        <v>7898969895392</v>
      </c>
      <c r="J44" s="35">
        <v>17898969895399</v>
      </c>
      <c r="K44" s="36">
        <f>VLOOKUP($Q$7,'ST MULTI 500 POUCH'!A:B,2,FALSE)</f>
        <v>0.12</v>
      </c>
      <c r="L44" s="37">
        <f>VLOOKUP($Q$7,PREÇOS!$A$2:$L$31,12,FALSE)</f>
        <v>14.01</v>
      </c>
      <c r="M44" s="38">
        <f t="shared" si="8"/>
        <v>168.12</v>
      </c>
      <c r="N44" s="39">
        <f>IF($K$8="SIM",VLOOKUP($Q$7,'ST MULTI 500 POUCH'!$A$1:$J$31,10,FALSE),VLOOKUP($Q$7,'ST MULTI 500 POUCH'!$A$1:$J$31,9,FALSE))</f>
        <v>2.7117756000000011</v>
      </c>
      <c r="O44" s="40">
        <f t="shared" si="9"/>
        <v>200.66130720000001</v>
      </c>
      <c r="P44" s="41"/>
      <c r="Q44" s="42">
        <f>P44*M44</f>
        <v>0</v>
      </c>
      <c r="R44" s="40">
        <f t="shared" si="14"/>
        <v>0</v>
      </c>
    </row>
    <row r="45" spans="1:18" x14ac:dyDescent="0.3">
      <c r="B45" s="78"/>
      <c r="C45" s="79"/>
      <c r="D45" s="80"/>
      <c r="E45" s="81"/>
      <c r="F45" s="81"/>
      <c r="G45" s="52"/>
      <c r="H45" s="80"/>
      <c r="I45" s="80"/>
      <c r="J45" s="80"/>
      <c r="K45" s="82"/>
      <c r="L45" s="53"/>
      <c r="M45" s="54"/>
      <c r="N45" s="83"/>
      <c r="O45" s="55"/>
      <c r="Q45" s="55"/>
      <c r="R45" s="55"/>
    </row>
    <row r="46" spans="1:18" x14ac:dyDescent="0.3">
      <c r="A46" s="49"/>
      <c r="B46" s="154" t="s">
        <v>115</v>
      </c>
      <c r="C46" s="153"/>
      <c r="D46" s="35">
        <v>5375</v>
      </c>
      <c r="E46" s="34" t="s">
        <v>116</v>
      </c>
      <c r="F46" s="34" t="s">
        <v>120</v>
      </c>
      <c r="G46" s="37">
        <f>VLOOKUP($Q$7,PSC!$A$2:$L$31,8,FALSE)</f>
        <v>13.49</v>
      </c>
      <c r="H46" s="35" t="s">
        <v>85</v>
      </c>
      <c r="I46" s="35">
        <v>7898969895378</v>
      </c>
      <c r="J46" s="35">
        <v>17898969895375</v>
      </c>
      <c r="K46" s="36">
        <f>VLOOKUP($Q$7,'ST BISCOTTI'!A:B,2,FALSE)</f>
        <v>0.12</v>
      </c>
      <c r="L46" s="37">
        <f>VLOOKUP($Q$7,PREÇOS!$A$2:$L$31,8,FALSE)</f>
        <v>7.85</v>
      </c>
      <c r="M46" s="38">
        <f>L46*12</f>
        <v>94.199999999999989</v>
      </c>
      <c r="N46" s="39">
        <f>IF($K$8="SIM",VLOOKUP($Q$7,'ST BISCOTTI'!$A$1:$J$31,10,FALSE),VLOOKUP($Q$7,'ST BISCOTTI'!$A$1:$J$31,9,FALSE))</f>
        <v>0</v>
      </c>
      <c r="O46" s="40">
        <f>(L46+N46)*12</f>
        <v>94.199999999999989</v>
      </c>
      <c r="P46" s="41"/>
      <c r="Q46" s="42">
        <f t="shared" ref="Q46:Q50" si="15">P46*M46</f>
        <v>0</v>
      </c>
      <c r="R46" s="40">
        <f t="shared" ref="R46:R50" si="16">P46*O46</f>
        <v>0</v>
      </c>
    </row>
    <row r="47" spans="1:18" x14ac:dyDescent="0.3">
      <c r="A47" s="49"/>
      <c r="B47" s="152" t="s">
        <v>117</v>
      </c>
      <c r="C47" s="153"/>
      <c r="D47" s="72">
        <v>5351</v>
      </c>
      <c r="E47" s="73" t="s">
        <v>116</v>
      </c>
      <c r="F47" s="73" t="s">
        <v>120</v>
      </c>
      <c r="G47" s="44">
        <f>VLOOKUP($Q$7,PSC!$A$2:$L$31,8,FALSE)</f>
        <v>13.49</v>
      </c>
      <c r="H47" s="72" t="s">
        <v>85</v>
      </c>
      <c r="I47" s="72">
        <v>7898969895354</v>
      </c>
      <c r="J47" s="72">
        <v>17898969895351</v>
      </c>
      <c r="K47" s="74">
        <f>VLOOKUP($Q$7,'ST BISCOTTI'!A:B,2,FALSE)</f>
        <v>0.12</v>
      </c>
      <c r="L47" s="44">
        <f>VLOOKUP($Q$7,PREÇOS!$A$2:$L$31,8,FALSE)</f>
        <v>7.85</v>
      </c>
      <c r="M47" s="45">
        <f t="shared" ref="M47:M50" si="17">L47*12</f>
        <v>94.199999999999989</v>
      </c>
      <c r="N47" s="75">
        <f>IF($K$8="SIM",VLOOKUP($Q$7,'ST BISCOTTI'!$A$1:$J$31,10,FALSE),VLOOKUP($Q$7,'ST BISCOTTI'!$A$1:$J$31,9,FALSE))</f>
        <v>0</v>
      </c>
      <c r="O47" s="46">
        <f t="shared" ref="O47:O50" si="18">(L47+N47)*12</f>
        <v>94.199999999999989</v>
      </c>
      <c r="P47" s="41"/>
      <c r="Q47" s="47">
        <f t="shared" si="15"/>
        <v>0</v>
      </c>
      <c r="R47" s="46">
        <f t="shared" si="16"/>
        <v>0</v>
      </c>
    </row>
    <row r="48" spans="1:18" x14ac:dyDescent="0.3">
      <c r="A48" s="49"/>
      <c r="B48" s="154" t="s">
        <v>118</v>
      </c>
      <c r="C48" s="153"/>
      <c r="D48" s="35">
        <v>5368</v>
      </c>
      <c r="E48" s="34" t="s">
        <v>116</v>
      </c>
      <c r="F48" s="34" t="s">
        <v>120</v>
      </c>
      <c r="G48" s="37">
        <f>VLOOKUP($Q$7,PSC!$A$2:$L$31,8,FALSE)</f>
        <v>13.49</v>
      </c>
      <c r="H48" s="35" t="s">
        <v>85</v>
      </c>
      <c r="I48" s="35">
        <v>7898969895361</v>
      </c>
      <c r="J48" s="35">
        <v>17898969895368</v>
      </c>
      <c r="K48" s="36">
        <f>VLOOKUP($Q$7,'ST BISCOTTI'!A:B,2,FALSE)</f>
        <v>0.12</v>
      </c>
      <c r="L48" s="37">
        <f>VLOOKUP($Q$7,PREÇOS!$A$2:$L$31,8,FALSE)</f>
        <v>7.85</v>
      </c>
      <c r="M48" s="38">
        <f t="shared" si="17"/>
        <v>94.199999999999989</v>
      </c>
      <c r="N48" s="39">
        <f>IF($K$8="SIM",VLOOKUP($Q$7,'ST BISCOTTI'!$A$1:$J$31,10,FALSE),VLOOKUP($Q$7,'ST BISCOTTI'!$A$1:$J$31,9,FALSE))</f>
        <v>0</v>
      </c>
      <c r="O48" s="40">
        <f t="shared" si="18"/>
        <v>94.199999999999989</v>
      </c>
      <c r="P48" s="41"/>
      <c r="Q48" s="42">
        <f t="shared" si="15"/>
        <v>0</v>
      </c>
      <c r="R48" s="40">
        <f t="shared" si="16"/>
        <v>0</v>
      </c>
    </row>
    <row r="49" spans="1:18" x14ac:dyDescent="0.3">
      <c r="A49" s="49"/>
      <c r="B49" s="152" t="s">
        <v>152</v>
      </c>
      <c r="C49" s="153"/>
      <c r="D49" s="72">
        <v>5597</v>
      </c>
      <c r="E49" s="73" t="s">
        <v>116</v>
      </c>
      <c r="F49" s="73" t="s">
        <v>120</v>
      </c>
      <c r="G49" s="44">
        <f>VLOOKUP($Q$7,[1]PSC!$A$2:$L$31,8,FALSE)</f>
        <v>13.49</v>
      </c>
      <c r="H49" s="72" t="s">
        <v>85</v>
      </c>
      <c r="I49" s="72">
        <v>7898969895590</v>
      </c>
      <c r="J49" s="72">
        <v>17898969895597</v>
      </c>
      <c r="K49" s="74">
        <f>VLOOKUP($Q$7,'[1]ST BISCOTTI'!A:B,2,FALSE)</f>
        <v>0.12</v>
      </c>
      <c r="L49" s="44">
        <f>VLOOKUP($Q$7,PREÇOS!$A$2:$L$31,8,FALSE)</f>
        <v>7.85</v>
      </c>
      <c r="M49" s="45">
        <f t="shared" si="17"/>
        <v>94.199999999999989</v>
      </c>
      <c r="N49" s="75">
        <f>IF($K$8="SIM",VLOOKUP($Q$7,'[1]ST BISCOTTI'!$A$1:$J$31,10,FALSE),VLOOKUP($Q$7,'[1]ST BISCOTTI'!$A$1:$J$31,9,FALSE))</f>
        <v>0</v>
      </c>
      <c r="O49" s="46">
        <f t="shared" si="18"/>
        <v>94.199999999999989</v>
      </c>
      <c r="P49" s="41"/>
      <c r="Q49" s="47">
        <f t="shared" si="15"/>
        <v>0</v>
      </c>
      <c r="R49" s="46">
        <f t="shared" si="16"/>
        <v>0</v>
      </c>
    </row>
    <row r="50" spans="1:18" x14ac:dyDescent="0.3">
      <c r="A50" s="49"/>
      <c r="B50" s="154" t="s">
        <v>153</v>
      </c>
      <c r="C50" s="153"/>
      <c r="D50" s="35">
        <v>5580</v>
      </c>
      <c r="E50" s="34" t="s">
        <v>116</v>
      </c>
      <c r="F50" s="34" t="s">
        <v>120</v>
      </c>
      <c r="G50" s="37">
        <f>VLOOKUP($Q$7,[1]PSC!$A$2:$L$31,8,FALSE)</f>
        <v>13.49</v>
      </c>
      <c r="H50" s="35" t="s">
        <v>85</v>
      </c>
      <c r="I50" s="35">
        <v>7898969895583</v>
      </c>
      <c r="J50" s="35">
        <v>17898969895580</v>
      </c>
      <c r="K50" s="36">
        <f>VLOOKUP($Q$7,'[1]ST BISCOTTI'!A:B,2,FALSE)</f>
        <v>0.12</v>
      </c>
      <c r="L50" s="37">
        <f>VLOOKUP($Q$7,PREÇOS!$A$2:$L$31,8,FALSE)</f>
        <v>7.85</v>
      </c>
      <c r="M50" s="38">
        <f t="shared" si="17"/>
        <v>94.199999999999989</v>
      </c>
      <c r="N50" s="39">
        <f>IF($K$8="SIM",VLOOKUP($Q$7,'[1]ST BISCOTTI'!$A$1:$J$31,10,FALSE),VLOOKUP($Q$7,'[1]ST BISCOTTI'!$A$1:$J$31,9,FALSE))</f>
        <v>0</v>
      </c>
      <c r="O50" s="40">
        <f t="shared" si="18"/>
        <v>94.199999999999989</v>
      </c>
      <c r="P50" s="41"/>
      <c r="Q50" s="42">
        <f t="shared" si="15"/>
        <v>0</v>
      </c>
      <c r="R50" s="40">
        <f t="shared" si="16"/>
        <v>0</v>
      </c>
    </row>
    <row r="52" spans="1:18" x14ac:dyDescent="0.3">
      <c r="A52" s="49"/>
      <c r="B52" s="154" t="s">
        <v>154</v>
      </c>
      <c r="C52" s="153"/>
      <c r="D52" s="35">
        <v>5610</v>
      </c>
      <c r="E52" s="34" t="s">
        <v>155</v>
      </c>
      <c r="F52" s="34" t="s">
        <v>110</v>
      </c>
      <c r="G52" s="37">
        <v>18.989999999999998</v>
      </c>
      <c r="H52" s="35" t="s">
        <v>83</v>
      </c>
      <c r="I52" s="35">
        <v>7898969895613</v>
      </c>
      <c r="J52" s="35">
        <v>17898969895610</v>
      </c>
      <c r="K52" s="36">
        <f>VLOOKUP($Q$7,'[1]ST PAPAPASTA'!A:B,2,FALSE)</f>
        <v>0.12</v>
      </c>
      <c r="L52" s="37">
        <f>VLOOKUP($Q$7,PREÇOS!$A$2:$T$31,13,FALSE)</f>
        <v>11.2112</v>
      </c>
      <c r="M52" s="38">
        <f>L52*6</f>
        <v>67.267200000000003</v>
      </c>
      <c r="N52" s="39">
        <v>0</v>
      </c>
      <c r="O52" s="40">
        <f>(L52+N52)*6</f>
        <v>67.267200000000003</v>
      </c>
      <c r="P52" s="41"/>
      <c r="Q52" s="42">
        <f t="shared" ref="Q52:Q55" si="19">P52*M52</f>
        <v>0</v>
      </c>
      <c r="R52" s="40">
        <f t="shared" ref="R52:R55" si="20">P52*O52</f>
        <v>0</v>
      </c>
    </row>
    <row r="53" spans="1:18" x14ac:dyDescent="0.3">
      <c r="A53" s="49"/>
      <c r="B53" s="152" t="s">
        <v>156</v>
      </c>
      <c r="C53" s="153"/>
      <c r="D53" s="72">
        <v>5634</v>
      </c>
      <c r="E53" s="73" t="s">
        <v>155</v>
      </c>
      <c r="F53" s="73" t="s">
        <v>110</v>
      </c>
      <c r="G53" s="44">
        <v>18.989999999999998</v>
      </c>
      <c r="H53" s="72" t="s">
        <v>83</v>
      </c>
      <c r="I53" s="72">
        <v>7898969895637</v>
      </c>
      <c r="J53" s="72">
        <v>17898969895634</v>
      </c>
      <c r="K53" s="74">
        <f>VLOOKUP($Q$7,'[1]ST PAPAPASTA'!A:B,2,FALSE)</f>
        <v>0.12</v>
      </c>
      <c r="L53" s="44">
        <f>VLOOKUP($Q$7,PREÇOS!$A$2:$T$31,13,FALSE)</f>
        <v>11.2112</v>
      </c>
      <c r="M53" s="45">
        <f>L53*6</f>
        <v>67.267200000000003</v>
      </c>
      <c r="N53" s="75">
        <v>0</v>
      </c>
      <c r="O53" s="46">
        <f t="shared" ref="O53:O55" si="21">(L53+N53)*6</f>
        <v>67.267200000000003</v>
      </c>
      <c r="P53" s="41"/>
      <c r="Q53" s="47">
        <f t="shared" si="19"/>
        <v>0</v>
      </c>
      <c r="R53" s="46">
        <f t="shared" si="20"/>
        <v>0</v>
      </c>
    </row>
    <row r="54" spans="1:18" x14ac:dyDescent="0.3">
      <c r="A54" s="49"/>
      <c r="B54" s="154" t="s">
        <v>157</v>
      </c>
      <c r="C54" s="153"/>
      <c r="D54" s="35">
        <v>5627</v>
      </c>
      <c r="E54" s="34" t="s">
        <v>155</v>
      </c>
      <c r="F54" s="34" t="s">
        <v>158</v>
      </c>
      <c r="G54" s="37">
        <v>18.989999999999998</v>
      </c>
      <c r="H54" s="35" t="s">
        <v>83</v>
      </c>
      <c r="I54" s="35">
        <v>7898969895620</v>
      </c>
      <c r="J54" s="35">
        <v>17898969895627</v>
      </c>
      <c r="K54" s="36">
        <f>VLOOKUP($Q$7,'[1]ST PAPAPASTA'!A:B,2,FALSE)</f>
        <v>0.12</v>
      </c>
      <c r="L54" s="37">
        <f>VLOOKUP($Q$7,PREÇOS!$A$2:$T$31,13,FALSE)</f>
        <v>11.2112</v>
      </c>
      <c r="M54" s="38">
        <f t="shared" ref="M54:M55" si="22">L54*6</f>
        <v>67.267200000000003</v>
      </c>
      <c r="N54" s="39">
        <v>0</v>
      </c>
      <c r="O54" s="40">
        <f t="shared" si="21"/>
        <v>67.267200000000003</v>
      </c>
      <c r="P54" s="41"/>
      <c r="Q54" s="42">
        <f t="shared" si="19"/>
        <v>0</v>
      </c>
      <c r="R54" s="40">
        <f t="shared" si="20"/>
        <v>0</v>
      </c>
    </row>
    <row r="55" spans="1:18" x14ac:dyDescent="0.3">
      <c r="A55" s="49"/>
      <c r="B55" s="152" t="s">
        <v>159</v>
      </c>
      <c r="C55" s="153"/>
      <c r="D55" s="72">
        <v>5606</v>
      </c>
      <c r="E55" s="73" t="s">
        <v>155</v>
      </c>
      <c r="F55" s="73" t="s">
        <v>158</v>
      </c>
      <c r="G55" s="44">
        <v>18.989999999999998</v>
      </c>
      <c r="H55" s="72" t="s">
        <v>83</v>
      </c>
      <c r="I55" s="72">
        <v>7898969895606</v>
      </c>
      <c r="J55" s="72">
        <v>17898969895603</v>
      </c>
      <c r="K55" s="74">
        <f>VLOOKUP($Q$7,'[1]ST PAPAPASTA'!A:B,2,FALSE)</f>
        <v>0.12</v>
      </c>
      <c r="L55" s="44">
        <f>VLOOKUP($Q$7,PREÇOS!$A$2:$T$31,13,FALSE)</f>
        <v>11.2112</v>
      </c>
      <c r="M55" s="45">
        <f t="shared" si="22"/>
        <v>67.267200000000003</v>
      </c>
      <c r="N55" s="75">
        <v>0</v>
      </c>
      <c r="O55" s="46">
        <f t="shared" si="21"/>
        <v>67.267200000000003</v>
      </c>
      <c r="P55" s="41"/>
      <c r="Q55" s="47">
        <f t="shared" si="19"/>
        <v>0</v>
      </c>
      <c r="R55" s="46">
        <f t="shared" si="20"/>
        <v>0</v>
      </c>
    </row>
    <row r="56" spans="1:18" x14ac:dyDescent="0.3">
      <c r="M56" s="84" t="s">
        <v>90</v>
      </c>
    </row>
    <row r="57" spans="1:18" ht="15" thickBot="1" x14ac:dyDescent="0.35"/>
    <row r="58" spans="1:18" ht="15" thickBot="1" x14ac:dyDescent="0.35">
      <c r="I58" s="155" t="s">
        <v>146</v>
      </c>
      <c r="J58" s="156"/>
      <c r="K58" s="145"/>
      <c r="L58" s="146">
        <v>1000</v>
      </c>
      <c r="O58" s="85" t="s">
        <v>87</v>
      </c>
      <c r="P58" s="86"/>
      <c r="Q58" s="87"/>
      <c r="R58" s="15">
        <f>SUM(Q11:Q55)</f>
        <v>0</v>
      </c>
    </row>
    <row r="59" spans="1:18" ht="15" thickBot="1" x14ac:dyDescent="0.35">
      <c r="I59" s="49"/>
      <c r="J59" s="49"/>
      <c r="K59" s="49"/>
      <c r="L59" s="49"/>
      <c r="P59" s="49"/>
      <c r="Q59" s="88"/>
      <c r="R59" s="16"/>
    </row>
    <row r="60" spans="1:18" ht="15" thickBot="1" x14ac:dyDescent="0.35">
      <c r="O60" s="85" t="s">
        <v>88</v>
      </c>
      <c r="P60" s="86"/>
      <c r="Q60" s="87"/>
      <c r="R60" s="15">
        <f>R62-R58</f>
        <v>0</v>
      </c>
    </row>
    <row r="61" spans="1:18" ht="15" thickBot="1" x14ac:dyDescent="0.35">
      <c r="O61" s="56"/>
      <c r="P61" s="49"/>
      <c r="Q61" s="88"/>
      <c r="R61" s="16"/>
    </row>
    <row r="62" spans="1:18" ht="15" thickBot="1" x14ac:dyDescent="0.35">
      <c r="O62" s="85" t="s">
        <v>89</v>
      </c>
      <c r="P62" s="86"/>
      <c r="Q62" s="87"/>
      <c r="R62" s="15">
        <f>SUM(R11:R55)</f>
        <v>0</v>
      </c>
    </row>
    <row r="63" spans="1:18" x14ac:dyDescent="0.3">
      <c r="N63" s="49"/>
      <c r="O63" s="49"/>
      <c r="P63" s="49"/>
      <c r="Q63" s="49"/>
    </row>
    <row r="65" ht="69.599999999999994" customHeight="1" x14ac:dyDescent="0.3"/>
  </sheetData>
  <sheetProtection sheet="1" objects="1" scenarios="1"/>
  <protectedRanges>
    <protectedRange sqref="P46:P48 P51" name="Intervalo1_3_1"/>
    <protectedRange sqref="P38:P45" name="Intervalo1_4"/>
    <protectedRange sqref="P22" name="Intervalo1"/>
    <protectedRange sqref="P17:P21 P11:P13 P23:P37" name="Intervalo1_3"/>
    <protectedRange sqref="P14:P15" name="Intervalo1_3_2"/>
    <protectedRange sqref="P49:P50" name="Intervalo1_3_1_1"/>
    <protectedRange sqref="P52:P55" name="Intervalo1_3_1_1_1"/>
  </protectedRanges>
  <dataConsolidate/>
  <mergeCells count="38">
    <mergeCell ref="B44:C44"/>
    <mergeCell ref="B34:C34"/>
    <mergeCell ref="B40:C40"/>
    <mergeCell ref="B41:C41"/>
    <mergeCell ref="B42:C42"/>
    <mergeCell ref="B43:C43"/>
    <mergeCell ref="I58:J58"/>
    <mergeCell ref="Q7:R7"/>
    <mergeCell ref="B20:C20"/>
    <mergeCell ref="B21:C21"/>
    <mergeCell ref="B24:C24"/>
    <mergeCell ref="B25:C25"/>
    <mergeCell ref="B22:C22"/>
    <mergeCell ref="B11:C11"/>
    <mergeCell ref="B12:C12"/>
    <mergeCell ref="B48:C48"/>
    <mergeCell ref="B46:C46"/>
    <mergeCell ref="B47:C47"/>
    <mergeCell ref="B17:C17"/>
    <mergeCell ref="B18:C18"/>
    <mergeCell ref="B19:C19"/>
    <mergeCell ref="B26:C26"/>
    <mergeCell ref="B53:C53"/>
    <mergeCell ref="B54:C54"/>
    <mergeCell ref="B55:C55"/>
    <mergeCell ref="B14:C14"/>
    <mergeCell ref="B15:C15"/>
    <mergeCell ref="B49:C49"/>
    <mergeCell ref="B50:C50"/>
    <mergeCell ref="B52:C52"/>
    <mergeCell ref="B38:C38"/>
    <mergeCell ref="B39:C39"/>
    <mergeCell ref="B35:C35"/>
    <mergeCell ref="B36:C36"/>
    <mergeCell ref="B28:C28"/>
    <mergeCell ref="B29:C29"/>
    <mergeCell ref="B31:C31"/>
    <mergeCell ref="B32:C32"/>
  </mergeCells>
  <conditionalFormatting sqref="R58">
    <cfRule type="cellIs" dxfId="2" priority="2" operator="lessThan">
      <formula>$L$58</formula>
    </cfRule>
    <cfRule type="cellIs" dxfId="1" priority="3" operator="lessThan">
      <formula>$L$48</formula>
    </cfRule>
  </conditionalFormatting>
  <conditionalFormatting sqref="R62">
    <cfRule type="cellIs" dxfId="0" priority="1" operator="lessThan">
      <formula>$L$58</formula>
    </cfRule>
  </conditionalFormatting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Q7:R7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66</v>
      </c>
    </row>
    <row r="3" spans="3:3" x14ac:dyDescent="0.3">
      <c r="C3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77734375" bestFit="1" customWidth="1"/>
    <col min="7" max="7" width="21.77734375" bestFit="1" customWidth="1"/>
    <col min="8" max="8" width="10.21875" bestFit="1" customWidth="1"/>
    <col min="9" max="9" width="12.77734375" bestFit="1" customWidth="1"/>
    <col min="10" max="10" width="13.777343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25">
        <v>0.04</v>
      </c>
      <c r="C2" s="125">
        <v>0.04</v>
      </c>
      <c r="D2" s="126"/>
      <c r="E2" s="126"/>
      <c r="F2" s="126"/>
      <c r="G2" s="126"/>
      <c r="H2" s="4">
        <f>PREÇOS!D3</f>
        <v>10.01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7" t="s">
        <v>37</v>
      </c>
      <c r="B3" s="128">
        <v>0.04</v>
      </c>
      <c r="C3" s="128">
        <v>0.2</v>
      </c>
      <c r="D3" s="94">
        <v>0.3</v>
      </c>
      <c r="E3" s="94"/>
      <c r="F3" s="94">
        <v>0.56000000000000005</v>
      </c>
      <c r="G3" s="94"/>
      <c r="H3" s="4">
        <f>PREÇOS!D4</f>
        <v>10.01</v>
      </c>
      <c r="I3" s="4">
        <f>IF(F3=0,,H3*(1+F3)*C3-(H3*B3))</f>
        <v>2.7227200000000003</v>
      </c>
      <c r="J3" s="4">
        <f t="shared" ref="J3:J26" si="0">IF(G3=0,IF(F3=0,,H3*(1+F3)*C3-(H3*B3)),H3*(1+G3)*C3-(H3*B3))</f>
        <v>2.7227200000000003</v>
      </c>
    </row>
    <row r="4" spans="1:10" x14ac:dyDescent="0.3">
      <c r="A4" s="124" t="s">
        <v>38</v>
      </c>
      <c r="B4" s="125">
        <v>0.04</v>
      </c>
      <c r="C4" s="125">
        <v>0.04</v>
      </c>
      <c r="D4" s="126"/>
      <c r="E4" s="126"/>
      <c r="F4" s="126"/>
      <c r="G4" s="126"/>
      <c r="H4" s="4">
        <f>PREÇOS!D5</f>
        <v>10.01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4" t="s">
        <v>39</v>
      </c>
      <c r="B5" s="125">
        <v>0.04</v>
      </c>
      <c r="C5" s="125">
        <v>0.18</v>
      </c>
      <c r="D5" s="126">
        <v>0.34</v>
      </c>
      <c r="E5" s="126"/>
      <c r="F5" s="126">
        <v>0.56879999999999997</v>
      </c>
      <c r="G5" s="126"/>
      <c r="H5" s="4">
        <f>PREÇOS!D6</f>
        <v>10.01</v>
      </c>
      <c r="I5" s="4">
        <f t="shared" si="1"/>
        <v>2.4262638399999998</v>
      </c>
      <c r="J5" s="4">
        <f t="shared" si="0"/>
        <v>2.4262638399999998</v>
      </c>
    </row>
    <row r="6" spans="1:10" x14ac:dyDescent="0.3">
      <c r="A6" s="124" t="s">
        <v>40</v>
      </c>
      <c r="B6" s="125">
        <v>0.04</v>
      </c>
      <c r="C6" s="125">
        <v>0.04</v>
      </c>
      <c r="D6" s="126"/>
      <c r="E6" s="126"/>
      <c r="F6" s="126"/>
      <c r="G6" s="126"/>
      <c r="H6" s="4">
        <f>PREÇOS!D7</f>
        <v>10.01</v>
      </c>
      <c r="I6" s="4">
        <f t="shared" si="1"/>
        <v>0</v>
      </c>
      <c r="J6" s="4">
        <f t="shared" si="0"/>
        <v>0</v>
      </c>
    </row>
    <row r="7" spans="1:10" x14ac:dyDescent="0.3">
      <c r="A7" s="124" t="s">
        <v>41</v>
      </c>
      <c r="B7" s="125">
        <v>0.04</v>
      </c>
      <c r="C7" s="125">
        <v>0.04</v>
      </c>
      <c r="D7" s="126"/>
      <c r="E7" s="126"/>
      <c r="F7" s="126"/>
      <c r="G7" s="126"/>
      <c r="H7" s="4">
        <f>PREÇOS!D8</f>
        <v>10.01</v>
      </c>
      <c r="I7" s="4">
        <f t="shared" si="1"/>
        <v>0</v>
      </c>
      <c r="J7" s="4">
        <f t="shared" si="0"/>
        <v>0</v>
      </c>
    </row>
    <row r="8" spans="1:10" x14ac:dyDescent="0.3">
      <c r="A8" s="124" t="s">
        <v>42</v>
      </c>
      <c r="B8" s="125">
        <v>0.04</v>
      </c>
      <c r="C8" s="125">
        <v>0.04</v>
      </c>
      <c r="D8" s="126"/>
      <c r="E8" s="126"/>
      <c r="F8" s="126"/>
      <c r="G8" s="126"/>
      <c r="H8" s="4">
        <f>PREÇOS!D9</f>
        <v>10.01</v>
      </c>
      <c r="I8" s="4">
        <f t="shared" si="1"/>
        <v>0</v>
      </c>
      <c r="J8" s="4">
        <f t="shared" si="0"/>
        <v>0</v>
      </c>
    </row>
    <row r="9" spans="1:10" x14ac:dyDescent="0.3">
      <c r="A9" s="124" t="s">
        <v>43</v>
      </c>
      <c r="B9" s="125">
        <v>0.04</v>
      </c>
      <c r="C9" s="125">
        <v>0.04</v>
      </c>
      <c r="D9" s="126"/>
      <c r="E9" s="126"/>
      <c r="F9" s="126"/>
      <c r="G9" s="126"/>
      <c r="H9" s="4">
        <f>PREÇOS!D10</f>
        <v>10.01</v>
      </c>
      <c r="I9" s="4">
        <f t="shared" si="1"/>
        <v>0</v>
      </c>
      <c r="J9" s="4">
        <f t="shared" si="0"/>
        <v>0</v>
      </c>
    </row>
    <row r="10" spans="1:10" x14ac:dyDescent="0.3">
      <c r="A10" s="124" t="s">
        <v>44</v>
      </c>
      <c r="B10" s="125">
        <v>0.04</v>
      </c>
      <c r="C10" s="125">
        <v>0.04</v>
      </c>
      <c r="D10" s="126"/>
      <c r="E10" s="126"/>
      <c r="F10" s="126"/>
      <c r="G10" s="126"/>
      <c r="H10" s="4">
        <f>PREÇOS!D11</f>
        <v>10.01</v>
      </c>
      <c r="I10" s="4">
        <f t="shared" si="1"/>
        <v>0</v>
      </c>
      <c r="J10" s="4">
        <f t="shared" si="0"/>
        <v>0</v>
      </c>
    </row>
    <row r="11" spans="1:10" x14ac:dyDescent="0.3">
      <c r="A11" s="124" t="s">
        <v>45</v>
      </c>
      <c r="B11" s="125">
        <v>0.04</v>
      </c>
      <c r="C11" s="125">
        <v>0.04</v>
      </c>
      <c r="D11" s="126"/>
      <c r="E11" s="126"/>
      <c r="F11" s="126"/>
      <c r="G11" s="126"/>
      <c r="H11" s="4">
        <f>PREÇOS!D12</f>
        <v>10.01</v>
      </c>
      <c r="I11" s="4">
        <f t="shared" si="1"/>
        <v>0</v>
      </c>
      <c r="J11" s="4">
        <f t="shared" si="0"/>
        <v>0</v>
      </c>
    </row>
    <row r="12" spans="1:10" x14ac:dyDescent="0.3">
      <c r="A12" s="127" t="s">
        <v>46</v>
      </c>
      <c r="B12" s="128">
        <v>0.04</v>
      </c>
      <c r="C12" s="128">
        <v>0.18</v>
      </c>
      <c r="D12" s="94">
        <v>0.25</v>
      </c>
      <c r="E12" s="94"/>
      <c r="F12" s="94">
        <v>0.36359999999999998</v>
      </c>
      <c r="G12" s="94"/>
      <c r="H12" s="4">
        <f>PREÇOS!D13</f>
        <v>10.01</v>
      </c>
      <c r="I12" s="4">
        <f>IF(F12=0,,H12*(1+F12)*C12-(H12*B12))</f>
        <v>2.0565344799999998</v>
      </c>
      <c r="J12" s="4">
        <f t="shared" si="0"/>
        <v>2.0565344799999998</v>
      </c>
    </row>
    <row r="13" spans="1:10" x14ac:dyDescent="0.3">
      <c r="A13" s="124" t="s">
        <v>47</v>
      </c>
      <c r="B13" s="125">
        <v>0.04</v>
      </c>
      <c r="C13" s="125">
        <v>0.04</v>
      </c>
      <c r="D13" s="126"/>
      <c r="E13" s="126"/>
      <c r="F13" s="126"/>
      <c r="G13" s="126"/>
      <c r="H13" s="4">
        <f>PREÇOS!D14</f>
        <v>10.01</v>
      </c>
      <c r="I13" s="4">
        <f t="shared" si="1"/>
        <v>0</v>
      </c>
      <c r="J13" s="4">
        <f t="shared" si="0"/>
        <v>0</v>
      </c>
    </row>
    <row r="14" spans="1:10" x14ac:dyDescent="0.3">
      <c r="A14" s="127" t="s">
        <v>48</v>
      </c>
      <c r="B14" s="128">
        <v>0.04</v>
      </c>
      <c r="C14" s="128">
        <v>0.04</v>
      </c>
      <c r="D14" s="94"/>
      <c r="E14" s="94"/>
      <c r="F14" s="94"/>
      <c r="G14" s="94"/>
      <c r="H14" s="4">
        <f>PREÇOS!D15</f>
        <v>10.01</v>
      </c>
      <c r="I14" s="4">
        <f t="shared" si="1"/>
        <v>0</v>
      </c>
      <c r="J14" s="4">
        <f t="shared" si="0"/>
        <v>0</v>
      </c>
    </row>
    <row r="15" spans="1:10" x14ac:dyDescent="0.3">
      <c r="A15" s="129" t="s">
        <v>49</v>
      </c>
      <c r="B15" s="130">
        <v>0.04</v>
      </c>
      <c r="C15" s="130">
        <v>0.04</v>
      </c>
      <c r="D15" s="131"/>
      <c r="E15" s="131"/>
      <c r="F15" s="131"/>
      <c r="G15" s="131"/>
      <c r="H15" s="4">
        <f>PREÇOS!D16</f>
        <v>10.01</v>
      </c>
      <c r="I15" s="4">
        <f t="shared" si="1"/>
        <v>0</v>
      </c>
      <c r="J15" s="4">
        <f t="shared" si="0"/>
        <v>0</v>
      </c>
    </row>
    <row r="16" spans="1:10" x14ac:dyDescent="0.3">
      <c r="A16" s="129" t="s">
        <v>50</v>
      </c>
      <c r="B16" s="130">
        <v>0.04</v>
      </c>
      <c r="C16" s="130">
        <v>0.04</v>
      </c>
      <c r="D16" s="131"/>
      <c r="E16" s="131"/>
      <c r="F16" s="131"/>
      <c r="G16" s="131"/>
      <c r="H16" s="4">
        <f>PREÇOS!D17</f>
        <v>10.01</v>
      </c>
      <c r="I16" s="4">
        <f t="shared" si="1"/>
        <v>0</v>
      </c>
      <c r="J16" s="4">
        <f t="shared" si="0"/>
        <v>0</v>
      </c>
    </row>
    <row r="17" spans="1:16" x14ac:dyDescent="0.3">
      <c r="A17" s="129" t="s">
        <v>51</v>
      </c>
      <c r="B17" s="130">
        <v>0.04</v>
      </c>
      <c r="C17" s="130">
        <v>0.04</v>
      </c>
      <c r="D17" s="131"/>
      <c r="E17" s="131"/>
      <c r="F17" s="131"/>
      <c r="G17" s="131"/>
      <c r="H17" s="4">
        <f>PREÇOS!D18</f>
        <v>10.01</v>
      </c>
      <c r="I17" s="4">
        <f t="shared" si="1"/>
        <v>0</v>
      </c>
      <c r="J17" s="4">
        <f t="shared" si="0"/>
        <v>0</v>
      </c>
    </row>
    <row r="18" spans="1:16" x14ac:dyDescent="0.3">
      <c r="A18" s="129" t="s">
        <v>52</v>
      </c>
      <c r="B18" s="130">
        <v>0.04</v>
      </c>
      <c r="C18" s="130">
        <v>0.04</v>
      </c>
      <c r="D18" s="131"/>
      <c r="E18" s="131"/>
      <c r="F18" s="131"/>
      <c r="G18" s="131"/>
      <c r="H18" s="4">
        <f>PREÇOS!D19</f>
        <v>10.01</v>
      </c>
      <c r="I18" s="4">
        <f t="shared" si="1"/>
        <v>0</v>
      </c>
      <c r="J18" s="4">
        <f t="shared" si="0"/>
        <v>0</v>
      </c>
    </row>
    <row r="19" spans="1:16" x14ac:dyDescent="0.3">
      <c r="A19" s="129" t="s">
        <v>33</v>
      </c>
      <c r="B19" s="130">
        <v>0.12</v>
      </c>
      <c r="C19" s="130">
        <v>0.12</v>
      </c>
      <c r="D19" s="131"/>
      <c r="E19" s="131"/>
      <c r="F19" s="131"/>
      <c r="G19" s="131"/>
      <c r="H19" s="4">
        <f>PREÇOS!D20</f>
        <v>10.98</v>
      </c>
      <c r="I19" s="4">
        <f t="shared" si="1"/>
        <v>0</v>
      </c>
      <c r="J19" s="4">
        <f t="shared" si="0"/>
        <v>0</v>
      </c>
    </row>
    <row r="20" spans="1:16" x14ac:dyDescent="0.3">
      <c r="A20" s="127" t="s">
        <v>53</v>
      </c>
      <c r="B20" s="128">
        <v>0.04</v>
      </c>
      <c r="C20" s="128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10.01</v>
      </c>
      <c r="I20" s="4">
        <f>IF(F20=0,,H20*(1+F20)*C20-(H20*B20))</f>
        <v>3.2640608000000002</v>
      </c>
      <c r="J20" s="4">
        <f t="shared" si="0"/>
        <v>3.2640608000000002</v>
      </c>
    </row>
    <row r="21" spans="1:16" x14ac:dyDescent="0.3">
      <c r="A21" s="124" t="s">
        <v>54</v>
      </c>
      <c r="B21" s="125">
        <v>0.04</v>
      </c>
      <c r="C21" s="125">
        <v>0.04</v>
      </c>
      <c r="D21" s="126"/>
      <c r="E21" s="126"/>
      <c r="F21" s="126"/>
      <c r="G21" s="126"/>
      <c r="H21" s="4">
        <f>PREÇOS!D22</f>
        <v>10.01</v>
      </c>
      <c r="I21" s="4">
        <f t="shared" si="1"/>
        <v>0</v>
      </c>
      <c r="J21" s="4">
        <f t="shared" si="0"/>
        <v>0</v>
      </c>
    </row>
    <row r="22" spans="1:16" x14ac:dyDescent="0.3">
      <c r="A22" s="124" t="s">
        <v>55</v>
      </c>
      <c r="B22" s="125">
        <v>0.04</v>
      </c>
      <c r="C22" s="125">
        <v>0.04</v>
      </c>
      <c r="D22" s="126"/>
      <c r="E22" s="126"/>
      <c r="F22" s="126"/>
      <c r="G22" s="126"/>
      <c r="H22" s="4">
        <f>PREÇOS!D23</f>
        <v>10.01</v>
      </c>
      <c r="I22" s="4">
        <f t="shared" si="1"/>
        <v>0</v>
      </c>
      <c r="J22" s="4">
        <f t="shared" si="0"/>
        <v>0</v>
      </c>
    </row>
    <row r="23" spans="1:16" x14ac:dyDescent="0.3">
      <c r="A23" s="124" t="s">
        <v>56</v>
      </c>
      <c r="B23" s="125">
        <v>0.04</v>
      </c>
      <c r="C23" s="125">
        <v>0.04</v>
      </c>
      <c r="D23" s="126"/>
      <c r="E23" s="126"/>
      <c r="F23" s="126"/>
      <c r="G23" s="126"/>
      <c r="H23" s="4">
        <f>PREÇOS!D24</f>
        <v>10.01</v>
      </c>
      <c r="I23" s="4">
        <f t="shared" si="1"/>
        <v>0</v>
      </c>
      <c r="J23" s="4">
        <f t="shared" si="0"/>
        <v>0</v>
      </c>
    </row>
    <row r="24" spans="1:16" x14ac:dyDescent="0.3">
      <c r="A24" s="124" t="s">
        <v>57</v>
      </c>
      <c r="B24" s="125">
        <v>0.04</v>
      </c>
      <c r="C24" s="125">
        <v>0.04</v>
      </c>
      <c r="D24" s="126"/>
      <c r="E24" s="126"/>
      <c r="F24" s="126"/>
      <c r="G24" s="126"/>
      <c r="H24" s="4">
        <f>PREÇOS!D25</f>
        <v>10.01</v>
      </c>
      <c r="I24" s="4">
        <f t="shared" si="1"/>
        <v>0</v>
      </c>
      <c r="J24" s="4">
        <f t="shared" si="0"/>
        <v>0</v>
      </c>
    </row>
    <row r="25" spans="1:16" x14ac:dyDescent="0.3">
      <c r="A25" s="124" t="s">
        <v>58</v>
      </c>
      <c r="B25" s="125">
        <v>0.04</v>
      </c>
      <c r="C25" s="125">
        <v>0.04</v>
      </c>
      <c r="D25" s="126"/>
      <c r="E25" s="126"/>
      <c r="F25" s="126"/>
      <c r="G25" s="126"/>
      <c r="H25" s="4">
        <f>PREÇOS!D26</f>
        <v>10.01</v>
      </c>
      <c r="I25" s="4">
        <f t="shared" si="1"/>
        <v>0</v>
      </c>
      <c r="J25" s="4">
        <f t="shared" si="0"/>
        <v>0</v>
      </c>
    </row>
    <row r="26" spans="1:16" x14ac:dyDescent="0.3">
      <c r="A26" s="124" t="s">
        <v>59</v>
      </c>
      <c r="B26" s="125">
        <v>0.04</v>
      </c>
      <c r="C26" s="125">
        <v>0.04</v>
      </c>
      <c r="D26" s="126"/>
      <c r="E26" s="126"/>
      <c r="F26" s="126"/>
      <c r="G26" s="126"/>
      <c r="H26" s="4">
        <f>PREÇOS!D27</f>
        <v>10.01</v>
      </c>
      <c r="I26" s="4">
        <f t="shared" si="1"/>
        <v>0</v>
      </c>
      <c r="J26" s="4">
        <f t="shared" si="0"/>
        <v>0</v>
      </c>
    </row>
    <row r="27" spans="1:16" x14ac:dyDescent="0.3">
      <c r="A27" s="124" t="s">
        <v>34</v>
      </c>
      <c r="B27" s="125">
        <v>0.04</v>
      </c>
      <c r="C27" s="125">
        <v>0.18</v>
      </c>
      <c r="D27" s="126">
        <v>0.48320000000000002</v>
      </c>
      <c r="E27" s="126"/>
      <c r="F27" s="126">
        <v>0.61799999999999999</v>
      </c>
      <c r="G27" s="126"/>
      <c r="H27" s="4">
        <f>PREÇOS!D28</f>
        <v>10.01</v>
      </c>
      <c r="I27" s="4">
        <f t="shared" ref="I27:I30" si="2">IF(F27=0,,H27*(1+F27)*C27-(H27*B27))</f>
        <v>2.5149123999999996</v>
      </c>
      <c r="J27" s="4">
        <f t="shared" ref="J27:J30" si="3">IF(G27=0,IF(F27=0,,H27*(1+F27)*C27-(H27*B27)),H27*(1+G27)*C27-(H27*B27))</f>
        <v>2.5149123999999996</v>
      </c>
      <c r="L27" s="6"/>
      <c r="N27" s="6"/>
      <c r="P27" s="6"/>
    </row>
    <row r="28" spans="1:16" x14ac:dyDescent="0.3">
      <c r="A28" s="127" t="s">
        <v>130</v>
      </c>
      <c r="B28" s="128">
        <f>B27</f>
        <v>0.04</v>
      </c>
      <c r="C28" s="128">
        <f t="shared" ref="C28:G28" si="4">C27</f>
        <v>0.18</v>
      </c>
      <c r="D28" s="94">
        <f t="shared" si="4"/>
        <v>0.48320000000000002</v>
      </c>
      <c r="E28" s="128">
        <f t="shared" si="4"/>
        <v>0</v>
      </c>
      <c r="F28" s="94">
        <f t="shared" si="4"/>
        <v>0.61799999999999999</v>
      </c>
      <c r="G28" s="128">
        <f t="shared" si="4"/>
        <v>0</v>
      </c>
      <c r="H28" s="121">
        <f>PREÇOS!D29</f>
        <v>10.01</v>
      </c>
      <c r="I28" s="121">
        <f t="shared" si="2"/>
        <v>2.5149123999999996</v>
      </c>
      <c r="J28" s="121">
        <f t="shared" si="3"/>
        <v>2.5149123999999996</v>
      </c>
      <c r="L28" s="6"/>
      <c r="N28" s="6"/>
      <c r="P28" s="6"/>
    </row>
    <row r="29" spans="1:16" x14ac:dyDescent="0.3">
      <c r="A29" s="124" t="s">
        <v>60</v>
      </c>
      <c r="B29" s="125">
        <v>0.04</v>
      </c>
      <c r="C29" s="125">
        <v>0.04</v>
      </c>
      <c r="D29" s="126"/>
      <c r="E29" s="126"/>
      <c r="F29" s="126"/>
      <c r="G29" s="126"/>
      <c r="H29" s="4">
        <f>PREÇOS!D30</f>
        <v>10.01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112</v>
      </c>
      <c r="H30" s="4">
        <f>PREÇOS!D31</f>
        <v>0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77734375" bestFit="1" customWidth="1"/>
    <col min="4" max="4" width="16" bestFit="1" customWidth="1"/>
    <col min="5" max="5" width="17" bestFit="1" customWidth="1"/>
    <col min="6" max="6" width="20.77734375" bestFit="1" customWidth="1"/>
    <col min="7" max="7" width="21.77734375" bestFit="1" customWidth="1"/>
    <col min="8" max="8" width="10.77734375" customWidth="1"/>
    <col min="9" max="9" width="12.77734375" bestFit="1" customWidth="1"/>
    <col min="10" max="10" width="13.77734375" style="4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32">
        <v>7.0000000000000007E-2</v>
      </c>
      <c r="C2" s="132">
        <v>7.0000000000000007E-2</v>
      </c>
      <c r="D2" s="126"/>
      <c r="E2" s="126"/>
      <c r="F2" s="126"/>
      <c r="G2" s="126"/>
      <c r="H2" s="7">
        <f>PREÇOS!E3</f>
        <v>7.4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4" t="s">
        <v>37</v>
      </c>
      <c r="B3" s="132">
        <v>7.0000000000000007E-2</v>
      </c>
      <c r="C3" s="132">
        <v>0.19</v>
      </c>
      <c r="D3" s="126">
        <v>0.2</v>
      </c>
      <c r="E3" s="126"/>
      <c r="F3" s="126">
        <v>0.36099999999999999</v>
      </c>
      <c r="G3" s="126"/>
      <c r="H3" s="7">
        <f>PREÇOS!E4</f>
        <v>7.4</v>
      </c>
      <c r="I3" s="4">
        <f t="shared" si="0"/>
        <v>1.3955660000000001</v>
      </c>
      <c r="J3" s="4">
        <f t="shared" si="1"/>
        <v>1.3955660000000001</v>
      </c>
    </row>
    <row r="4" spans="1:10" x14ac:dyDescent="0.3">
      <c r="A4" s="124" t="s">
        <v>38</v>
      </c>
      <c r="B4" s="132">
        <v>7.0000000000000007E-2</v>
      </c>
      <c r="C4" s="132">
        <v>7.0000000000000007E-2</v>
      </c>
      <c r="D4" s="126"/>
      <c r="E4" s="126"/>
      <c r="F4" s="126"/>
      <c r="G4" s="126"/>
      <c r="H4" s="7">
        <f>PREÇOS!E5</f>
        <v>7.4</v>
      </c>
      <c r="I4" s="4">
        <f t="shared" si="0"/>
        <v>0</v>
      </c>
      <c r="J4" s="4">
        <f t="shared" si="1"/>
        <v>0</v>
      </c>
    </row>
    <row r="5" spans="1:10" x14ac:dyDescent="0.3">
      <c r="A5" s="124" t="s">
        <v>39</v>
      </c>
      <c r="B5" s="132">
        <v>7.0000000000000007E-2</v>
      </c>
      <c r="C5" s="132">
        <v>0.18</v>
      </c>
      <c r="D5" s="126">
        <v>0.38</v>
      </c>
      <c r="E5" s="126"/>
      <c r="F5" s="126">
        <v>0.56510000000000005</v>
      </c>
      <c r="G5" s="126"/>
      <c r="H5" s="7">
        <f>PREÇOS!E6</f>
        <v>7.4</v>
      </c>
      <c r="I5" s="4">
        <f t="shared" si="0"/>
        <v>1.5667132000000001</v>
      </c>
      <c r="J5" s="4">
        <f t="shared" si="1"/>
        <v>1.5667132000000001</v>
      </c>
    </row>
    <row r="6" spans="1:10" x14ac:dyDescent="0.3">
      <c r="A6" s="124" t="s">
        <v>40</v>
      </c>
      <c r="B6" s="132">
        <v>7.0000000000000007E-2</v>
      </c>
      <c r="C6" s="132">
        <v>7.0000000000000007E-2</v>
      </c>
      <c r="D6" s="126"/>
      <c r="E6" s="126"/>
      <c r="F6" s="126"/>
      <c r="G6" s="126"/>
      <c r="H6" s="7">
        <f>PREÇOS!E7</f>
        <v>7.4</v>
      </c>
      <c r="I6" s="4">
        <f t="shared" si="0"/>
        <v>0</v>
      </c>
      <c r="J6" s="4">
        <f t="shared" si="1"/>
        <v>0</v>
      </c>
    </row>
    <row r="7" spans="1:10" x14ac:dyDescent="0.3">
      <c r="A7" s="124" t="s">
        <v>41</v>
      </c>
      <c r="B7" s="132">
        <v>7.0000000000000007E-2</v>
      </c>
      <c r="C7" s="132">
        <v>7.0000000000000007E-2</v>
      </c>
      <c r="D7" s="126"/>
      <c r="E7" s="126"/>
      <c r="F7" s="126"/>
      <c r="G7" s="126"/>
      <c r="H7" s="7">
        <f>PREÇOS!E8</f>
        <v>7.4</v>
      </c>
      <c r="I7" s="4">
        <f t="shared" si="0"/>
        <v>0</v>
      </c>
      <c r="J7" s="4">
        <f t="shared" si="1"/>
        <v>0</v>
      </c>
    </row>
    <row r="8" spans="1:10" x14ac:dyDescent="0.3">
      <c r="A8" s="124" t="s">
        <v>42</v>
      </c>
      <c r="B8" s="132">
        <v>7.0000000000000007E-2</v>
      </c>
      <c r="C8" s="132">
        <v>7.0000000000000007E-2</v>
      </c>
      <c r="D8" s="126"/>
      <c r="E8" s="126"/>
      <c r="F8" s="126"/>
      <c r="G8" s="126"/>
      <c r="H8" s="7">
        <f>PREÇOS!E9</f>
        <v>7.4</v>
      </c>
      <c r="I8" s="4">
        <f t="shared" si="0"/>
        <v>0</v>
      </c>
      <c r="J8" s="4">
        <f t="shared" si="1"/>
        <v>0</v>
      </c>
    </row>
    <row r="9" spans="1:10" x14ac:dyDescent="0.3">
      <c r="A9" s="124" t="s">
        <v>43</v>
      </c>
      <c r="B9" s="132">
        <v>7.0000000000000007E-2</v>
      </c>
      <c r="C9" s="125">
        <v>7.0000000000000007E-2</v>
      </c>
      <c r="D9" s="126"/>
      <c r="E9" s="126"/>
      <c r="F9" s="126"/>
      <c r="G9" s="126"/>
      <c r="H9" s="7">
        <f>PREÇOS!E10</f>
        <v>7.4</v>
      </c>
      <c r="I9" s="4">
        <f t="shared" si="0"/>
        <v>0</v>
      </c>
      <c r="J9" s="4">
        <f t="shared" si="1"/>
        <v>0</v>
      </c>
    </row>
    <row r="10" spans="1:10" x14ac:dyDescent="0.3">
      <c r="A10" s="124" t="s">
        <v>44</v>
      </c>
      <c r="B10" s="132">
        <v>7.0000000000000007E-2</v>
      </c>
      <c r="C10" s="125">
        <v>7.0000000000000007E-2</v>
      </c>
      <c r="D10" s="126"/>
      <c r="E10" s="126"/>
      <c r="F10" s="126"/>
      <c r="G10" s="126"/>
      <c r="H10" s="7">
        <f>PREÇOS!E11</f>
        <v>7.4</v>
      </c>
      <c r="I10" s="4">
        <f t="shared" si="0"/>
        <v>0</v>
      </c>
      <c r="J10" s="4">
        <f t="shared" si="1"/>
        <v>0</v>
      </c>
    </row>
    <row r="11" spans="1:10" x14ac:dyDescent="0.3">
      <c r="A11" s="124" t="s">
        <v>45</v>
      </c>
      <c r="B11" s="132">
        <v>7.0000000000000007E-2</v>
      </c>
      <c r="C11" s="125">
        <v>7.0000000000000007E-2</v>
      </c>
      <c r="D11" s="126"/>
      <c r="E11" s="126"/>
      <c r="F11" s="126"/>
      <c r="G11" s="126"/>
      <c r="H11" s="7">
        <f>PREÇOS!E12</f>
        <v>7.4</v>
      </c>
      <c r="I11" s="4">
        <f t="shared" si="0"/>
        <v>0</v>
      </c>
      <c r="J11" s="4">
        <f t="shared" si="1"/>
        <v>0</v>
      </c>
    </row>
    <row r="12" spans="1:10" x14ac:dyDescent="0.3">
      <c r="A12" s="124" t="s">
        <v>46</v>
      </c>
      <c r="B12" s="132">
        <v>0.12</v>
      </c>
      <c r="C12" s="125">
        <v>0.18</v>
      </c>
      <c r="D12" s="126">
        <v>0.35</v>
      </c>
      <c r="E12" s="126"/>
      <c r="F12" s="126">
        <v>0.35</v>
      </c>
      <c r="G12" s="126"/>
      <c r="H12" s="7">
        <f>PREÇOS!E13</f>
        <v>7.9</v>
      </c>
      <c r="I12" s="4">
        <f t="shared" si="0"/>
        <v>0.97170000000000023</v>
      </c>
      <c r="J12" s="4">
        <f t="shared" si="1"/>
        <v>0.97170000000000023</v>
      </c>
    </row>
    <row r="13" spans="1:10" x14ac:dyDescent="0.3">
      <c r="A13" s="124" t="s">
        <v>47</v>
      </c>
      <c r="B13" s="132">
        <v>7.0000000000000007E-2</v>
      </c>
      <c r="C13" s="125">
        <v>7.0000000000000007E-2</v>
      </c>
      <c r="D13" s="126"/>
      <c r="E13" s="126"/>
      <c r="F13" s="126"/>
      <c r="G13" s="126"/>
      <c r="H13" s="7">
        <f>PREÇOS!E14</f>
        <v>7.4</v>
      </c>
      <c r="I13" s="4">
        <f t="shared" si="0"/>
        <v>0</v>
      </c>
      <c r="J13" s="4">
        <f t="shared" si="1"/>
        <v>0</v>
      </c>
    </row>
    <row r="14" spans="1:10" x14ac:dyDescent="0.3">
      <c r="A14" s="124" t="s">
        <v>48</v>
      </c>
      <c r="B14" s="132">
        <v>7.0000000000000007E-2</v>
      </c>
      <c r="C14" s="125">
        <v>0.17</v>
      </c>
      <c r="D14" s="126">
        <v>0.35449999999999998</v>
      </c>
      <c r="E14" s="126"/>
      <c r="F14" s="126">
        <v>0.35449999999999998</v>
      </c>
      <c r="G14" s="126"/>
      <c r="H14" s="7">
        <f>PREÇOS!E15</f>
        <v>7.4</v>
      </c>
      <c r="I14" s="4">
        <f t="shared" si="0"/>
        <v>1.1859610000000003</v>
      </c>
      <c r="J14" s="4">
        <f t="shared" si="1"/>
        <v>1.1859610000000003</v>
      </c>
    </row>
    <row r="15" spans="1:10" x14ac:dyDescent="0.3">
      <c r="A15" s="124" t="s">
        <v>49</v>
      </c>
      <c r="B15" s="132">
        <v>7.0000000000000007E-2</v>
      </c>
      <c r="C15" s="125">
        <v>7.0000000000000007E-2</v>
      </c>
      <c r="D15" s="126"/>
      <c r="E15" s="126"/>
      <c r="F15" s="126"/>
      <c r="G15" s="126"/>
      <c r="H15" s="7">
        <f>PREÇOS!E16</f>
        <v>7.4</v>
      </c>
      <c r="I15" s="4">
        <f t="shared" si="0"/>
        <v>0</v>
      </c>
      <c r="J15" s="4">
        <f t="shared" si="1"/>
        <v>0</v>
      </c>
    </row>
    <row r="16" spans="1:10" x14ac:dyDescent="0.3">
      <c r="A16" s="124" t="s">
        <v>50</v>
      </c>
      <c r="B16" s="132">
        <v>7.0000000000000007E-2</v>
      </c>
      <c r="C16" s="125">
        <v>7.0000000000000007E-2</v>
      </c>
      <c r="D16" s="126"/>
      <c r="E16" s="126"/>
      <c r="F16" s="126"/>
      <c r="G16" s="126"/>
      <c r="H16" s="7">
        <f>PREÇOS!E17</f>
        <v>7.4</v>
      </c>
      <c r="I16" s="4">
        <f t="shared" si="0"/>
        <v>0</v>
      </c>
      <c r="J16" s="4">
        <f t="shared" si="1"/>
        <v>0</v>
      </c>
    </row>
    <row r="17" spans="1:10" x14ac:dyDescent="0.3">
      <c r="A17" s="124" t="s">
        <v>51</v>
      </c>
      <c r="B17" s="132">
        <v>7.0000000000000007E-2</v>
      </c>
      <c r="C17" s="125">
        <v>7.0000000000000007E-2</v>
      </c>
      <c r="D17" s="126"/>
      <c r="E17" s="126"/>
      <c r="F17" s="126"/>
      <c r="G17" s="126"/>
      <c r="H17" s="7">
        <f>PREÇOS!E18</f>
        <v>7.4</v>
      </c>
      <c r="I17" s="4">
        <f t="shared" si="0"/>
        <v>0</v>
      </c>
      <c r="J17" s="4">
        <f t="shared" si="1"/>
        <v>0</v>
      </c>
    </row>
    <row r="18" spans="1:10" x14ac:dyDescent="0.3">
      <c r="A18" s="124" t="s">
        <v>52</v>
      </c>
      <c r="B18" s="132">
        <v>7.0000000000000007E-2</v>
      </c>
      <c r="C18" s="125">
        <v>7.0000000000000007E-2</v>
      </c>
      <c r="D18" s="126"/>
      <c r="E18" s="126"/>
      <c r="F18" s="126"/>
      <c r="G18" s="126"/>
      <c r="H18" s="7">
        <f>PREÇOS!E19</f>
        <v>7.4</v>
      </c>
      <c r="I18" s="4">
        <f t="shared" si="0"/>
        <v>0</v>
      </c>
      <c r="J18" s="4">
        <f t="shared" si="1"/>
        <v>0</v>
      </c>
    </row>
    <row r="19" spans="1:10" x14ac:dyDescent="0.3">
      <c r="A19" s="124" t="s">
        <v>33</v>
      </c>
      <c r="B19" s="132">
        <v>0.12</v>
      </c>
      <c r="C19" s="125">
        <v>0.12</v>
      </c>
      <c r="D19" s="126"/>
      <c r="E19" s="126"/>
      <c r="F19" s="126"/>
      <c r="G19" s="126"/>
      <c r="H19" s="7">
        <f>PREÇOS!E20</f>
        <v>7.9</v>
      </c>
      <c r="I19" s="4">
        <f t="shared" si="0"/>
        <v>0</v>
      </c>
      <c r="J19" s="4">
        <f t="shared" si="1"/>
        <v>0</v>
      </c>
    </row>
    <row r="20" spans="1:10" x14ac:dyDescent="0.3">
      <c r="A20" s="124" t="s">
        <v>53</v>
      </c>
      <c r="B20" s="132">
        <v>0.12</v>
      </c>
      <c r="C20" s="125">
        <v>0.12</v>
      </c>
      <c r="D20" s="126"/>
      <c r="E20" s="126"/>
      <c r="F20" s="126"/>
      <c r="G20" s="126"/>
      <c r="H20" s="7">
        <f>PREÇOS!E21</f>
        <v>7.9</v>
      </c>
      <c r="I20" s="4">
        <f t="shared" si="0"/>
        <v>0</v>
      </c>
      <c r="J20" s="4">
        <f t="shared" si="1"/>
        <v>0</v>
      </c>
    </row>
    <row r="21" spans="1:10" x14ac:dyDescent="0.3">
      <c r="A21" s="124" t="s">
        <v>54</v>
      </c>
      <c r="B21" s="132">
        <v>7.0000000000000007E-2</v>
      </c>
      <c r="C21" s="125">
        <v>7.0000000000000007E-2</v>
      </c>
      <c r="D21" s="126"/>
      <c r="E21" s="126"/>
      <c r="F21" s="126"/>
      <c r="G21" s="126"/>
      <c r="H21" s="7">
        <f>PREÇOS!E22</f>
        <v>7.4</v>
      </c>
      <c r="I21" s="4">
        <f t="shared" si="0"/>
        <v>0</v>
      </c>
      <c r="J21" s="4">
        <f t="shared" si="1"/>
        <v>0</v>
      </c>
    </row>
    <row r="22" spans="1:10" x14ac:dyDescent="0.3">
      <c r="A22" s="124" t="s">
        <v>55</v>
      </c>
      <c r="B22" s="132">
        <v>7.0000000000000007E-2</v>
      </c>
      <c r="C22" s="125">
        <v>7.0000000000000007E-2</v>
      </c>
      <c r="D22" s="126"/>
      <c r="E22" s="126"/>
      <c r="F22" s="126"/>
      <c r="G22" s="126"/>
      <c r="H22" s="7">
        <f>PREÇOS!E23</f>
        <v>7.4</v>
      </c>
      <c r="I22" s="4">
        <f t="shared" si="0"/>
        <v>0</v>
      </c>
      <c r="J22" s="4">
        <f t="shared" si="1"/>
        <v>0</v>
      </c>
    </row>
    <row r="23" spans="1:10" x14ac:dyDescent="0.3">
      <c r="A23" s="124" t="s">
        <v>56</v>
      </c>
      <c r="B23" s="132">
        <v>7.0000000000000007E-2</v>
      </c>
      <c r="C23" s="125">
        <v>7.0000000000000007E-2</v>
      </c>
      <c r="D23" s="126"/>
      <c r="E23" s="126"/>
      <c r="F23" s="126"/>
      <c r="G23" s="126"/>
      <c r="H23" s="7">
        <f>PREÇOS!E24</f>
        <v>7.4</v>
      </c>
      <c r="I23" s="4">
        <f t="shared" si="0"/>
        <v>0</v>
      </c>
      <c r="J23" s="4">
        <f t="shared" si="1"/>
        <v>0</v>
      </c>
    </row>
    <row r="24" spans="1:10" x14ac:dyDescent="0.3">
      <c r="A24" s="124" t="s">
        <v>57</v>
      </c>
      <c r="B24" s="132">
        <v>0.12</v>
      </c>
      <c r="C24" s="125">
        <v>0.12</v>
      </c>
      <c r="D24" s="126"/>
      <c r="E24" s="126"/>
      <c r="F24" s="126"/>
      <c r="G24" s="126"/>
      <c r="H24" s="7">
        <f>PREÇOS!E25</f>
        <v>7.9</v>
      </c>
      <c r="I24" s="4">
        <f t="shared" si="0"/>
        <v>0</v>
      </c>
      <c r="J24" s="4">
        <f t="shared" si="1"/>
        <v>0</v>
      </c>
    </row>
    <row r="25" spans="1:10" x14ac:dyDescent="0.3">
      <c r="A25" s="124" t="s">
        <v>58</v>
      </c>
      <c r="B25" s="132">
        <v>0.12</v>
      </c>
      <c r="C25" s="125">
        <v>0.12</v>
      </c>
      <c r="D25" s="126"/>
      <c r="E25" s="126"/>
      <c r="F25" s="126"/>
      <c r="G25" s="126"/>
      <c r="H25" s="7">
        <f>PREÇOS!E26</f>
        <v>7.9</v>
      </c>
      <c r="I25" s="4">
        <f t="shared" si="0"/>
        <v>0</v>
      </c>
      <c r="J25" s="4">
        <f t="shared" si="1"/>
        <v>0</v>
      </c>
    </row>
    <row r="26" spans="1:10" x14ac:dyDescent="0.3">
      <c r="A26" s="124" t="s">
        <v>59</v>
      </c>
      <c r="B26" s="132">
        <v>7.0000000000000007E-2</v>
      </c>
      <c r="C26" s="125">
        <v>7.0000000000000007E-2</v>
      </c>
      <c r="D26" s="126"/>
      <c r="E26" s="126"/>
      <c r="F26" s="126"/>
      <c r="G26" s="126"/>
      <c r="H26" s="7">
        <f>PREÇOS!E27</f>
        <v>7.4</v>
      </c>
      <c r="I26" s="4">
        <f t="shared" si="0"/>
        <v>0</v>
      </c>
      <c r="J26" s="4">
        <f t="shared" si="1"/>
        <v>0</v>
      </c>
    </row>
    <row r="27" spans="1:10" x14ac:dyDescent="0.3">
      <c r="A27" s="124" t="s">
        <v>34</v>
      </c>
      <c r="B27" s="132">
        <v>0.12</v>
      </c>
      <c r="C27" s="125">
        <v>0.12</v>
      </c>
      <c r="D27" s="126"/>
      <c r="E27" s="126"/>
      <c r="F27" s="126"/>
      <c r="G27" s="126"/>
      <c r="H27" s="7">
        <f>PREÇOS!E28</f>
        <v>7.9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7" t="s">
        <v>130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22">
        <f>PREÇOS!E29</f>
        <v>7.9</v>
      </c>
      <c r="I28" s="121">
        <f t="shared" si="2"/>
        <v>0</v>
      </c>
      <c r="J28" s="121">
        <f t="shared" si="3"/>
        <v>0</v>
      </c>
    </row>
    <row r="29" spans="1:10" x14ac:dyDescent="0.3">
      <c r="A29" s="124" t="s">
        <v>60</v>
      </c>
      <c r="B29" s="132">
        <v>7.0000000000000007E-2</v>
      </c>
      <c r="C29" s="125">
        <v>7.0000000000000007E-2</v>
      </c>
      <c r="D29" s="126"/>
      <c r="E29" s="126"/>
      <c r="F29" s="126"/>
      <c r="G29" s="126"/>
      <c r="H29" s="7">
        <f>PREÇOS!E30</f>
        <v>7.4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112</v>
      </c>
      <c r="H30" s="7">
        <f>PREÇOS!E31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H27" sqref="H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77734375" bestFit="1" customWidth="1"/>
    <col min="4" max="4" width="16" bestFit="1" customWidth="1"/>
    <col min="5" max="5" width="17" bestFit="1" customWidth="1"/>
    <col min="6" max="6" width="20.77734375" bestFit="1" customWidth="1"/>
    <col min="7" max="7" width="21.77734375" bestFit="1" customWidth="1"/>
    <col min="8" max="8" width="10.77734375" customWidth="1"/>
    <col min="9" max="9" width="12.77734375" bestFit="1" customWidth="1"/>
    <col min="10" max="10" width="13.77734375" style="4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32">
        <v>7.0000000000000007E-2</v>
      </c>
      <c r="C2" s="132">
        <v>7.0000000000000007E-2</v>
      </c>
      <c r="D2" s="126"/>
      <c r="E2" s="126"/>
      <c r="F2" s="126"/>
      <c r="G2" s="126"/>
      <c r="H2" s="4">
        <f>PREÇOS!C3</f>
        <v>3.36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4" t="s">
        <v>37</v>
      </c>
      <c r="B3" s="132">
        <v>7.0000000000000007E-2</v>
      </c>
      <c r="C3" s="132">
        <v>0.19</v>
      </c>
      <c r="D3" s="126">
        <v>0.54320000000000002</v>
      </c>
      <c r="E3" s="126"/>
      <c r="F3" s="126">
        <v>0.79400000000000004</v>
      </c>
      <c r="G3" s="126"/>
      <c r="H3" s="4">
        <f>PREÇOS!C4</f>
        <v>3.36</v>
      </c>
      <c r="I3" s="4">
        <f t="shared" ref="I3:I26" si="0">IF(F3=0,,H3*(1+F3)*C3-(H3*B3))</f>
        <v>0.91008960000000005</v>
      </c>
      <c r="J3" s="4">
        <f t="shared" ref="J3:J26" si="1">IF(G3=0,IF(F3=0,,H3*(1+F3)*C3-(H3*B3)),H3*(1+G3)*C3-(H3*B3))</f>
        <v>0.91008960000000005</v>
      </c>
    </row>
    <row r="4" spans="1:10" x14ac:dyDescent="0.3">
      <c r="A4" s="124" t="s">
        <v>38</v>
      </c>
      <c r="B4" s="132">
        <v>7.0000000000000007E-2</v>
      </c>
      <c r="C4" s="132">
        <v>0.18</v>
      </c>
      <c r="D4" s="126"/>
      <c r="E4" s="126"/>
      <c r="F4" s="126"/>
      <c r="G4" s="126"/>
      <c r="H4" s="4">
        <f>PREÇOS!C5</f>
        <v>3.36</v>
      </c>
      <c r="I4" s="4">
        <f t="shared" si="0"/>
        <v>0</v>
      </c>
      <c r="J4" s="4">
        <f t="shared" si="1"/>
        <v>0</v>
      </c>
    </row>
    <row r="5" spans="1:10" x14ac:dyDescent="0.3">
      <c r="A5" s="124" t="s">
        <v>39</v>
      </c>
      <c r="B5" s="132">
        <v>7.0000000000000007E-2</v>
      </c>
      <c r="C5" s="132">
        <v>0.18</v>
      </c>
      <c r="D5" s="126">
        <v>0.41</v>
      </c>
      <c r="E5" s="126"/>
      <c r="F5" s="126">
        <v>0.59909999999999997</v>
      </c>
      <c r="G5" s="126"/>
      <c r="H5" s="4">
        <f>PREÇOS!C6</f>
        <v>3.36</v>
      </c>
      <c r="I5" s="4">
        <f t="shared" si="0"/>
        <v>0.73193567999999987</v>
      </c>
      <c r="J5" s="4">
        <f t="shared" si="1"/>
        <v>0.73193567999999987</v>
      </c>
    </row>
    <row r="6" spans="1:10" x14ac:dyDescent="0.3">
      <c r="A6" s="124" t="s">
        <v>40</v>
      </c>
      <c r="B6" s="132">
        <v>7.0000000000000007E-2</v>
      </c>
      <c r="C6" s="132">
        <v>7.0000000000000007E-2</v>
      </c>
      <c r="D6" s="126"/>
      <c r="E6" s="126"/>
      <c r="F6" s="126"/>
      <c r="G6" s="126"/>
      <c r="H6" s="4">
        <f>PREÇOS!C7</f>
        <v>3.36</v>
      </c>
      <c r="I6" s="4">
        <f t="shared" si="0"/>
        <v>0</v>
      </c>
      <c r="J6" s="4">
        <f t="shared" si="1"/>
        <v>0</v>
      </c>
    </row>
    <row r="7" spans="1:10" x14ac:dyDescent="0.3">
      <c r="A7" s="124" t="s">
        <v>41</v>
      </c>
      <c r="B7" s="132">
        <v>7.0000000000000007E-2</v>
      </c>
      <c r="C7" s="132">
        <v>7.0000000000000007E-2</v>
      </c>
      <c r="D7" s="126"/>
      <c r="E7" s="126"/>
      <c r="F7" s="126"/>
      <c r="G7" s="126"/>
      <c r="H7" s="4">
        <f>PREÇOS!C8</f>
        <v>3.36</v>
      </c>
      <c r="I7" s="4">
        <f t="shared" si="0"/>
        <v>0</v>
      </c>
      <c r="J7" s="4">
        <f t="shared" si="1"/>
        <v>0</v>
      </c>
    </row>
    <row r="8" spans="1:10" x14ac:dyDescent="0.3">
      <c r="A8" s="124" t="s">
        <v>42</v>
      </c>
      <c r="B8" s="132">
        <v>7.0000000000000007E-2</v>
      </c>
      <c r="C8" s="132">
        <v>7.0000000000000007E-2</v>
      </c>
      <c r="D8" s="126"/>
      <c r="E8" s="126"/>
      <c r="F8" s="126"/>
      <c r="G8" s="126"/>
      <c r="H8" s="4">
        <f>PREÇOS!C9</f>
        <v>3.36</v>
      </c>
      <c r="I8" s="4">
        <f t="shared" si="0"/>
        <v>0</v>
      </c>
      <c r="J8" s="4">
        <f t="shared" si="1"/>
        <v>0</v>
      </c>
    </row>
    <row r="9" spans="1:10" x14ac:dyDescent="0.3">
      <c r="A9" s="124" t="s">
        <v>43</v>
      </c>
      <c r="B9" s="132">
        <v>7.0000000000000007E-2</v>
      </c>
      <c r="C9" s="125">
        <v>7.0000000000000007E-2</v>
      </c>
      <c r="D9" s="126"/>
      <c r="E9" s="126"/>
      <c r="F9" s="126"/>
      <c r="G9" s="126"/>
      <c r="H9" s="4">
        <f>PREÇOS!C10</f>
        <v>3.36</v>
      </c>
      <c r="I9" s="4">
        <f t="shared" si="0"/>
        <v>0</v>
      </c>
      <c r="J9" s="4">
        <f t="shared" si="1"/>
        <v>0</v>
      </c>
    </row>
    <row r="10" spans="1:10" x14ac:dyDescent="0.3">
      <c r="A10" s="124" t="s">
        <v>44</v>
      </c>
      <c r="B10" s="132">
        <v>7.0000000000000007E-2</v>
      </c>
      <c r="C10" s="125">
        <v>7.0000000000000007E-2</v>
      </c>
      <c r="D10" s="126"/>
      <c r="E10" s="126"/>
      <c r="F10" s="126"/>
      <c r="G10" s="126"/>
      <c r="H10" s="4">
        <f>PREÇOS!C11</f>
        <v>3.36</v>
      </c>
      <c r="I10" s="4">
        <f t="shared" si="0"/>
        <v>0</v>
      </c>
      <c r="J10" s="4">
        <f t="shared" si="1"/>
        <v>0</v>
      </c>
    </row>
    <row r="11" spans="1:10" x14ac:dyDescent="0.3">
      <c r="A11" s="124" t="s">
        <v>45</v>
      </c>
      <c r="B11" s="132">
        <v>7.0000000000000007E-2</v>
      </c>
      <c r="C11" s="125">
        <v>7.0000000000000007E-2</v>
      </c>
      <c r="D11" s="126"/>
      <c r="E11" s="126"/>
      <c r="F11" s="126"/>
      <c r="G11" s="126"/>
      <c r="H11" s="4">
        <f>PREÇOS!C12</f>
        <v>3.36</v>
      </c>
      <c r="I11" s="4">
        <f t="shared" si="0"/>
        <v>0</v>
      </c>
      <c r="J11" s="4">
        <f t="shared" si="1"/>
        <v>0</v>
      </c>
    </row>
    <row r="12" spans="1:10" x14ac:dyDescent="0.3">
      <c r="A12" s="124" t="s">
        <v>46</v>
      </c>
      <c r="B12" s="132">
        <v>0.12</v>
      </c>
      <c r="C12" s="125">
        <v>0.18</v>
      </c>
      <c r="D12" s="126">
        <v>0.4</v>
      </c>
      <c r="E12" s="126"/>
      <c r="F12" s="126">
        <v>0.50239999999999996</v>
      </c>
      <c r="G12" s="126"/>
      <c r="H12" s="4">
        <f>PREÇOS!C13</f>
        <v>3.36</v>
      </c>
      <c r="I12" s="4">
        <f t="shared" si="0"/>
        <v>0.50545152000000004</v>
      </c>
      <c r="J12" s="4">
        <f t="shared" si="1"/>
        <v>0.50545152000000004</v>
      </c>
    </row>
    <row r="13" spans="1:10" x14ac:dyDescent="0.3">
      <c r="A13" s="124" t="s">
        <v>47</v>
      </c>
      <c r="B13" s="132">
        <v>7.0000000000000007E-2</v>
      </c>
      <c r="C13" s="125">
        <v>7.0000000000000007E-2</v>
      </c>
      <c r="D13" s="126"/>
      <c r="E13" s="126"/>
      <c r="F13" s="126"/>
      <c r="G13" s="126"/>
      <c r="H13" s="4">
        <f>PREÇOS!C14</f>
        <v>3.36</v>
      </c>
      <c r="I13" s="4">
        <f t="shared" si="0"/>
        <v>0</v>
      </c>
      <c r="J13" s="4">
        <f t="shared" si="1"/>
        <v>0</v>
      </c>
    </row>
    <row r="14" spans="1:10" x14ac:dyDescent="0.3">
      <c r="A14" s="124" t="s">
        <v>48</v>
      </c>
      <c r="B14" s="132">
        <v>7.0000000000000007E-2</v>
      </c>
      <c r="C14" s="125">
        <v>0.17</v>
      </c>
      <c r="D14" s="126">
        <v>0.45519999999999999</v>
      </c>
      <c r="E14" s="126"/>
      <c r="F14" s="126">
        <v>0.63049999999999995</v>
      </c>
      <c r="G14" s="126"/>
      <c r="H14" s="4">
        <f>PREÇOS!C15</f>
        <v>3.36</v>
      </c>
      <c r="I14" s="4">
        <f t="shared" si="0"/>
        <v>0.69614160000000003</v>
      </c>
      <c r="J14" s="4">
        <f t="shared" si="1"/>
        <v>0.69614160000000003</v>
      </c>
    </row>
    <row r="15" spans="1:10" x14ac:dyDescent="0.3">
      <c r="A15" s="124" t="s">
        <v>49</v>
      </c>
      <c r="B15" s="132">
        <v>7.0000000000000007E-2</v>
      </c>
      <c r="C15" s="125">
        <v>7.0000000000000007E-2</v>
      </c>
      <c r="D15" s="126"/>
      <c r="E15" s="126"/>
      <c r="F15" s="126"/>
      <c r="G15" s="126"/>
      <c r="H15" s="4">
        <f>PREÇOS!C16</f>
        <v>3.36</v>
      </c>
      <c r="I15" s="4">
        <f t="shared" si="0"/>
        <v>0</v>
      </c>
      <c r="J15" s="4">
        <f t="shared" si="1"/>
        <v>0</v>
      </c>
    </row>
    <row r="16" spans="1:10" x14ac:dyDescent="0.3">
      <c r="A16" s="124" t="s">
        <v>50</v>
      </c>
      <c r="B16" s="132">
        <v>7.0000000000000007E-2</v>
      </c>
      <c r="C16" s="125">
        <v>7.0000000000000007E-2</v>
      </c>
      <c r="D16" s="126"/>
      <c r="E16" s="126"/>
      <c r="F16" s="126"/>
      <c r="G16" s="126"/>
      <c r="H16" s="4">
        <f>PREÇOS!C17</f>
        <v>3.36</v>
      </c>
      <c r="I16" s="4">
        <f t="shared" si="0"/>
        <v>0</v>
      </c>
      <c r="J16" s="4">
        <f t="shared" si="1"/>
        <v>0</v>
      </c>
    </row>
    <row r="17" spans="1:10" x14ac:dyDescent="0.3">
      <c r="A17" s="124" t="s">
        <v>51</v>
      </c>
      <c r="B17" s="132">
        <v>7.0000000000000007E-2</v>
      </c>
      <c r="C17" s="125">
        <v>7.0000000000000007E-2</v>
      </c>
      <c r="D17" s="126"/>
      <c r="E17" s="126"/>
      <c r="F17" s="126"/>
      <c r="G17" s="126"/>
      <c r="H17" s="4">
        <f>PREÇOS!C18</f>
        <v>3.36</v>
      </c>
      <c r="I17" s="4">
        <f t="shared" si="0"/>
        <v>0</v>
      </c>
      <c r="J17" s="4">
        <f t="shared" si="1"/>
        <v>0</v>
      </c>
    </row>
    <row r="18" spans="1:10" x14ac:dyDescent="0.3">
      <c r="A18" s="124" t="s">
        <v>52</v>
      </c>
      <c r="B18" s="132">
        <v>7.0000000000000007E-2</v>
      </c>
      <c r="C18" s="125">
        <v>7.0000000000000007E-2</v>
      </c>
      <c r="D18" s="126"/>
      <c r="E18" s="126"/>
      <c r="F18" s="126"/>
      <c r="G18" s="126"/>
      <c r="H18" s="4">
        <f>PREÇOS!C19</f>
        <v>3.36</v>
      </c>
      <c r="I18" s="4">
        <f t="shared" si="0"/>
        <v>0</v>
      </c>
      <c r="J18" s="4">
        <f t="shared" si="1"/>
        <v>0</v>
      </c>
    </row>
    <row r="19" spans="1:10" x14ac:dyDescent="0.3">
      <c r="A19" s="127" t="s">
        <v>33</v>
      </c>
      <c r="B19" s="95">
        <v>0.12</v>
      </c>
      <c r="C19" s="128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3.36</v>
      </c>
      <c r="I19" s="4">
        <f t="shared" si="0"/>
        <v>0.70212239999999992</v>
      </c>
      <c r="J19" s="4">
        <f t="shared" si="1"/>
        <v>0.38094336000000012</v>
      </c>
    </row>
    <row r="20" spans="1:10" x14ac:dyDescent="0.3">
      <c r="A20" s="127" t="s">
        <v>53</v>
      </c>
      <c r="B20" s="95">
        <v>0.12</v>
      </c>
      <c r="C20" s="128">
        <v>0.22</v>
      </c>
      <c r="D20" s="94">
        <v>0.4698</v>
      </c>
      <c r="E20" s="94"/>
      <c r="F20" s="94">
        <v>0.65820000000000001</v>
      </c>
      <c r="G20" s="94"/>
      <c r="H20" s="4">
        <f>PREÇOS!C21</f>
        <v>3.36</v>
      </c>
      <c r="I20" s="4">
        <f t="shared" si="0"/>
        <v>0.82254143999999996</v>
      </c>
      <c r="J20" s="4">
        <f t="shared" si="1"/>
        <v>0.82254143999999996</v>
      </c>
    </row>
    <row r="21" spans="1:10" x14ac:dyDescent="0.3">
      <c r="A21" s="124" t="s">
        <v>54</v>
      </c>
      <c r="B21" s="132">
        <v>7.0000000000000007E-2</v>
      </c>
      <c r="C21" s="125">
        <v>7.0000000000000007E-2</v>
      </c>
      <c r="D21" s="126"/>
      <c r="E21" s="126"/>
      <c r="F21" s="126"/>
      <c r="G21" s="126"/>
      <c r="H21" s="4">
        <f>PREÇOS!C22</f>
        <v>3.36</v>
      </c>
      <c r="I21" s="4">
        <f t="shared" si="0"/>
        <v>0</v>
      </c>
      <c r="J21" s="4">
        <f t="shared" si="1"/>
        <v>0</v>
      </c>
    </row>
    <row r="22" spans="1:10" x14ac:dyDescent="0.3">
      <c r="A22" s="124" t="s">
        <v>55</v>
      </c>
      <c r="B22" s="132">
        <v>7.0000000000000007E-2</v>
      </c>
      <c r="C22" s="125">
        <v>7.0000000000000007E-2</v>
      </c>
      <c r="D22" s="126"/>
      <c r="E22" s="126"/>
      <c r="F22" s="126"/>
      <c r="G22" s="126"/>
      <c r="H22" s="4">
        <f>PREÇOS!C23</f>
        <v>3.36</v>
      </c>
      <c r="I22" s="4">
        <f t="shared" si="0"/>
        <v>0</v>
      </c>
      <c r="J22" s="4">
        <f t="shared" si="1"/>
        <v>0</v>
      </c>
    </row>
    <row r="23" spans="1:10" x14ac:dyDescent="0.3">
      <c r="A23" s="124" t="s">
        <v>56</v>
      </c>
      <c r="B23" s="132">
        <v>7.0000000000000007E-2</v>
      </c>
      <c r="C23" s="125">
        <v>7.0000000000000007E-2</v>
      </c>
      <c r="D23" s="126"/>
      <c r="E23" s="126"/>
      <c r="F23" s="126"/>
      <c r="G23" s="126"/>
      <c r="H23" s="4">
        <f>PREÇOS!C24</f>
        <v>3.36</v>
      </c>
      <c r="I23" s="4">
        <f t="shared" si="0"/>
        <v>0</v>
      </c>
      <c r="J23" s="4">
        <f t="shared" si="1"/>
        <v>0</v>
      </c>
    </row>
    <row r="24" spans="1:10" x14ac:dyDescent="0.3">
      <c r="A24" s="124" t="s">
        <v>57</v>
      </c>
      <c r="B24" s="132">
        <v>0.12</v>
      </c>
      <c r="C24" s="125">
        <v>0.12</v>
      </c>
      <c r="D24" s="126"/>
      <c r="E24" s="126"/>
      <c r="F24" s="126"/>
      <c r="G24" s="126"/>
      <c r="H24" s="4">
        <f>PREÇOS!C25</f>
        <v>3.36</v>
      </c>
      <c r="I24" s="4">
        <f t="shared" si="0"/>
        <v>0</v>
      </c>
      <c r="J24" s="4">
        <f t="shared" si="1"/>
        <v>0</v>
      </c>
    </row>
    <row r="25" spans="1:10" x14ac:dyDescent="0.3">
      <c r="A25" s="124" t="s">
        <v>58</v>
      </c>
      <c r="B25" s="132">
        <v>0.12</v>
      </c>
      <c r="C25" s="125">
        <v>0.12</v>
      </c>
      <c r="D25" s="126"/>
      <c r="E25" s="126"/>
      <c r="F25" s="126"/>
      <c r="G25" s="126"/>
      <c r="H25" s="4">
        <f>PREÇOS!C26</f>
        <v>3.36</v>
      </c>
      <c r="I25" s="4">
        <f t="shared" si="0"/>
        <v>0</v>
      </c>
      <c r="J25" s="4">
        <f t="shared" si="1"/>
        <v>0</v>
      </c>
    </row>
    <row r="26" spans="1:10" x14ac:dyDescent="0.3">
      <c r="A26" s="124" t="s">
        <v>59</v>
      </c>
      <c r="B26" s="132">
        <v>7.0000000000000007E-2</v>
      </c>
      <c r="C26" s="125">
        <v>7.0000000000000007E-2</v>
      </c>
      <c r="D26" s="126"/>
      <c r="E26" s="126"/>
      <c r="F26" s="126"/>
      <c r="G26" s="126"/>
      <c r="H26" s="4">
        <f>PREÇOS!C27</f>
        <v>3.36</v>
      </c>
      <c r="I26" s="4">
        <f t="shared" si="0"/>
        <v>0</v>
      </c>
      <c r="J26" s="4">
        <f t="shared" si="1"/>
        <v>0</v>
      </c>
    </row>
    <row r="27" spans="1:10" x14ac:dyDescent="0.3">
      <c r="A27" s="124" t="s">
        <v>34</v>
      </c>
      <c r="B27" s="132">
        <v>0.12</v>
      </c>
      <c r="C27" s="125">
        <v>0.18</v>
      </c>
      <c r="D27" s="126">
        <v>0.88070000000000004</v>
      </c>
      <c r="E27" s="126"/>
      <c r="F27" s="126">
        <v>0.88070000000000004</v>
      </c>
      <c r="G27" s="126"/>
      <c r="H27" s="4">
        <f>PREÇOS!C28</f>
        <v>3.36</v>
      </c>
      <c r="I27" s="4">
        <f t="shared" ref="I27:I30" si="2">IF(F27=0,,H27*(1+F27)*C27-(H27*B27))</f>
        <v>0.7342473599999999</v>
      </c>
      <c r="J27" s="4">
        <f t="shared" ref="J27:J30" si="3">IF(G27=0,IF(F27=0,,H27*(1+F27)*C27-(H27*B27)),H27*(1+G27)*C27-(H27*B27))</f>
        <v>0.7342473599999999</v>
      </c>
    </row>
    <row r="28" spans="1:10" x14ac:dyDescent="0.3">
      <c r="A28" s="127" t="s">
        <v>130</v>
      </c>
      <c r="B28" s="95">
        <f>B27</f>
        <v>0.12</v>
      </c>
      <c r="C28" s="95">
        <f t="shared" ref="C28:G28" si="4">C27</f>
        <v>0.18</v>
      </c>
      <c r="D28" s="94">
        <f t="shared" si="4"/>
        <v>0.88070000000000004</v>
      </c>
      <c r="E28" s="94">
        <f t="shared" si="4"/>
        <v>0</v>
      </c>
      <c r="F28" s="94">
        <f t="shared" si="4"/>
        <v>0.88070000000000004</v>
      </c>
      <c r="G28" s="95">
        <f t="shared" si="4"/>
        <v>0</v>
      </c>
      <c r="H28" s="121">
        <f>PREÇOS!C29</f>
        <v>3.36</v>
      </c>
      <c r="I28" s="121">
        <f t="shared" si="2"/>
        <v>0.7342473599999999</v>
      </c>
      <c r="J28" s="121">
        <f t="shared" si="3"/>
        <v>0.7342473599999999</v>
      </c>
    </row>
    <row r="29" spans="1:10" x14ac:dyDescent="0.3">
      <c r="A29" s="124" t="s">
        <v>60</v>
      </c>
      <c r="B29" s="132">
        <v>7.0000000000000007E-2</v>
      </c>
      <c r="C29" s="125">
        <v>7.0000000000000007E-2</v>
      </c>
      <c r="D29" s="126"/>
      <c r="E29" s="126"/>
      <c r="F29" s="126"/>
      <c r="G29" s="126"/>
      <c r="H29" s="4">
        <f>PREÇOS!C30</f>
        <v>3.36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112</v>
      </c>
      <c r="H30" s="4">
        <f>PREÇOS!C31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8" activePane="bottomRight" state="frozen"/>
      <selection activeCell="Q21" sqref="Q21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77734375" bestFit="1" customWidth="1"/>
    <col min="4" max="4" width="16" bestFit="1" customWidth="1"/>
    <col min="5" max="5" width="16.77734375" bestFit="1" customWidth="1"/>
    <col min="6" max="6" width="20.77734375" bestFit="1" customWidth="1"/>
    <col min="7" max="7" width="21.77734375" bestFit="1" customWidth="1"/>
    <col min="8" max="8" width="8.5546875" bestFit="1" customWidth="1"/>
    <col min="9" max="9" width="12.77734375" bestFit="1" customWidth="1"/>
    <col min="10" max="10" width="13.77734375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32">
        <v>7.0000000000000007E-2</v>
      </c>
      <c r="C2" s="132">
        <f>VLOOKUP(A2,[2]DIFAL!$C$13:$H$39,6,)</f>
        <v>0.19</v>
      </c>
      <c r="D2" s="126"/>
      <c r="E2" s="126"/>
      <c r="F2" s="126"/>
      <c r="G2" s="126"/>
      <c r="H2" s="51">
        <f>PREÇOS!H3</f>
        <v>7.41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4" t="s">
        <v>37</v>
      </c>
      <c r="B3" s="132">
        <v>7.0000000000000007E-2</v>
      </c>
      <c r="C3" s="132">
        <v>0.2</v>
      </c>
      <c r="D3" s="126"/>
      <c r="E3" s="126"/>
      <c r="F3" s="126">
        <v>0.51129999999999998</v>
      </c>
      <c r="G3" s="126"/>
      <c r="H3" s="51">
        <f>PREÇOS!H4</f>
        <v>7.41</v>
      </c>
      <c r="I3" s="48">
        <f>IF(F3=0,,H3*(1+F3)*C3-(H3*B3))</f>
        <v>1.7210465999999998</v>
      </c>
      <c r="J3" s="48">
        <f t="shared" si="1"/>
        <v>1.7210465999999998</v>
      </c>
    </row>
    <row r="4" spans="1:10" x14ac:dyDescent="0.3">
      <c r="A4" s="124" t="s">
        <v>38</v>
      </c>
      <c r="B4" s="132">
        <v>7.0000000000000007E-2</v>
      </c>
      <c r="C4" s="132">
        <f>VLOOKUP(A4,[2]DIFAL!$C$13:$H$39,6,)</f>
        <v>0.2</v>
      </c>
      <c r="D4" s="126"/>
      <c r="E4" s="126"/>
      <c r="F4" s="126"/>
      <c r="G4" s="126"/>
      <c r="H4" s="51">
        <f>PREÇOS!H5</f>
        <v>7.41</v>
      </c>
      <c r="I4" s="48">
        <f t="shared" si="0"/>
        <v>0</v>
      </c>
      <c r="J4" s="48">
        <f t="shared" si="1"/>
        <v>0</v>
      </c>
    </row>
    <row r="5" spans="1:10" x14ac:dyDescent="0.3">
      <c r="A5" s="124" t="s">
        <v>39</v>
      </c>
      <c r="B5" s="132">
        <v>7.0000000000000007E-2</v>
      </c>
      <c r="C5" s="132">
        <f>VLOOKUP(A5,[2]DIFAL!$C$13:$H$39,5,)</f>
        <v>0.18</v>
      </c>
      <c r="D5" s="126"/>
      <c r="E5" s="126"/>
      <c r="F5" s="126">
        <v>0.51980000000000004</v>
      </c>
      <c r="G5" s="126"/>
      <c r="H5" s="51">
        <f>PREÇOS!H6</f>
        <v>7.41</v>
      </c>
      <c r="I5" s="48">
        <f t="shared" si="0"/>
        <v>1.5084092400000002</v>
      </c>
      <c r="J5" s="48">
        <f t="shared" si="1"/>
        <v>1.5084092400000002</v>
      </c>
    </row>
    <row r="6" spans="1:10" x14ac:dyDescent="0.3">
      <c r="A6" s="124" t="s">
        <v>40</v>
      </c>
      <c r="B6" s="132">
        <v>7.0000000000000007E-2</v>
      </c>
      <c r="C6" s="132">
        <f>VLOOKUP(A6,[2]DIFAL!$C$13:$H$39,6,)</f>
        <v>0.19</v>
      </c>
      <c r="D6" s="126"/>
      <c r="E6" s="126"/>
      <c r="F6" s="126"/>
      <c r="G6" s="126"/>
      <c r="H6" s="51">
        <f>PREÇOS!H7</f>
        <v>7.41</v>
      </c>
      <c r="I6" s="48">
        <f t="shared" si="0"/>
        <v>0</v>
      </c>
      <c r="J6" s="48">
        <f t="shared" si="1"/>
        <v>0</v>
      </c>
    </row>
    <row r="7" spans="1:10" x14ac:dyDescent="0.3">
      <c r="A7" s="124" t="s">
        <v>41</v>
      </c>
      <c r="B7" s="132">
        <v>7.0000000000000007E-2</v>
      </c>
      <c r="C7" s="132">
        <f>VLOOKUP(A7,[2]DIFAL!$C$13:$H$39,6,)</f>
        <v>0.2</v>
      </c>
      <c r="D7" s="126"/>
      <c r="E7" s="126"/>
      <c r="F7" s="126"/>
      <c r="G7" s="126"/>
      <c r="H7" s="51">
        <f>PREÇOS!H8</f>
        <v>7.41</v>
      </c>
      <c r="I7" s="48">
        <f t="shared" si="0"/>
        <v>0</v>
      </c>
      <c r="J7" s="48">
        <f t="shared" si="1"/>
        <v>0</v>
      </c>
    </row>
    <row r="8" spans="1:10" x14ac:dyDescent="0.3">
      <c r="A8" s="124" t="s">
        <v>42</v>
      </c>
      <c r="B8" s="132">
        <v>7.0000000000000007E-2</v>
      </c>
      <c r="C8" s="132">
        <f>VLOOKUP(A8,[2]DIFAL!$C$13:$H$39,5,)</f>
        <v>0.18</v>
      </c>
      <c r="D8" s="126"/>
      <c r="E8" s="126"/>
      <c r="F8" s="126"/>
      <c r="G8" s="126"/>
      <c r="H8" s="51">
        <f>PREÇOS!H9</f>
        <v>7.41</v>
      </c>
      <c r="I8" s="48">
        <f t="shared" si="0"/>
        <v>0</v>
      </c>
      <c r="J8" s="48">
        <f t="shared" si="1"/>
        <v>0</v>
      </c>
    </row>
    <row r="9" spans="1:10" x14ac:dyDescent="0.3">
      <c r="A9" s="124" t="s">
        <v>43</v>
      </c>
      <c r="B9" s="132">
        <v>7.0000000000000007E-2</v>
      </c>
      <c r="C9" s="132">
        <f>VLOOKUP(A9,[2]DIFAL!$C$13:$H$39,5,)</f>
        <v>0.17</v>
      </c>
      <c r="D9" s="126"/>
      <c r="E9" s="126"/>
      <c r="F9" s="126"/>
      <c r="G9" s="126"/>
      <c r="H9" s="51">
        <f>PREÇOS!H10</f>
        <v>7.41</v>
      </c>
      <c r="I9" s="48">
        <f t="shared" si="0"/>
        <v>0</v>
      </c>
      <c r="J9" s="48">
        <f t="shared" si="1"/>
        <v>0</v>
      </c>
    </row>
    <row r="10" spans="1:10" x14ac:dyDescent="0.3">
      <c r="A10" s="124" t="s">
        <v>44</v>
      </c>
      <c r="B10" s="132">
        <v>7.0000000000000007E-2</v>
      </c>
      <c r="C10" s="132">
        <f>VLOOKUP(A10,[2]DIFAL!$C$13:$H$39,5,)</f>
        <v>0.17</v>
      </c>
      <c r="D10" s="126"/>
      <c r="E10" s="126"/>
      <c r="F10" s="126"/>
      <c r="G10" s="126"/>
      <c r="H10" s="51">
        <f>PREÇOS!H11</f>
        <v>7.41</v>
      </c>
      <c r="I10" s="48">
        <f t="shared" si="0"/>
        <v>0</v>
      </c>
      <c r="J10" s="48">
        <f t="shared" si="1"/>
        <v>0</v>
      </c>
    </row>
    <row r="11" spans="1:10" x14ac:dyDescent="0.3">
      <c r="A11" s="124" t="s">
        <v>45</v>
      </c>
      <c r="B11" s="132">
        <v>7.0000000000000007E-2</v>
      </c>
      <c r="C11" s="132">
        <f>VLOOKUP(A11,[2]DIFAL!$C$13:$H$39,6,)</f>
        <v>0.2</v>
      </c>
      <c r="D11" s="126"/>
      <c r="E11" s="126"/>
      <c r="F11" s="126"/>
      <c r="G11" s="126"/>
      <c r="H11" s="51">
        <f>PREÇOS!H12</f>
        <v>7.41</v>
      </c>
      <c r="I11" s="48">
        <f t="shared" si="0"/>
        <v>0</v>
      </c>
      <c r="J11" s="48">
        <f t="shared" si="1"/>
        <v>0</v>
      </c>
    </row>
    <row r="12" spans="1:10" x14ac:dyDescent="0.3">
      <c r="A12" s="124" t="s">
        <v>46</v>
      </c>
      <c r="B12" s="132">
        <v>0.12</v>
      </c>
      <c r="C12" s="132">
        <v>0.12</v>
      </c>
      <c r="D12" s="126"/>
      <c r="E12" s="126"/>
      <c r="F12" s="126">
        <v>0.25</v>
      </c>
      <c r="G12" s="126"/>
      <c r="H12" s="91">
        <f>PREÇOS!H13</f>
        <v>7.85</v>
      </c>
      <c r="I12" s="93">
        <f t="shared" si="0"/>
        <v>0.23550000000000004</v>
      </c>
      <c r="J12" s="93">
        <f t="shared" si="1"/>
        <v>0.23550000000000004</v>
      </c>
    </row>
    <row r="13" spans="1:10" x14ac:dyDescent="0.3">
      <c r="A13" s="124" t="s">
        <v>47</v>
      </c>
      <c r="B13" s="132">
        <v>7.0000000000000007E-2</v>
      </c>
      <c r="C13" s="132">
        <f>VLOOKUP(A13,[2]DIFAL!$C$13:$H$39,5,)</f>
        <v>0.17</v>
      </c>
      <c r="D13" s="126"/>
      <c r="E13" s="126"/>
      <c r="F13" s="126"/>
      <c r="G13" s="126"/>
      <c r="H13" s="51">
        <f>PREÇOS!H14</f>
        <v>7.41</v>
      </c>
      <c r="I13" s="48">
        <f t="shared" si="0"/>
        <v>0</v>
      </c>
      <c r="J13" s="48">
        <f t="shared" si="1"/>
        <v>0</v>
      </c>
    </row>
    <row r="14" spans="1:10" x14ac:dyDescent="0.3">
      <c r="A14" s="124" t="s">
        <v>48</v>
      </c>
      <c r="B14" s="132">
        <v>7.0000000000000007E-2</v>
      </c>
      <c r="C14" s="132">
        <f>VLOOKUP(A14,[2]DIFAL!$C$13:$H$39,5,)</f>
        <v>0.17</v>
      </c>
      <c r="D14" s="126"/>
      <c r="E14" s="126"/>
      <c r="F14" s="126">
        <v>0.39779999999999999</v>
      </c>
      <c r="G14" s="126"/>
      <c r="H14" s="51">
        <f>PREÇOS!H15</f>
        <v>7.41</v>
      </c>
      <c r="I14" s="48">
        <f t="shared" si="0"/>
        <v>1.24210866</v>
      </c>
      <c r="J14" s="48">
        <f t="shared" si="1"/>
        <v>1.24210866</v>
      </c>
    </row>
    <row r="15" spans="1:10" x14ac:dyDescent="0.3">
      <c r="A15" s="124" t="s">
        <v>49</v>
      </c>
      <c r="B15" s="132">
        <v>7.0000000000000007E-2</v>
      </c>
      <c r="C15" s="132">
        <f>VLOOKUP(A15,[2]DIFAL!$C$13:$H$39,6,)</f>
        <v>0.19</v>
      </c>
      <c r="D15" s="126"/>
      <c r="E15" s="126"/>
      <c r="F15" s="126"/>
      <c r="G15" s="126"/>
      <c r="H15" s="51">
        <f>PREÇOS!H16</f>
        <v>7.41</v>
      </c>
      <c r="I15" s="48">
        <f t="shared" si="0"/>
        <v>0</v>
      </c>
      <c r="J15" s="48">
        <f t="shared" si="1"/>
        <v>0</v>
      </c>
    </row>
    <row r="16" spans="1:10" x14ac:dyDescent="0.3">
      <c r="A16" s="124" t="s">
        <v>50</v>
      </c>
      <c r="B16" s="132">
        <v>7.0000000000000007E-2</v>
      </c>
      <c r="C16" s="132">
        <f>VLOOKUP(A16,[2]DIFAL!$C$13:$H$39,5,)</f>
        <v>0.18</v>
      </c>
      <c r="D16" s="126"/>
      <c r="E16" s="126"/>
      <c r="F16" s="126"/>
      <c r="G16" s="126"/>
      <c r="H16" s="51">
        <f>PREÇOS!H17</f>
        <v>7.41</v>
      </c>
      <c r="I16" s="48">
        <f t="shared" si="0"/>
        <v>0</v>
      </c>
      <c r="J16" s="48">
        <f t="shared" si="1"/>
        <v>0</v>
      </c>
    </row>
    <row r="17" spans="1:10" x14ac:dyDescent="0.3">
      <c r="A17" s="124" t="s">
        <v>51</v>
      </c>
      <c r="B17" s="132">
        <v>7.0000000000000007E-2</v>
      </c>
      <c r="C17" s="132">
        <f>VLOOKUP(A17,[2]DIFAL!$C$13:$H$39,5,)</f>
        <v>0.18</v>
      </c>
      <c r="D17" s="126"/>
      <c r="E17" s="126"/>
      <c r="F17" s="126"/>
      <c r="G17" s="126"/>
      <c r="H17" s="51">
        <f>PREÇOS!H18</f>
        <v>7.41</v>
      </c>
      <c r="I17" s="48">
        <f t="shared" si="0"/>
        <v>0</v>
      </c>
      <c r="J17" s="48">
        <f t="shared" si="1"/>
        <v>0</v>
      </c>
    </row>
    <row r="18" spans="1:10" x14ac:dyDescent="0.3">
      <c r="A18" s="124" t="s">
        <v>52</v>
      </c>
      <c r="B18" s="132">
        <v>7.0000000000000007E-2</v>
      </c>
      <c r="C18" s="132">
        <f>VLOOKUP(A18,[2]DIFAL!$C$13:$H$39,6,)</f>
        <v>0.21</v>
      </c>
      <c r="D18" s="126"/>
      <c r="E18" s="126"/>
      <c r="F18" s="126"/>
      <c r="G18" s="126"/>
      <c r="H18" s="51">
        <f>PREÇOS!H19</f>
        <v>7.41</v>
      </c>
      <c r="I18" s="48">
        <f t="shared" si="0"/>
        <v>0</v>
      </c>
      <c r="J18" s="48">
        <f t="shared" si="1"/>
        <v>0</v>
      </c>
    </row>
    <row r="19" spans="1:10" x14ac:dyDescent="0.3">
      <c r="A19" s="124" t="s">
        <v>33</v>
      </c>
      <c r="B19" s="132">
        <v>0.12</v>
      </c>
      <c r="C19" s="132">
        <v>0.12</v>
      </c>
      <c r="D19" s="126"/>
      <c r="E19" s="126"/>
      <c r="F19" s="126"/>
      <c r="G19" s="126"/>
      <c r="H19" s="91">
        <f>PREÇOS!H20</f>
        <v>7.85</v>
      </c>
      <c r="I19" s="93">
        <f t="shared" si="0"/>
        <v>0</v>
      </c>
      <c r="J19" s="93">
        <f t="shared" si="1"/>
        <v>0</v>
      </c>
    </row>
    <row r="20" spans="1:10" x14ac:dyDescent="0.3">
      <c r="A20" s="127" t="s">
        <v>53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7.85</v>
      </c>
      <c r="I20" s="93">
        <f t="shared" si="0"/>
        <v>1.6921931000000001</v>
      </c>
      <c r="J20" s="93">
        <f t="shared" si="1"/>
        <v>1.6921931000000001</v>
      </c>
    </row>
    <row r="21" spans="1:10" x14ac:dyDescent="0.3">
      <c r="A21" s="124" t="s">
        <v>54</v>
      </c>
      <c r="B21" s="132">
        <v>7.0000000000000007E-2</v>
      </c>
      <c r="C21" s="132">
        <f>VLOOKUP(A21,[2]DIFAL!$C$13:$H$39,6,)</f>
        <v>0.2</v>
      </c>
      <c r="D21" s="126"/>
      <c r="E21" s="126"/>
      <c r="F21" s="126"/>
      <c r="G21" s="126"/>
      <c r="H21" s="51">
        <f>PREÇOS!H22</f>
        <v>7.41</v>
      </c>
      <c r="I21" s="48">
        <f t="shared" si="0"/>
        <v>0</v>
      </c>
      <c r="J21" s="48">
        <f t="shared" si="1"/>
        <v>0</v>
      </c>
    </row>
    <row r="22" spans="1:10" x14ac:dyDescent="0.3">
      <c r="A22" s="124" t="s">
        <v>55</v>
      </c>
      <c r="B22" s="132">
        <v>7.0000000000000007E-2</v>
      </c>
      <c r="C22" s="132">
        <f>VLOOKUP(A22,[2]DIFAL!$C$13:$H$39,5,)</f>
        <v>0.17499999999999999</v>
      </c>
      <c r="D22" s="126"/>
      <c r="E22" s="126"/>
      <c r="F22" s="126"/>
      <c r="G22" s="126"/>
      <c r="H22" s="51">
        <f>PREÇOS!H23</f>
        <v>7.41</v>
      </c>
      <c r="I22" s="48">
        <f t="shared" si="0"/>
        <v>0</v>
      </c>
      <c r="J22" s="48">
        <f t="shared" si="1"/>
        <v>0</v>
      </c>
    </row>
    <row r="23" spans="1:10" x14ac:dyDescent="0.3">
      <c r="A23" s="124" t="s">
        <v>56</v>
      </c>
      <c r="B23" s="132">
        <v>7.0000000000000007E-2</v>
      </c>
      <c r="C23" s="132">
        <f>VLOOKUP(A23,[2]DIFAL!$C$13:$H$39,6,)</f>
        <v>0.2</v>
      </c>
      <c r="D23" s="126"/>
      <c r="E23" s="126"/>
      <c r="F23" s="126"/>
      <c r="G23" s="126"/>
      <c r="H23" s="51">
        <f>PREÇOS!H24</f>
        <v>7.41</v>
      </c>
      <c r="I23" s="48">
        <f t="shared" si="0"/>
        <v>0</v>
      </c>
      <c r="J23" s="48">
        <f t="shared" si="1"/>
        <v>0</v>
      </c>
    </row>
    <row r="24" spans="1:10" x14ac:dyDescent="0.3">
      <c r="A24" s="124" t="s">
        <v>57</v>
      </c>
      <c r="B24" s="132">
        <v>0.12</v>
      </c>
      <c r="C24" s="132">
        <f>VLOOKUP(A24,[2]DIFAL!$C$13:$H$39,5,)</f>
        <v>0.17</v>
      </c>
      <c r="D24" s="126"/>
      <c r="E24" s="126"/>
      <c r="F24" s="126"/>
      <c r="G24" s="126"/>
      <c r="H24" s="91">
        <f>PREÇOS!H25</f>
        <v>7.85</v>
      </c>
      <c r="I24" s="93">
        <f t="shared" si="0"/>
        <v>0</v>
      </c>
      <c r="J24" s="93">
        <f t="shared" si="1"/>
        <v>0</v>
      </c>
    </row>
    <row r="25" spans="1:10" x14ac:dyDescent="0.3">
      <c r="A25" s="124" t="s">
        <v>58</v>
      </c>
      <c r="B25" s="132">
        <v>0.12</v>
      </c>
      <c r="C25" s="132">
        <f>VLOOKUP(A25,[2]DIFAL!$C$13:$H$39,5,)</f>
        <v>0.17</v>
      </c>
      <c r="D25" s="126"/>
      <c r="E25" s="126"/>
      <c r="F25" s="126"/>
      <c r="G25" s="126"/>
      <c r="H25" s="91">
        <f>PREÇOS!H26</f>
        <v>7.85</v>
      </c>
      <c r="I25" s="93">
        <f t="shared" si="0"/>
        <v>0</v>
      </c>
      <c r="J25" s="93">
        <f t="shared" si="1"/>
        <v>0</v>
      </c>
    </row>
    <row r="26" spans="1:10" x14ac:dyDescent="0.3">
      <c r="A26" s="124" t="s">
        <v>59</v>
      </c>
      <c r="B26" s="132">
        <v>7.0000000000000007E-2</v>
      </c>
      <c r="C26" s="132">
        <v>0.2</v>
      </c>
      <c r="D26" s="126"/>
      <c r="E26" s="126"/>
      <c r="F26" s="126"/>
      <c r="G26" s="126"/>
      <c r="H26" s="51">
        <f>PREÇOS!H27</f>
        <v>7.41</v>
      </c>
      <c r="I26" s="48">
        <f t="shared" si="0"/>
        <v>0</v>
      </c>
      <c r="J26" s="48">
        <f t="shared" si="1"/>
        <v>0</v>
      </c>
    </row>
    <row r="27" spans="1:10" x14ac:dyDescent="0.3">
      <c r="A27" s="124" t="s">
        <v>34</v>
      </c>
      <c r="B27" s="132">
        <v>0.12</v>
      </c>
      <c r="C27" s="132">
        <f>VLOOKUP(A27,[2]DIFAL!$C$13:$H$39,5,)</f>
        <v>0.18</v>
      </c>
      <c r="D27" s="126">
        <v>0.5917</v>
      </c>
      <c r="E27" s="126"/>
      <c r="F27" s="126">
        <v>0.5917</v>
      </c>
      <c r="G27" s="126"/>
      <c r="H27" s="91">
        <f>PREÇOS!H28</f>
        <v>7.85</v>
      </c>
      <c r="I27" s="93">
        <f t="shared" ref="I27:I29" si="2">IF(F27=0,,H27*(1+F27)*C27-(H27*B27))</f>
        <v>1.3070720999999994</v>
      </c>
      <c r="J27" s="93">
        <f t="shared" ref="J27:J29" si="3">IF(G27=0,IF(F27=0,,H27*(1+F27)*C27-(H27*B27)),H27*(1+G27)*C27-(H27*B27))</f>
        <v>1.3070720999999994</v>
      </c>
    </row>
    <row r="28" spans="1:10" x14ac:dyDescent="0.3">
      <c r="A28" s="124" t="s">
        <v>130</v>
      </c>
      <c r="B28" s="132">
        <f>B27</f>
        <v>0.12</v>
      </c>
      <c r="C28" s="132">
        <f t="shared" ref="C28:G28" si="4">C27</f>
        <v>0.18</v>
      </c>
      <c r="D28" s="126">
        <v>0.48320000000000002</v>
      </c>
      <c r="E28" s="126">
        <f t="shared" si="4"/>
        <v>0</v>
      </c>
      <c r="F28" s="126">
        <v>0.48320000000000002</v>
      </c>
      <c r="G28" s="132">
        <f t="shared" si="4"/>
        <v>0</v>
      </c>
      <c r="H28" s="122">
        <f>PREÇOS!H29</f>
        <v>7.85</v>
      </c>
      <c r="I28" s="121">
        <f t="shared" si="2"/>
        <v>1.1537615999999999</v>
      </c>
      <c r="J28" s="121">
        <f t="shared" si="3"/>
        <v>1.1537615999999999</v>
      </c>
    </row>
    <row r="29" spans="1:10" x14ac:dyDescent="0.3">
      <c r="A29" s="124" t="s">
        <v>60</v>
      </c>
      <c r="B29" s="132">
        <v>7.0000000000000007E-2</v>
      </c>
      <c r="C29" s="132">
        <f>VLOOKUP(A29,[2]DIFAL!$C$13:$H$39,6,)</f>
        <v>0.2</v>
      </c>
      <c r="D29" s="126"/>
      <c r="E29" s="126"/>
      <c r="F29" s="126"/>
      <c r="G29" s="126"/>
      <c r="H29" s="51">
        <f>PREÇOS!H30</f>
        <v>7.41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77734375" bestFit="1" customWidth="1"/>
    <col min="4" max="4" width="16" bestFit="1" customWidth="1"/>
    <col min="5" max="5" width="17" bestFit="1" customWidth="1"/>
    <col min="6" max="6" width="20.77734375" bestFit="1" customWidth="1"/>
    <col min="7" max="7" width="21.77734375" bestFit="1" customWidth="1"/>
    <col min="8" max="8" width="10.77734375" customWidth="1"/>
    <col min="9" max="9" width="12.77734375" bestFit="1" customWidth="1"/>
    <col min="10" max="10" width="13.77734375" style="4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32">
        <f>VLOOKUP(A2,[2]DIFAL!$C$13:$E$39,3,0)</f>
        <v>7.0000000000000007E-2</v>
      </c>
      <c r="C2" s="132">
        <v>0.17</v>
      </c>
      <c r="D2" s="126"/>
      <c r="E2" s="126"/>
      <c r="F2" s="126"/>
      <c r="G2" s="126"/>
      <c r="H2" s="7">
        <f>PREÇOS!G3</f>
        <v>7.71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4" t="s">
        <v>37</v>
      </c>
      <c r="B3" s="132">
        <f>VLOOKUP(A3,[2]DIFAL!$C$13:$E$39,3,0)</f>
        <v>7.0000000000000007E-2</v>
      </c>
      <c r="C3" s="132">
        <v>0.2</v>
      </c>
      <c r="D3" s="126"/>
      <c r="E3" s="126"/>
      <c r="F3" s="126">
        <v>0.71</v>
      </c>
      <c r="G3" s="126"/>
      <c r="H3" s="7">
        <f>PREÇOS!G4</f>
        <v>7.71</v>
      </c>
      <c r="I3" s="89">
        <f>IF(F3=0,,H3*(1+F3)*C3-(H3*B3))</f>
        <v>2.0971200000000003</v>
      </c>
      <c r="J3" s="4">
        <f t="shared" si="1"/>
        <v>2.0971200000000003</v>
      </c>
    </row>
    <row r="4" spans="1:10" x14ac:dyDescent="0.3">
      <c r="A4" s="124" t="s">
        <v>38</v>
      </c>
      <c r="B4" s="132">
        <f>VLOOKUP(A4,[2]DIFAL!$C$13:$E$39,3,0)</f>
        <v>7.0000000000000007E-2</v>
      </c>
      <c r="C4" s="132">
        <v>0.2</v>
      </c>
      <c r="D4" s="126"/>
      <c r="E4" s="126"/>
      <c r="F4" s="126">
        <v>0.55379999999999996</v>
      </c>
      <c r="G4" s="126"/>
      <c r="H4" s="7">
        <f>PREÇOS!G5</f>
        <v>7.71</v>
      </c>
      <c r="I4" s="89">
        <f t="shared" si="0"/>
        <v>1.8562595999999998</v>
      </c>
      <c r="J4" s="4">
        <f t="shared" si="1"/>
        <v>1.8562595999999998</v>
      </c>
    </row>
    <row r="5" spans="1:10" x14ac:dyDescent="0.3">
      <c r="A5" s="124" t="s">
        <v>39</v>
      </c>
      <c r="B5" s="132">
        <f>VLOOKUP(A5,[2]DIFAL!$C$13:$E$39,3,0)</f>
        <v>7.0000000000000007E-2</v>
      </c>
      <c r="C5" s="132">
        <v>0.18</v>
      </c>
      <c r="D5" s="126"/>
      <c r="E5" s="126"/>
      <c r="F5" s="126"/>
      <c r="G5" s="126"/>
      <c r="H5" s="7">
        <f>PREÇOS!G6</f>
        <v>7.71</v>
      </c>
      <c r="I5" s="89">
        <f t="shared" si="0"/>
        <v>0</v>
      </c>
      <c r="J5" s="4">
        <f t="shared" si="1"/>
        <v>0</v>
      </c>
    </row>
    <row r="6" spans="1:10" x14ac:dyDescent="0.3">
      <c r="A6" s="124" t="s">
        <v>40</v>
      </c>
      <c r="B6" s="132">
        <f>VLOOKUP(A6,[2]DIFAL!$C$13:$E$39,3,0)</f>
        <v>7.0000000000000007E-2</v>
      </c>
      <c r="C6" s="132">
        <v>0.19</v>
      </c>
      <c r="D6" s="126"/>
      <c r="E6" s="126"/>
      <c r="F6" s="126"/>
      <c r="G6" s="126"/>
      <c r="H6" s="7">
        <f>PREÇOS!G7</f>
        <v>7.71</v>
      </c>
      <c r="I6" s="89">
        <f t="shared" si="0"/>
        <v>0</v>
      </c>
      <c r="J6" s="4">
        <f t="shared" si="1"/>
        <v>0</v>
      </c>
    </row>
    <row r="7" spans="1:10" x14ac:dyDescent="0.3">
      <c r="A7" s="124" t="s">
        <v>41</v>
      </c>
      <c r="B7" s="132">
        <f>VLOOKUP(A7,[2]DIFAL!$C$13:$E$39,3,0)</f>
        <v>7.0000000000000007E-2</v>
      </c>
      <c r="C7" s="132">
        <v>0.2</v>
      </c>
      <c r="D7" s="126"/>
      <c r="E7" s="126"/>
      <c r="F7" s="126"/>
      <c r="G7" s="126"/>
      <c r="H7" s="7">
        <f>PREÇOS!G8</f>
        <v>7.71</v>
      </c>
      <c r="I7" s="89">
        <f t="shared" si="0"/>
        <v>0</v>
      </c>
      <c r="J7" s="4">
        <f t="shared" si="1"/>
        <v>0</v>
      </c>
    </row>
    <row r="8" spans="1:10" x14ac:dyDescent="0.3">
      <c r="A8" s="124" t="s">
        <v>42</v>
      </c>
      <c r="B8" s="132">
        <f>VLOOKUP(A8,[2]DIFAL!$C$13:$E$39,3,0)</f>
        <v>7.0000000000000007E-2</v>
      </c>
      <c r="C8" s="132">
        <v>0.18</v>
      </c>
      <c r="D8" s="126"/>
      <c r="E8" s="126"/>
      <c r="F8" s="126"/>
      <c r="G8" s="126"/>
      <c r="H8" s="7">
        <f>PREÇOS!G9</f>
        <v>7.71</v>
      </c>
      <c r="I8" s="89">
        <f t="shared" si="0"/>
        <v>0</v>
      </c>
      <c r="J8" s="4">
        <f t="shared" si="1"/>
        <v>0</v>
      </c>
    </row>
    <row r="9" spans="1:10" x14ac:dyDescent="0.3">
      <c r="A9" s="124" t="s">
        <v>43</v>
      </c>
      <c r="B9" s="132">
        <f>VLOOKUP(A9,[2]DIFAL!$C$13:$E$39,3,0)</f>
        <v>7.0000000000000007E-2</v>
      </c>
      <c r="C9" s="132">
        <v>0.17</v>
      </c>
      <c r="D9" s="126"/>
      <c r="E9" s="126"/>
      <c r="F9" s="126"/>
      <c r="G9" s="126"/>
      <c r="H9" s="7">
        <f>PREÇOS!G10</f>
        <v>7.71</v>
      </c>
      <c r="I9" s="89">
        <f t="shared" si="0"/>
        <v>0</v>
      </c>
      <c r="J9" s="4">
        <f t="shared" si="1"/>
        <v>0</v>
      </c>
    </row>
    <row r="10" spans="1:10" x14ac:dyDescent="0.3">
      <c r="A10" s="124" t="s">
        <v>44</v>
      </c>
      <c r="B10" s="132">
        <f>VLOOKUP(A10,[2]DIFAL!$C$13:$E$39,3,0)</f>
        <v>7.0000000000000007E-2</v>
      </c>
      <c r="C10" s="132">
        <v>0.17</v>
      </c>
      <c r="D10" s="126"/>
      <c r="E10" s="126"/>
      <c r="F10" s="126"/>
      <c r="G10" s="126"/>
      <c r="H10" s="7">
        <f>PREÇOS!G11</f>
        <v>7.71</v>
      </c>
      <c r="I10" s="89">
        <f t="shared" si="0"/>
        <v>0</v>
      </c>
      <c r="J10" s="4">
        <f t="shared" si="1"/>
        <v>0</v>
      </c>
    </row>
    <row r="11" spans="1:10" x14ac:dyDescent="0.3">
      <c r="A11" s="124" t="s">
        <v>45</v>
      </c>
      <c r="B11" s="132">
        <f>VLOOKUP(A11,[2]DIFAL!$C$13:$E$39,3,0)</f>
        <v>7.0000000000000007E-2</v>
      </c>
      <c r="C11" s="132">
        <v>0.2</v>
      </c>
      <c r="D11" s="126"/>
      <c r="E11" s="126"/>
      <c r="F11" s="126"/>
      <c r="G11" s="126"/>
      <c r="H11" s="7">
        <f>PREÇOS!G12</f>
        <v>7.71</v>
      </c>
      <c r="I11" s="89">
        <f t="shared" si="0"/>
        <v>0</v>
      </c>
      <c r="J11" s="4">
        <f t="shared" si="1"/>
        <v>0</v>
      </c>
    </row>
    <row r="12" spans="1:10" x14ac:dyDescent="0.3">
      <c r="A12" s="124" t="s">
        <v>46</v>
      </c>
      <c r="B12" s="132">
        <f>VLOOKUP(A12,[2]DIFAL!$C$13:$E$39,3,0)</f>
        <v>0.12</v>
      </c>
      <c r="C12" s="132">
        <v>0.18</v>
      </c>
      <c r="D12" s="126"/>
      <c r="E12" s="126"/>
      <c r="F12" s="126">
        <v>0.44879999999999998</v>
      </c>
      <c r="G12" s="126"/>
      <c r="H12" s="91">
        <f>PREÇOS!G13</f>
        <v>8.15</v>
      </c>
      <c r="I12" s="92">
        <f t="shared" si="0"/>
        <v>1.1473896000000001</v>
      </c>
      <c r="J12" s="93">
        <f t="shared" si="1"/>
        <v>1.1473896000000001</v>
      </c>
    </row>
    <row r="13" spans="1:10" x14ac:dyDescent="0.3">
      <c r="A13" s="124" t="s">
        <v>47</v>
      </c>
      <c r="B13" s="132">
        <f>VLOOKUP(A13,[2]DIFAL!$C$13:$E$39,3,0)</f>
        <v>7.0000000000000007E-2</v>
      </c>
      <c r="C13" s="132">
        <v>0.17</v>
      </c>
      <c r="D13" s="126"/>
      <c r="E13" s="126"/>
      <c r="F13" s="126"/>
      <c r="G13" s="126"/>
      <c r="H13" s="7">
        <f>PREÇOS!G14</f>
        <v>7.71</v>
      </c>
      <c r="I13" s="89">
        <f t="shared" si="0"/>
        <v>0</v>
      </c>
      <c r="J13" s="4">
        <f t="shared" si="1"/>
        <v>0</v>
      </c>
    </row>
    <row r="14" spans="1:10" x14ac:dyDescent="0.3">
      <c r="A14" s="124" t="s">
        <v>48</v>
      </c>
      <c r="B14" s="132">
        <f>VLOOKUP(A14,[2]DIFAL!$C$13:$E$39,3,0)</f>
        <v>7.0000000000000007E-2</v>
      </c>
      <c r="C14" s="132">
        <v>0.17</v>
      </c>
      <c r="D14" s="126"/>
      <c r="E14" s="126"/>
      <c r="F14" s="126">
        <v>0.45519999999999999</v>
      </c>
      <c r="G14" s="126"/>
      <c r="H14" s="7">
        <f>PREÇOS!G15</f>
        <v>7.71</v>
      </c>
      <c r="I14" s="89">
        <f t="shared" si="0"/>
        <v>1.3676306400000002</v>
      </c>
      <c r="J14" s="4">
        <f t="shared" si="1"/>
        <v>1.3676306400000002</v>
      </c>
    </row>
    <row r="15" spans="1:10" x14ac:dyDescent="0.3">
      <c r="A15" s="124" t="s">
        <v>49</v>
      </c>
      <c r="B15" s="132">
        <f>VLOOKUP(A15,[2]DIFAL!$C$13:$E$39,3,0)</f>
        <v>7.0000000000000007E-2</v>
      </c>
      <c r="C15" s="132">
        <v>0.19</v>
      </c>
      <c r="D15" s="126"/>
      <c r="E15" s="126"/>
      <c r="F15" s="126"/>
      <c r="G15" s="126"/>
      <c r="H15" s="7">
        <f>PREÇOS!G16</f>
        <v>7.71</v>
      </c>
      <c r="I15" s="89">
        <f t="shared" si="0"/>
        <v>0</v>
      </c>
      <c r="J15" s="4">
        <f t="shared" si="1"/>
        <v>0</v>
      </c>
    </row>
    <row r="16" spans="1:10" x14ac:dyDescent="0.3">
      <c r="A16" s="124" t="s">
        <v>50</v>
      </c>
      <c r="B16" s="132">
        <f>VLOOKUP(A16,[2]DIFAL!$C$13:$E$39,3,0)</f>
        <v>7.0000000000000007E-2</v>
      </c>
      <c r="C16" s="132">
        <v>0.18</v>
      </c>
      <c r="D16" s="126"/>
      <c r="E16" s="126"/>
      <c r="F16" s="126"/>
      <c r="G16" s="126"/>
      <c r="H16" s="7">
        <f>PREÇOS!G17</f>
        <v>7.71</v>
      </c>
      <c r="I16" s="89">
        <f t="shared" si="0"/>
        <v>0</v>
      </c>
      <c r="J16" s="4">
        <f t="shared" si="1"/>
        <v>0</v>
      </c>
    </row>
    <row r="17" spans="1:10" x14ac:dyDescent="0.3">
      <c r="A17" s="124" t="s">
        <v>51</v>
      </c>
      <c r="B17" s="132">
        <f>VLOOKUP(A17,[2]DIFAL!$C$13:$E$39,3,0)</f>
        <v>7.0000000000000007E-2</v>
      </c>
      <c r="C17" s="132">
        <v>0.18</v>
      </c>
      <c r="D17" s="126"/>
      <c r="E17" s="126"/>
      <c r="F17" s="126"/>
      <c r="G17" s="126"/>
      <c r="H17" s="7">
        <f>PREÇOS!G18</f>
        <v>7.71</v>
      </c>
      <c r="I17" s="89">
        <f t="shared" si="0"/>
        <v>0</v>
      </c>
      <c r="J17" s="4">
        <f t="shared" si="1"/>
        <v>0</v>
      </c>
    </row>
    <row r="18" spans="1:10" x14ac:dyDescent="0.3">
      <c r="A18" s="124" t="s">
        <v>52</v>
      </c>
      <c r="B18" s="132">
        <f>VLOOKUP(A18,[2]DIFAL!$C$13:$E$39,3,0)</f>
        <v>7.0000000000000007E-2</v>
      </c>
      <c r="C18" s="132">
        <v>0.21</v>
      </c>
      <c r="D18" s="126"/>
      <c r="E18" s="126"/>
      <c r="F18" s="126"/>
      <c r="G18" s="126"/>
      <c r="H18" s="7">
        <f>PREÇOS!G19</f>
        <v>7.71</v>
      </c>
      <c r="I18" s="89">
        <f t="shared" si="0"/>
        <v>0</v>
      </c>
      <c r="J18" s="4">
        <f t="shared" si="1"/>
        <v>0</v>
      </c>
    </row>
    <row r="19" spans="1:10" x14ac:dyDescent="0.3">
      <c r="A19" s="124" t="s">
        <v>33</v>
      </c>
      <c r="B19" s="132">
        <v>0.12</v>
      </c>
      <c r="C19" s="132">
        <v>0.19500000000000001</v>
      </c>
      <c r="D19" s="126"/>
      <c r="E19" s="126"/>
      <c r="F19" s="126">
        <v>0.60799999999999998</v>
      </c>
      <c r="G19" s="126"/>
      <c r="H19" s="91">
        <f>PREÇOS!G20</f>
        <v>8.15</v>
      </c>
      <c r="I19" s="92">
        <f>IF(F19=0,,H19*(1+F19)*C19-(H19*B19))</f>
        <v>1.5775140000000005</v>
      </c>
      <c r="J19" s="93">
        <f t="shared" si="1"/>
        <v>1.5775140000000005</v>
      </c>
    </row>
    <row r="20" spans="1:10" x14ac:dyDescent="0.3">
      <c r="A20" s="124" t="s">
        <v>53</v>
      </c>
      <c r="B20" s="132">
        <f>VLOOKUP(A20,[2]DIFAL!$C$13:$E$39,3,0)</f>
        <v>0.12</v>
      </c>
      <c r="C20" s="132">
        <v>0.22</v>
      </c>
      <c r="D20" s="126"/>
      <c r="E20" s="126"/>
      <c r="F20" s="126">
        <v>0.54730000000000001</v>
      </c>
      <c r="G20" s="126"/>
      <c r="H20" s="91">
        <f>PREÇOS!G21</f>
        <v>8.15</v>
      </c>
      <c r="I20" s="92">
        <f t="shared" si="0"/>
        <v>1.7963088999999999</v>
      </c>
      <c r="J20" s="93">
        <f t="shared" si="1"/>
        <v>1.7963088999999999</v>
      </c>
    </row>
    <row r="21" spans="1:10" x14ac:dyDescent="0.3">
      <c r="A21" s="124" t="s">
        <v>54</v>
      </c>
      <c r="B21" s="132">
        <f>VLOOKUP(A21,[2]DIFAL!$C$13:$E$39,3,0)</f>
        <v>7.0000000000000007E-2</v>
      </c>
      <c r="C21" s="132">
        <v>0.2</v>
      </c>
      <c r="D21" s="126"/>
      <c r="E21" s="126"/>
      <c r="F21" s="126"/>
      <c r="G21" s="126"/>
      <c r="H21" s="7">
        <f>PREÇOS!G22</f>
        <v>7.71</v>
      </c>
      <c r="I21" s="89">
        <f t="shared" si="0"/>
        <v>0</v>
      </c>
      <c r="J21" s="4">
        <f t="shared" si="1"/>
        <v>0</v>
      </c>
    </row>
    <row r="22" spans="1:10" x14ac:dyDescent="0.3">
      <c r="A22" s="124" t="s">
        <v>55</v>
      </c>
      <c r="B22" s="132">
        <f>VLOOKUP(A22,[2]DIFAL!$C$13:$E$39,3,0)</f>
        <v>7.0000000000000007E-2</v>
      </c>
      <c r="C22" s="132">
        <v>0.17499999999999999</v>
      </c>
      <c r="D22" s="126"/>
      <c r="E22" s="126"/>
      <c r="F22" s="126"/>
      <c r="G22" s="126"/>
      <c r="H22" s="7">
        <f>PREÇOS!G23</f>
        <v>7.71</v>
      </c>
      <c r="I22" s="89">
        <f t="shared" si="0"/>
        <v>0</v>
      </c>
      <c r="J22" s="4">
        <f t="shared" si="1"/>
        <v>0</v>
      </c>
    </row>
    <row r="23" spans="1:10" x14ac:dyDescent="0.3">
      <c r="A23" s="124" t="s">
        <v>56</v>
      </c>
      <c r="B23" s="132">
        <f>VLOOKUP(A23,[2]DIFAL!$C$13:$E$39,3,0)</f>
        <v>7.0000000000000007E-2</v>
      </c>
      <c r="C23" s="132">
        <v>0.2</v>
      </c>
      <c r="D23" s="126"/>
      <c r="E23" s="126"/>
      <c r="F23" s="126"/>
      <c r="G23" s="126"/>
      <c r="H23" s="7">
        <f>PREÇOS!G24</f>
        <v>7.71</v>
      </c>
      <c r="I23" s="89">
        <f t="shared" si="0"/>
        <v>0</v>
      </c>
      <c r="J23" s="4">
        <f t="shared" si="1"/>
        <v>0</v>
      </c>
    </row>
    <row r="24" spans="1:10" x14ac:dyDescent="0.3">
      <c r="A24" s="124" t="s">
        <v>57</v>
      </c>
      <c r="B24" s="132">
        <f>VLOOKUP(A24,[2]DIFAL!$C$13:$E$39,3,0)</f>
        <v>0.12</v>
      </c>
      <c r="C24" s="132">
        <v>0.17</v>
      </c>
      <c r="D24" s="126"/>
      <c r="E24" s="126"/>
      <c r="F24" s="126"/>
      <c r="G24" s="126"/>
      <c r="H24" s="91">
        <f>PREÇOS!G25</f>
        <v>8.15</v>
      </c>
      <c r="I24" s="92">
        <f t="shared" si="0"/>
        <v>0</v>
      </c>
      <c r="J24" s="93">
        <f t="shared" si="1"/>
        <v>0</v>
      </c>
    </row>
    <row r="25" spans="1:10" x14ac:dyDescent="0.3">
      <c r="A25" s="124" t="s">
        <v>58</v>
      </c>
      <c r="B25" s="132">
        <f>VLOOKUP(A25,[2]DIFAL!$C$13:$E$39,3,0)</f>
        <v>0.12</v>
      </c>
      <c r="C25" s="132">
        <v>0.17</v>
      </c>
      <c r="D25" s="126"/>
      <c r="E25" s="126"/>
      <c r="F25" s="126"/>
      <c r="G25" s="126"/>
      <c r="H25" s="91">
        <f>PREÇOS!G26</f>
        <v>8.15</v>
      </c>
      <c r="I25" s="92">
        <f t="shared" si="0"/>
        <v>0</v>
      </c>
      <c r="J25" s="93">
        <f t="shared" si="1"/>
        <v>0</v>
      </c>
    </row>
    <row r="26" spans="1:10" x14ac:dyDescent="0.3">
      <c r="A26" s="124" t="s">
        <v>59</v>
      </c>
      <c r="B26" s="132">
        <f>VLOOKUP(A26,[2]DIFAL!$C$13:$E$39,3,0)</f>
        <v>7.0000000000000007E-2</v>
      </c>
      <c r="C26" s="132">
        <v>0.2</v>
      </c>
      <c r="D26" s="126"/>
      <c r="E26" s="126"/>
      <c r="F26" s="126"/>
      <c r="G26" s="126"/>
      <c r="H26" s="7">
        <f>PREÇOS!G27</f>
        <v>7.71</v>
      </c>
      <c r="I26" s="90">
        <f t="shared" si="0"/>
        <v>0</v>
      </c>
      <c r="J26" s="48">
        <f t="shared" si="1"/>
        <v>0</v>
      </c>
    </row>
    <row r="27" spans="1:10" x14ac:dyDescent="0.3">
      <c r="A27" s="124" t="s">
        <v>34</v>
      </c>
      <c r="B27" s="132">
        <f>VLOOKUP(A27,[2]DIFAL!$C$13:$E$39,3,0)</f>
        <v>0.12</v>
      </c>
      <c r="C27" s="132">
        <v>0.18</v>
      </c>
      <c r="D27" s="126"/>
      <c r="E27" s="126"/>
      <c r="F27" s="126">
        <v>0.46300000000000002</v>
      </c>
      <c r="G27" s="126"/>
      <c r="H27" s="91">
        <f>PREÇOS!G28</f>
        <v>8.15</v>
      </c>
      <c r="I27" s="92">
        <f t="shared" ref="I27:I30" si="2">IF(F27=0,,H27*(1+F27)*C27-(H27*B27))</f>
        <v>1.1682210000000002</v>
      </c>
      <c r="J27" s="93">
        <f t="shared" ref="J27:J30" si="3">IF(G27=0,IF(F27=0,,H27*(1+F27)*C27-(H27*B27)),H27*(1+G27)*C27-(H27*B27))</f>
        <v>1.1682210000000002</v>
      </c>
    </row>
    <row r="28" spans="1:10" x14ac:dyDescent="0.3">
      <c r="A28" s="127" t="s">
        <v>130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22">
        <f>PREÇOS!G29</f>
        <v>8.15</v>
      </c>
      <c r="I28" s="123">
        <f t="shared" si="2"/>
        <v>1.1682210000000002</v>
      </c>
      <c r="J28" s="121">
        <f t="shared" si="3"/>
        <v>1.1682210000000002</v>
      </c>
    </row>
    <row r="29" spans="1:10" x14ac:dyDescent="0.3">
      <c r="A29" s="124" t="s">
        <v>60</v>
      </c>
      <c r="B29" s="132">
        <f>VLOOKUP(A29,[2]DIFAL!$C$13:$E$39,3,0)</f>
        <v>7.0000000000000007E-2</v>
      </c>
      <c r="C29" s="132">
        <v>0.2</v>
      </c>
      <c r="D29" s="126"/>
      <c r="E29" s="126"/>
      <c r="F29" s="126"/>
      <c r="G29" s="126"/>
      <c r="H29" s="7">
        <f>PREÇOS!G30</f>
        <v>7.71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112</v>
      </c>
      <c r="H30" s="7">
        <f>PREÇOS!G31</f>
        <v>0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77734375" bestFit="1" customWidth="1"/>
    <col min="4" max="4" width="16" bestFit="1" customWidth="1"/>
    <col min="5" max="5" width="17" bestFit="1" customWidth="1"/>
    <col min="6" max="6" width="20.77734375" bestFit="1" customWidth="1"/>
    <col min="7" max="7" width="21.77734375" bestFit="1" customWidth="1"/>
    <col min="8" max="8" width="10.77734375" customWidth="1"/>
    <col min="9" max="9" width="12.77734375" bestFit="1" customWidth="1"/>
    <col min="10" max="10" width="13.77734375" style="4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32">
        <f>VLOOKUP(A2,[2]DIFAL!$C$13:$E$39,3,0)</f>
        <v>7.0000000000000007E-2</v>
      </c>
      <c r="C2" s="132">
        <v>0.17</v>
      </c>
      <c r="D2" s="126"/>
      <c r="E2" s="126"/>
      <c r="F2" s="126"/>
      <c r="G2" s="126"/>
      <c r="H2" s="7">
        <f>PREÇOS!J3</f>
        <v>5.94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4" t="s">
        <v>37</v>
      </c>
      <c r="B3" s="132">
        <f>VLOOKUP(A3,[2]DIFAL!$C$13:$E$39,3,0)</f>
        <v>7.0000000000000007E-2</v>
      </c>
      <c r="C3" s="132">
        <v>0.2</v>
      </c>
      <c r="D3" s="126"/>
      <c r="E3" s="126"/>
      <c r="F3" s="126">
        <v>0.71</v>
      </c>
      <c r="G3" s="126"/>
      <c r="H3" s="7">
        <f>PREÇOS!J4</f>
        <v>5.94</v>
      </c>
      <c r="I3" s="89">
        <f>IF(F3=0,,H3*(1+F3)*C3-(H3*B3))</f>
        <v>1.6156800000000002</v>
      </c>
      <c r="J3" s="4">
        <f t="shared" si="1"/>
        <v>1.6156800000000002</v>
      </c>
    </row>
    <row r="4" spans="1:10" x14ac:dyDescent="0.3">
      <c r="A4" s="124" t="s">
        <v>38</v>
      </c>
      <c r="B4" s="132">
        <f>VLOOKUP(A4,[2]DIFAL!$C$13:$E$39,3,0)</f>
        <v>7.0000000000000007E-2</v>
      </c>
      <c r="C4" s="132">
        <v>0.2</v>
      </c>
      <c r="D4" s="126"/>
      <c r="E4" s="126"/>
      <c r="F4" s="126">
        <v>0.55379999999999996</v>
      </c>
      <c r="G4" s="126"/>
      <c r="H4" s="7">
        <f>PREÇOS!J5</f>
        <v>5.94</v>
      </c>
      <c r="I4" s="89">
        <f t="shared" si="0"/>
        <v>1.4301143999999999</v>
      </c>
      <c r="J4" s="4">
        <f t="shared" si="1"/>
        <v>1.4301143999999999</v>
      </c>
    </row>
    <row r="5" spans="1:10" x14ac:dyDescent="0.3">
      <c r="A5" s="124" t="s">
        <v>39</v>
      </c>
      <c r="B5" s="132">
        <f>VLOOKUP(A5,[2]DIFAL!$C$13:$E$39,3,0)</f>
        <v>7.0000000000000007E-2</v>
      </c>
      <c r="C5" s="132">
        <v>0.18</v>
      </c>
      <c r="D5" s="126"/>
      <c r="E5" s="126"/>
      <c r="F5" s="126"/>
      <c r="G5" s="126"/>
      <c r="H5" s="7">
        <f>PREÇOS!J6</f>
        <v>5.94</v>
      </c>
      <c r="I5" s="89">
        <f t="shared" si="0"/>
        <v>0</v>
      </c>
      <c r="J5" s="4">
        <f t="shared" si="1"/>
        <v>0</v>
      </c>
    </row>
    <row r="6" spans="1:10" x14ac:dyDescent="0.3">
      <c r="A6" s="124" t="s">
        <v>40</v>
      </c>
      <c r="B6" s="132">
        <f>VLOOKUP(A6,[2]DIFAL!$C$13:$E$39,3,0)</f>
        <v>7.0000000000000007E-2</v>
      </c>
      <c r="C6" s="132">
        <v>0.19</v>
      </c>
      <c r="D6" s="126"/>
      <c r="E6" s="126"/>
      <c r="F6" s="126"/>
      <c r="G6" s="126"/>
      <c r="H6" s="7">
        <f>PREÇOS!J7</f>
        <v>5.94</v>
      </c>
      <c r="I6" s="89">
        <f t="shared" si="0"/>
        <v>0</v>
      </c>
      <c r="J6" s="4">
        <f t="shared" si="1"/>
        <v>0</v>
      </c>
    </row>
    <row r="7" spans="1:10" x14ac:dyDescent="0.3">
      <c r="A7" s="124" t="s">
        <v>41</v>
      </c>
      <c r="B7" s="132">
        <f>VLOOKUP(A7,[2]DIFAL!$C$13:$E$39,3,0)</f>
        <v>7.0000000000000007E-2</v>
      </c>
      <c r="C7" s="132">
        <v>0.2</v>
      </c>
      <c r="D7" s="126"/>
      <c r="E7" s="126"/>
      <c r="F7" s="126"/>
      <c r="G7" s="126"/>
      <c r="H7" s="7">
        <f>PREÇOS!J8</f>
        <v>5.94</v>
      </c>
      <c r="I7" s="89">
        <f t="shared" si="0"/>
        <v>0</v>
      </c>
      <c r="J7" s="4">
        <f t="shared" si="1"/>
        <v>0</v>
      </c>
    </row>
    <row r="8" spans="1:10" x14ac:dyDescent="0.3">
      <c r="A8" s="124" t="s">
        <v>42</v>
      </c>
      <c r="B8" s="132">
        <f>VLOOKUP(A8,[2]DIFAL!$C$13:$E$39,3,0)</f>
        <v>7.0000000000000007E-2</v>
      </c>
      <c r="C8" s="132">
        <v>0.18</v>
      </c>
      <c r="D8" s="126"/>
      <c r="E8" s="126"/>
      <c r="F8" s="126"/>
      <c r="G8" s="126"/>
      <c r="H8" s="7">
        <f>PREÇOS!J9</f>
        <v>5.94</v>
      </c>
      <c r="I8" s="89">
        <f t="shared" si="0"/>
        <v>0</v>
      </c>
      <c r="J8" s="4">
        <f t="shared" si="1"/>
        <v>0</v>
      </c>
    </row>
    <row r="9" spans="1:10" x14ac:dyDescent="0.3">
      <c r="A9" s="124" t="s">
        <v>43</v>
      </c>
      <c r="B9" s="132">
        <f>VLOOKUP(A9,[2]DIFAL!$C$13:$E$39,3,0)</f>
        <v>7.0000000000000007E-2</v>
      </c>
      <c r="C9" s="132">
        <v>0.17</v>
      </c>
      <c r="D9" s="126"/>
      <c r="E9" s="126"/>
      <c r="F9" s="126"/>
      <c r="G9" s="126"/>
      <c r="H9" s="7">
        <f>PREÇOS!J10</f>
        <v>5.45</v>
      </c>
      <c r="I9" s="89">
        <f t="shared" si="0"/>
        <v>0</v>
      </c>
      <c r="J9" s="4">
        <f t="shared" si="1"/>
        <v>0</v>
      </c>
    </row>
    <row r="10" spans="1:10" x14ac:dyDescent="0.3">
      <c r="A10" s="124" t="s">
        <v>44</v>
      </c>
      <c r="B10" s="132">
        <f>VLOOKUP(A10,[2]DIFAL!$C$13:$E$39,3,0)</f>
        <v>7.0000000000000007E-2</v>
      </c>
      <c r="C10" s="132">
        <v>0.17</v>
      </c>
      <c r="D10" s="126"/>
      <c r="E10" s="126"/>
      <c r="F10" s="126"/>
      <c r="G10" s="126"/>
      <c r="H10" s="7">
        <f>PREÇOS!J11</f>
        <v>5.94</v>
      </c>
      <c r="I10" s="89">
        <f t="shared" si="0"/>
        <v>0</v>
      </c>
      <c r="J10" s="4">
        <f t="shared" si="1"/>
        <v>0</v>
      </c>
    </row>
    <row r="11" spans="1:10" x14ac:dyDescent="0.3">
      <c r="A11" s="124" t="s">
        <v>45</v>
      </c>
      <c r="B11" s="132">
        <f>VLOOKUP(A11,[2]DIFAL!$C$13:$E$39,3,0)</f>
        <v>7.0000000000000007E-2</v>
      </c>
      <c r="C11" s="132">
        <v>0.2</v>
      </c>
      <c r="D11" s="126"/>
      <c r="E11" s="126"/>
      <c r="F11" s="126"/>
      <c r="G11" s="126"/>
      <c r="H11" s="7">
        <f>PREÇOS!J12</f>
        <v>5.94</v>
      </c>
      <c r="I11" s="89">
        <f t="shared" si="0"/>
        <v>0</v>
      </c>
      <c r="J11" s="4">
        <f t="shared" si="1"/>
        <v>0</v>
      </c>
    </row>
    <row r="12" spans="1:10" x14ac:dyDescent="0.3">
      <c r="A12" s="124" t="s">
        <v>46</v>
      </c>
      <c r="B12" s="132">
        <f>VLOOKUP(A12,[2]DIFAL!$C$13:$E$39,3,0)</f>
        <v>0.12</v>
      </c>
      <c r="C12" s="132">
        <v>0.18</v>
      </c>
      <c r="D12" s="126"/>
      <c r="E12" s="126"/>
      <c r="F12" s="126">
        <v>0.44879999999999998</v>
      </c>
      <c r="G12" s="126"/>
      <c r="H12" s="7">
        <f>PREÇOS!J13</f>
        <v>5.75</v>
      </c>
      <c r="I12" s="92">
        <f t="shared" si="0"/>
        <v>0.80950799999999967</v>
      </c>
      <c r="J12" s="93">
        <f t="shared" si="1"/>
        <v>0.80950799999999967</v>
      </c>
    </row>
    <row r="13" spans="1:10" x14ac:dyDescent="0.3">
      <c r="A13" s="124" t="s">
        <v>47</v>
      </c>
      <c r="B13" s="132">
        <f>VLOOKUP(A13,[2]DIFAL!$C$13:$E$39,3,0)</f>
        <v>7.0000000000000007E-2</v>
      </c>
      <c r="C13" s="132">
        <v>0.17</v>
      </c>
      <c r="D13" s="126"/>
      <c r="E13" s="126"/>
      <c r="F13" s="126"/>
      <c r="G13" s="126"/>
      <c r="H13" s="7">
        <f>PREÇOS!J14</f>
        <v>5.94</v>
      </c>
      <c r="I13" s="89">
        <f t="shared" si="0"/>
        <v>0</v>
      </c>
      <c r="J13" s="4">
        <f t="shared" si="1"/>
        <v>0</v>
      </c>
    </row>
    <row r="14" spans="1:10" x14ac:dyDescent="0.3">
      <c r="A14" s="124" t="s">
        <v>48</v>
      </c>
      <c r="B14" s="132">
        <f>VLOOKUP(A14,[2]DIFAL!$C$13:$E$39,3,0)</f>
        <v>7.0000000000000007E-2</v>
      </c>
      <c r="C14" s="132">
        <v>0.17</v>
      </c>
      <c r="D14" s="126"/>
      <c r="E14" s="126"/>
      <c r="F14" s="126">
        <v>0.45519999999999999</v>
      </c>
      <c r="G14" s="126"/>
      <c r="H14" s="7">
        <f>PREÇOS!J15</f>
        <v>5.94</v>
      </c>
      <c r="I14" s="89">
        <f t="shared" si="0"/>
        <v>1.0536609600000002</v>
      </c>
      <c r="J14" s="4">
        <f t="shared" si="1"/>
        <v>1.0536609600000002</v>
      </c>
    </row>
    <row r="15" spans="1:10" x14ac:dyDescent="0.3">
      <c r="A15" s="124" t="s">
        <v>49</v>
      </c>
      <c r="B15" s="132">
        <f>VLOOKUP(A15,[2]DIFAL!$C$13:$E$39,3,0)</f>
        <v>7.0000000000000007E-2</v>
      </c>
      <c r="C15" s="132">
        <v>0.19</v>
      </c>
      <c r="D15" s="126"/>
      <c r="E15" s="126"/>
      <c r="F15" s="126"/>
      <c r="G15" s="126"/>
      <c r="H15" s="7">
        <f>PREÇOS!J16</f>
        <v>5.94</v>
      </c>
      <c r="I15" s="89">
        <f t="shared" si="0"/>
        <v>0</v>
      </c>
      <c r="J15" s="4">
        <f t="shared" si="1"/>
        <v>0</v>
      </c>
    </row>
    <row r="16" spans="1:10" x14ac:dyDescent="0.3">
      <c r="A16" s="124" t="s">
        <v>50</v>
      </c>
      <c r="B16" s="132">
        <f>VLOOKUP(A16,[2]DIFAL!$C$13:$E$39,3,0)</f>
        <v>7.0000000000000007E-2</v>
      </c>
      <c r="C16" s="132">
        <v>0.18</v>
      </c>
      <c r="D16" s="126"/>
      <c r="E16" s="126"/>
      <c r="F16" s="126"/>
      <c r="G16" s="126"/>
      <c r="H16" s="7">
        <f>PREÇOS!J17</f>
        <v>5.94</v>
      </c>
      <c r="I16" s="89">
        <f t="shared" si="0"/>
        <v>0</v>
      </c>
      <c r="J16" s="4">
        <f t="shared" si="1"/>
        <v>0</v>
      </c>
    </row>
    <row r="17" spans="1:10" x14ac:dyDescent="0.3">
      <c r="A17" s="124" t="s">
        <v>51</v>
      </c>
      <c r="B17" s="132">
        <f>VLOOKUP(A17,[2]DIFAL!$C$13:$E$39,3,0)</f>
        <v>7.0000000000000007E-2</v>
      </c>
      <c r="C17" s="132">
        <v>0.18</v>
      </c>
      <c r="D17" s="126"/>
      <c r="E17" s="126"/>
      <c r="F17" s="126"/>
      <c r="G17" s="126"/>
      <c r="H17" s="7">
        <f>PREÇOS!J18</f>
        <v>5.94</v>
      </c>
      <c r="I17" s="89">
        <f t="shared" si="0"/>
        <v>0</v>
      </c>
      <c r="J17" s="4">
        <f t="shared" si="1"/>
        <v>0</v>
      </c>
    </row>
    <row r="18" spans="1:10" x14ac:dyDescent="0.3">
      <c r="A18" s="124" t="s">
        <v>52</v>
      </c>
      <c r="B18" s="132">
        <f>VLOOKUP(A18,[2]DIFAL!$C$13:$E$39,3,0)</f>
        <v>7.0000000000000007E-2</v>
      </c>
      <c r="C18" s="132">
        <v>0.21</v>
      </c>
      <c r="D18" s="126"/>
      <c r="E18" s="126"/>
      <c r="F18" s="126"/>
      <c r="G18" s="126"/>
      <c r="H18" s="7">
        <f>PREÇOS!J19</f>
        <v>5.94</v>
      </c>
      <c r="I18" s="89">
        <f t="shared" si="0"/>
        <v>0</v>
      </c>
      <c r="J18" s="4">
        <f t="shared" si="1"/>
        <v>0</v>
      </c>
    </row>
    <row r="19" spans="1:10" x14ac:dyDescent="0.3">
      <c r="A19" s="124" t="s">
        <v>33</v>
      </c>
      <c r="B19" s="132">
        <v>0.12</v>
      </c>
      <c r="C19" s="132">
        <v>0.19500000000000001</v>
      </c>
      <c r="D19" s="126"/>
      <c r="E19" s="126"/>
      <c r="F19" s="126">
        <v>0.60799999999999998</v>
      </c>
      <c r="G19" s="126"/>
      <c r="H19" s="7">
        <f>PREÇOS!J20</f>
        <v>5.75</v>
      </c>
      <c r="I19" s="92">
        <f>IF(F19=0,,H19*(1+F19)*C19-(H19*B19))</f>
        <v>1.1129700000000002</v>
      </c>
      <c r="J19" s="93">
        <f t="shared" si="1"/>
        <v>1.1129700000000002</v>
      </c>
    </row>
    <row r="20" spans="1:10" x14ac:dyDescent="0.3">
      <c r="A20" s="124" t="s">
        <v>53</v>
      </c>
      <c r="B20" s="132">
        <f>VLOOKUP(A20,[2]DIFAL!$C$13:$E$39,3,0)</f>
        <v>0.12</v>
      </c>
      <c r="C20" s="132">
        <v>0.22</v>
      </c>
      <c r="D20" s="126"/>
      <c r="E20" s="126"/>
      <c r="F20" s="126">
        <v>0.54730000000000001</v>
      </c>
      <c r="G20" s="126"/>
      <c r="H20" s="7">
        <f>PREÇOS!J21</f>
        <v>5.75</v>
      </c>
      <c r="I20" s="92">
        <f t="shared" si="0"/>
        <v>1.2673345</v>
      </c>
      <c r="J20" s="93">
        <f t="shared" si="1"/>
        <v>1.2673345</v>
      </c>
    </row>
    <row r="21" spans="1:10" x14ac:dyDescent="0.3">
      <c r="A21" s="124" t="s">
        <v>54</v>
      </c>
      <c r="B21" s="132">
        <f>VLOOKUP(A21,[2]DIFAL!$C$13:$E$39,3,0)</f>
        <v>7.0000000000000007E-2</v>
      </c>
      <c r="C21" s="132">
        <v>0.2</v>
      </c>
      <c r="D21" s="126"/>
      <c r="E21" s="126"/>
      <c r="F21" s="126"/>
      <c r="G21" s="126"/>
      <c r="H21" s="7">
        <f>PREÇOS!J22</f>
        <v>5.94</v>
      </c>
      <c r="I21" s="89">
        <f t="shared" si="0"/>
        <v>0</v>
      </c>
      <c r="J21" s="4">
        <f t="shared" si="1"/>
        <v>0</v>
      </c>
    </row>
    <row r="22" spans="1:10" x14ac:dyDescent="0.3">
      <c r="A22" s="124" t="s">
        <v>55</v>
      </c>
      <c r="B22" s="132">
        <f>VLOOKUP(A22,[2]DIFAL!$C$13:$E$39,3,0)</f>
        <v>7.0000000000000007E-2</v>
      </c>
      <c r="C22" s="132">
        <v>0.17499999999999999</v>
      </c>
      <c r="D22" s="126"/>
      <c r="E22" s="126"/>
      <c r="F22" s="126"/>
      <c r="G22" s="126"/>
      <c r="H22" s="7">
        <f>PREÇOS!J23</f>
        <v>5.94</v>
      </c>
      <c r="I22" s="89">
        <f t="shared" si="0"/>
        <v>0</v>
      </c>
      <c r="J22" s="4">
        <f t="shared" si="1"/>
        <v>0</v>
      </c>
    </row>
    <row r="23" spans="1:10" x14ac:dyDescent="0.3">
      <c r="A23" s="124" t="s">
        <v>56</v>
      </c>
      <c r="B23" s="132">
        <f>VLOOKUP(A23,[2]DIFAL!$C$13:$E$39,3,0)</f>
        <v>7.0000000000000007E-2</v>
      </c>
      <c r="C23" s="132">
        <v>0.2</v>
      </c>
      <c r="D23" s="126"/>
      <c r="E23" s="126"/>
      <c r="F23" s="126"/>
      <c r="G23" s="126"/>
      <c r="H23" s="7">
        <f>PREÇOS!J24</f>
        <v>5.94</v>
      </c>
      <c r="I23" s="89">
        <f t="shared" si="0"/>
        <v>0</v>
      </c>
      <c r="J23" s="4">
        <f t="shared" si="1"/>
        <v>0</v>
      </c>
    </row>
    <row r="24" spans="1:10" x14ac:dyDescent="0.3">
      <c r="A24" s="124" t="s">
        <v>57</v>
      </c>
      <c r="B24" s="132">
        <f>VLOOKUP(A24,[2]DIFAL!$C$13:$E$39,3,0)</f>
        <v>0.12</v>
      </c>
      <c r="C24" s="132">
        <v>0.17</v>
      </c>
      <c r="D24" s="126"/>
      <c r="E24" s="126"/>
      <c r="F24" s="126"/>
      <c r="G24" s="126"/>
      <c r="H24" s="7">
        <f>PREÇOS!J25</f>
        <v>5.75</v>
      </c>
      <c r="I24" s="92">
        <f t="shared" si="0"/>
        <v>0</v>
      </c>
      <c r="J24" s="93">
        <f t="shared" si="1"/>
        <v>0</v>
      </c>
    </row>
    <row r="25" spans="1:10" x14ac:dyDescent="0.3">
      <c r="A25" s="124" t="s">
        <v>58</v>
      </c>
      <c r="B25" s="132">
        <f>VLOOKUP(A25,[2]DIFAL!$C$13:$E$39,3,0)</f>
        <v>0.12</v>
      </c>
      <c r="C25" s="132">
        <v>0.17</v>
      </c>
      <c r="D25" s="126"/>
      <c r="E25" s="126"/>
      <c r="F25" s="126"/>
      <c r="G25" s="126"/>
      <c r="H25" s="7">
        <f>PREÇOS!J26</f>
        <v>5.75</v>
      </c>
      <c r="I25" s="92">
        <f t="shared" si="0"/>
        <v>0</v>
      </c>
      <c r="J25" s="93">
        <f t="shared" si="1"/>
        <v>0</v>
      </c>
    </row>
    <row r="26" spans="1:10" x14ac:dyDescent="0.3">
      <c r="A26" s="124" t="s">
        <v>59</v>
      </c>
      <c r="B26" s="132">
        <f>VLOOKUP(A26,[2]DIFAL!$C$13:$E$39,3,0)</f>
        <v>7.0000000000000007E-2</v>
      </c>
      <c r="C26" s="132">
        <v>0.2</v>
      </c>
      <c r="D26" s="126"/>
      <c r="E26" s="126"/>
      <c r="F26" s="126"/>
      <c r="G26" s="126"/>
      <c r="H26" s="7">
        <f>PREÇOS!J27</f>
        <v>5.94</v>
      </c>
      <c r="I26" s="90">
        <f t="shared" si="0"/>
        <v>0</v>
      </c>
      <c r="J26" s="48">
        <f t="shared" si="1"/>
        <v>0</v>
      </c>
    </row>
    <row r="27" spans="1:10" x14ac:dyDescent="0.3">
      <c r="A27" s="124" t="s">
        <v>34</v>
      </c>
      <c r="B27" s="132">
        <f>VLOOKUP(A27,[2]DIFAL!$C$13:$E$39,3,0)</f>
        <v>0.12</v>
      </c>
      <c r="C27" s="132">
        <v>0.18</v>
      </c>
      <c r="D27" s="126"/>
      <c r="E27" s="126"/>
      <c r="F27" s="126">
        <v>0.46300000000000002</v>
      </c>
      <c r="G27" s="126"/>
      <c r="H27" s="7">
        <f>PREÇOS!J28</f>
        <v>5.75</v>
      </c>
      <c r="I27" s="92">
        <f t="shared" si="0"/>
        <v>0.82420500000000008</v>
      </c>
      <c r="J27" s="93">
        <f t="shared" si="1"/>
        <v>0.82420500000000008</v>
      </c>
    </row>
    <row r="28" spans="1:10" x14ac:dyDescent="0.3">
      <c r="A28" s="127" t="s">
        <v>130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5.75</v>
      </c>
      <c r="I28" s="123">
        <f t="shared" si="0"/>
        <v>0.82420500000000008</v>
      </c>
      <c r="J28" s="121">
        <f t="shared" si="1"/>
        <v>0.82420500000000008</v>
      </c>
    </row>
    <row r="29" spans="1:10" x14ac:dyDescent="0.3">
      <c r="A29" s="124" t="s">
        <v>60</v>
      </c>
      <c r="B29" s="132">
        <f>VLOOKUP(A29,[2]DIFAL!$C$13:$E$39,3,0)</f>
        <v>7.0000000000000007E-2</v>
      </c>
      <c r="C29" s="132">
        <v>0.2</v>
      </c>
      <c r="D29" s="126"/>
      <c r="E29" s="126"/>
      <c r="F29" s="126"/>
      <c r="G29" s="126"/>
      <c r="H29" s="7">
        <f>PREÇOS!J30</f>
        <v>5.94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112</v>
      </c>
      <c r="H30" s="7">
        <f>PREÇOS!J31</f>
        <v>0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77734375" bestFit="1" customWidth="1"/>
    <col min="4" max="4" width="16" bestFit="1" customWidth="1"/>
    <col min="5" max="5" width="17" bestFit="1" customWidth="1"/>
    <col min="6" max="6" width="20.77734375" bestFit="1" customWidth="1"/>
    <col min="7" max="7" width="21.77734375" bestFit="1" customWidth="1"/>
    <col min="8" max="8" width="10.77734375" customWidth="1"/>
    <col min="9" max="9" width="12.77734375" bestFit="1" customWidth="1"/>
    <col min="10" max="10" width="13.77734375" style="4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32">
        <f>VLOOKUP(A2,[2]DIFAL!$C$13:$E$39,3,0)</f>
        <v>7.0000000000000007E-2</v>
      </c>
      <c r="C2" s="132">
        <v>0.17</v>
      </c>
      <c r="D2" s="126"/>
      <c r="E2" s="126"/>
      <c r="F2" s="126"/>
      <c r="G2" s="126"/>
      <c r="H2" s="7">
        <f>PREÇOS!K3</f>
        <v>4.91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4" t="s">
        <v>37</v>
      </c>
      <c r="B3" s="132">
        <f>VLOOKUP(A3,[2]DIFAL!$C$13:$E$39,3,0)</f>
        <v>7.0000000000000007E-2</v>
      </c>
      <c r="C3" s="132">
        <v>0.2</v>
      </c>
      <c r="D3" s="126"/>
      <c r="E3" s="126"/>
      <c r="F3" s="126">
        <v>0.71</v>
      </c>
      <c r="G3" s="126"/>
      <c r="H3" s="7">
        <f>PREÇOS!K4</f>
        <v>4.91</v>
      </c>
      <c r="I3" s="89">
        <f>IF(F3=0,,H3*(1+F3)*C3-(H3*B3))</f>
        <v>1.33552</v>
      </c>
      <c r="J3" s="4">
        <f t="shared" si="1"/>
        <v>1.33552</v>
      </c>
    </row>
    <row r="4" spans="1:10" x14ac:dyDescent="0.3">
      <c r="A4" s="124" t="s">
        <v>38</v>
      </c>
      <c r="B4" s="132">
        <f>VLOOKUP(A4,[2]DIFAL!$C$13:$E$39,3,0)</f>
        <v>7.0000000000000007E-2</v>
      </c>
      <c r="C4" s="132">
        <v>0.2</v>
      </c>
      <c r="D4" s="126"/>
      <c r="E4" s="126"/>
      <c r="F4" s="126">
        <v>0.55379999999999996</v>
      </c>
      <c r="G4" s="126"/>
      <c r="H4" s="7">
        <f>PREÇOS!K5</f>
        <v>4.91</v>
      </c>
      <c r="I4" s="89">
        <f t="shared" si="0"/>
        <v>1.1821315999999999</v>
      </c>
      <c r="J4" s="4">
        <f t="shared" si="1"/>
        <v>1.1821315999999999</v>
      </c>
    </row>
    <row r="5" spans="1:10" x14ac:dyDescent="0.3">
      <c r="A5" s="124" t="s">
        <v>39</v>
      </c>
      <c r="B5" s="132">
        <f>VLOOKUP(A5,[2]DIFAL!$C$13:$E$39,3,0)</f>
        <v>7.0000000000000007E-2</v>
      </c>
      <c r="C5" s="132">
        <v>0.18</v>
      </c>
      <c r="D5" s="126"/>
      <c r="E5" s="126"/>
      <c r="F5" s="126"/>
      <c r="G5" s="126"/>
      <c r="H5" s="7">
        <f>PREÇOS!K6</f>
        <v>4.91</v>
      </c>
      <c r="I5" s="89">
        <f t="shared" si="0"/>
        <v>0</v>
      </c>
      <c r="J5" s="4">
        <f t="shared" si="1"/>
        <v>0</v>
      </c>
    </row>
    <row r="6" spans="1:10" x14ac:dyDescent="0.3">
      <c r="A6" s="124" t="s">
        <v>40</v>
      </c>
      <c r="B6" s="132">
        <f>VLOOKUP(A6,[2]DIFAL!$C$13:$E$39,3,0)</f>
        <v>7.0000000000000007E-2</v>
      </c>
      <c r="C6" s="132">
        <v>0.19</v>
      </c>
      <c r="D6" s="126"/>
      <c r="E6" s="126"/>
      <c r="F6" s="126"/>
      <c r="G6" s="126"/>
      <c r="H6" s="7">
        <f>PREÇOS!K7</f>
        <v>4.91</v>
      </c>
      <c r="I6" s="89">
        <f t="shared" si="0"/>
        <v>0</v>
      </c>
      <c r="J6" s="4">
        <f t="shared" si="1"/>
        <v>0</v>
      </c>
    </row>
    <row r="7" spans="1:10" x14ac:dyDescent="0.3">
      <c r="A7" s="124" t="s">
        <v>41</v>
      </c>
      <c r="B7" s="132">
        <f>VLOOKUP(A7,[2]DIFAL!$C$13:$E$39,3,0)</f>
        <v>7.0000000000000007E-2</v>
      </c>
      <c r="C7" s="132">
        <v>0.2</v>
      </c>
      <c r="D7" s="126"/>
      <c r="E7" s="126"/>
      <c r="F7" s="126"/>
      <c r="G7" s="126"/>
      <c r="H7" s="7">
        <f>PREÇOS!K8</f>
        <v>4.91</v>
      </c>
      <c r="I7" s="89">
        <f t="shared" si="0"/>
        <v>0</v>
      </c>
      <c r="J7" s="4">
        <f t="shared" si="1"/>
        <v>0</v>
      </c>
    </row>
    <row r="8" spans="1:10" x14ac:dyDescent="0.3">
      <c r="A8" s="124" t="s">
        <v>42</v>
      </c>
      <c r="B8" s="132">
        <f>VLOOKUP(A8,[2]DIFAL!$C$13:$E$39,3,0)</f>
        <v>7.0000000000000007E-2</v>
      </c>
      <c r="C8" s="132">
        <v>0.18</v>
      </c>
      <c r="D8" s="126"/>
      <c r="E8" s="126"/>
      <c r="F8" s="126"/>
      <c r="G8" s="126"/>
      <c r="H8" s="7">
        <f>PREÇOS!K9</f>
        <v>4.91</v>
      </c>
      <c r="I8" s="89">
        <f t="shared" si="0"/>
        <v>0</v>
      </c>
      <c r="J8" s="4">
        <f t="shared" si="1"/>
        <v>0</v>
      </c>
    </row>
    <row r="9" spans="1:10" x14ac:dyDescent="0.3">
      <c r="A9" s="124" t="s">
        <v>43</v>
      </c>
      <c r="B9" s="132">
        <f>VLOOKUP(A9,[2]DIFAL!$C$13:$E$39,3,0)</f>
        <v>7.0000000000000007E-2</v>
      </c>
      <c r="C9" s="132">
        <v>0.17</v>
      </c>
      <c r="D9" s="126"/>
      <c r="E9" s="126"/>
      <c r="F9" s="126"/>
      <c r="G9" s="126"/>
      <c r="H9" s="7">
        <f>PREÇOS!K10</f>
        <v>5.45</v>
      </c>
      <c r="I9" s="89">
        <f t="shared" si="0"/>
        <v>0</v>
      </c>
      <c r="J9" s="4">
        <f t="shared" si="1"/>
        <v>0</v>
      </c>
    </row>
    <row r="10" spans="1:10" x14ac:dyDescent="0.3">
      <c r="A10" s="124" t="s">
        <v>44</v>
      </c>
      <c r="B10" s="132">
        <f>VLOOKUP(A10,[2]DIFAL!$C$13:$E$39,3,0)</f>
        <v>7.0000000000000007E-2</v>
      </c>
      <c r="C10" s="132">
        <v>0.17</v>
      </c>
      <c r="D10" s="126"/>
      <c r="E10" s="126"/>
      <c r="F10" s="126"/>
      <c r="G10" s="126"/>
      <c r="H10" s="7">
        <f>PREÇOS!K11</f>
        <v>4.91</v>
      </c>
      <c r="I10" s="89">
        <f t="shared" si="0"/>
        <v>0</v>
      </c>
      <c r="J10" s="4">
        <f t="shared" si="1"/>
        <v>0</v>
      </c>
    </row>
    <row r="11" spans="1:10" x14ac:dyDescent="0.3">
      <c r="A11" s="124" t="s">
        <v>45</v>
      </c>
      <c r="B11" s="132">
        <f>VLOOKUP(A11,[2]DIFAL!$C$13:$E$39,3,0)</f>
        <v>7.0000000000000007E-2</v>
      </c>
      <c r="C11" s="132">
        <v>0.2</v>
      </c>
      <c r="D11" s="126"/>
      <c r="E11" s="126"/>
      <c r="F11" s="126"/>
      <c r="G11" s="126"/>
      <c r="H11" s="7">
        <f>PREÇOS!K12</f>
        <v>4.91</v>
      </c>
      <c r="I11" s="89">
        <f t="shared" si="0"/>
        <v>0</v>
      </c>
      <c r="J11" s="4">
        <f t="shared" si="1"/>
        <v>0</v>
      </c>
    </row>
    <row r="12" spans="1:10" x14ac:dyDescent="0.3">
      <c r="A12" s="124" t="s">
        <v>46</v>
      </c>
      <c r="B12" s="132">
        <f>VLOOKUP(A12,[2]DIFAL!$C$13:$E$39,3,0)</f>
        <v>0.12</v>
      </c>
      <c r="C12" s="132">
        <v>0.18</v>
      </c>
      <c r="D12" s="126"/>
      <c r="E12" s="126"/>
      <c r="F12" s="126">
        <v>0.44879999999999998</v>
      </c>
      <c r="G12" s="126"/>
      <c r="H12" s="7">
        <f>PREÇOS!K13</f>
        <v>5.75</v>
      </c>
      <c r="I12" s="92">
        <f t="shared" si="0"/>
        <v>0.80950799999999967</v>
      </c>
      <c r="J12" s="93">
        <f t="shared" si="1"/>
        <v>0.80950799999999967</v>
      </c>
    </row>
    <row r="13" spans="1:10" x14ac:dyDescent="0.3">
      <c r="A13" s="124" t="s">
        <v>47</v>
      </c>
      <c r="B13" s="132">
        <f>VLOOKUP(A13,[2]DIFAL!$C$13:$E$39,3,0)</f>
        <v>7.0000000000000007E-2</v>
      </c>
      <c r="C13" s="132">
        <v>0.17</v>
      </c>
      <c r="D13" s="126"/>
      <c r="E13" s="126"/>
      <c r="F13" s="126"/>
      <c r="G13" s="126"/>
      <c r="H13" s="7">
        <f>PREÇOS!K14</f>
        <v>4.91</v>
      </c>
      <c r="I13" s="89">
        <f t="shared" si="0"/>
        <v>0</v>
      </c>
      <c r="J13" s="4">
        <f t="shared" si="1"/>
        <v>0</v>
      </c>
    </row>
    <row r="14" spans="1:10" x14ac:dyDescent="0.3">
      <c r="A14" s="124" t="s">
        <v>48</v>
      </c>
      <c r="B14" s="132">
        <f>VLOOKUP(A14,[2]DIFAL!$C$13:$E$39,3,0)</f>
        <v>7.0000000000000007E-2</v>
      </c>
      <c r="C14" s="132">
        <v>0.17</v>
      </c>
      <c r="D14" s="126"/>
      <c r="E14" s="126"/>
      <c r="F14" s="126">
        <v>0.45519999999999999</v>
      </c>
      <c r="G14" s="126"/>
      <c r="H14" s="7">
        <f>PREÇOS!K15</f>
        <v>4.91</v>
      </c>
      <c r="I14" s="89">
        <f t="shared" si="0"/>
        <v>0.87095544000000014</v>
      </c>
      <c r="J14" s="4">
        <f t="shared" si="1"/>
        <v>0.87095544000000014</v>
      </c>
    </row>
    <row r="15" spans="1:10" x14ac:dyDescent="0.3">
      <c r="A15" s="124" t="s">
        <v>49</v>
      </c>
      <c r="B15" s="132">
        <f>VLOOKUP(A15,[2]DIFAL!$C$13:$E$39,3,0)</f>
        <v>7.0000000000000007E-2</v>
      </c>
      <c r="C15" s="132">
        <v>0.19</v>
      </c>
      <c r="D15" s="126"/>
      <c r="E15" s="126"/>
      <c r="F15" s="126"/>
      <c r="G15" s="126"/>
      <c r="H15" s="7">
        <f>PREÇOS!K16</f>
        <v>4.91</v>
      </c>
      <c r="I15" s="89">
        <f t="shared" si="0"/>
        <v>0</v>
      </c>
      <c r="J15" s="4">
        <f t="shared" si="1"/>
        <v>0</v>
      </c>
    </row>
    <row r="16" spans="1:10" x14ac:dyDescent="0.3">
      <c r="A16" s="124" t="s">
        <v>50</v>
      </c>
      <c r="B16" s="132">
        <f>VLOOKUP(A16,[2]DIFAL!$C$13:$E$39,3,0)</f>
        <v>7.0000000000000007E-2</v>
      </c>
      <c r="C16" s="132">
        <v>0.18</v>
      </c>
      <c r="D16" s="126"/>
      <c r="E16" s="126"/>
      <c r="F16" s="126"/>
      <c r="G16" s="126"/>
      <c r="H16" s="7">
        <f>PREÇOS!K17</f>
        <v>4.91</v>
      </c>
      <c r="I16" s="89">
        <f t="shared" si="0"/>
        <v>0</v>
      </c>
      <c r="J16" s="4">
        <f t="shared" si="1"/>
        <v>0</v>
      </c>
    </row>
    <row r="17" spans="1:10" x14ac:dyDescent="0.3">
      <c r="A17" s="124" t="s">
        <v>51</v>
      </c>
      <c r="B17" s="132">
        <f>VLOOKUP(A17,[2]DIFAL!$C$13:$E$39,3,0)</f>
        <v>7.0000000000000007E-2</v>
      </c>
      <c r="C17" s="132">
        <v>0.18</v>
      </c>
      <c r="D17" s="126"/>
      <c r="E17" s="126"/>
      <c r="F17" s="126"/>
      <c r="G17" s="126"/>
      <c r="H17" s="7">
        <f>PREÇOS!K18</f>
        <v>4.91</v>
      </c>
      <c r="I17" s="89">
        <f t="shared" si="0"/>
        <v>0</v>
      </c>
      <c r="J17" s="4">
        <f t="shared" si="1"/>
        <v>0</v>
      </c>
    </row>
    <row r="18" spans="1:10" x14ac:dyDescent="0.3">
      <c r="A18" s="124" t="s">
        <v>52</v>
      </c>
      <c r="B18" s="132">
        <f>VLOOKUP(A18,[2]DIFAL!$C$13:$E$39,3,0)</f>
        <v>7.0000000000000007E-2</v>
      </c>
      <c r="C18" s="132">
        <v>0.21</v>
      </c>
      <c r="D18" s="126"/>
      <c r="E18" s="126"/>
      <c r="F18" s="126"/>
      <c r="G18" s="126"/>
      <c r="H18" s="7">
        <f>PREÇOS!K19</f>
        <v>4.91</v>
      </c>
      <c r="I18" s="89">
        <f t="shared" si="0"/>
        <v>0</v>
      </c>
      <c r="J18" s="4">
        <f t="shared" si="1"/>
        <v>0</v>
      </c>
    </row>
    <row r="19" spans="1:10" x14ac:dyDescent="0.3">
      <c r="A19" s="124" t="s">
        <v>33</v>
      </c>
      <c r="B19" s="132">
        <v>0.12</v>
      </c>
      <c r="C19" s="132">
        <v>0.19500000000000001</v>
      </c>
      <c r="D19" s="126"/>
      <c r="E19" s="126"/>
      <c r="F19" s="126">
        <v>0.60799999999999998</v>
      </c>
      <c r="G19" s="126"/>
      <c r="H19" s="7">
        <f>PREÇOS!K20</f>
        <v>5.75</v>
      </c>
      <c r="I19" s="92">
        <f>IF(F19=0,,H19*(1+F19)*C19-(H19*B19))</f>
        <v>1.1129700000000002</v>
      </c>
      <c r="J19" s="93">
        <f t="shared" si="1"/>
        <v>1.1129700000000002</v>
      </c>
    </row>
    <row r="20" spans="1:10" x14ac:dyDescent="0.3">
      <c r="A20" s="124" t="s">
        <v>53</v>
      </c>
      <c r="B20" s="132">
        <f>VLOOKUP(A20,[2]DIFAL!$C$13:$E$39,3,0)</f>
        <v>0.12</v>
      </c>
      <c r="C20" s="132">
        <v>0.22</v>
      </c>
      <c r="D20" s="126"/>
      <c r="E20" s="126"/>
      <c r="F20" s="126">
        <v>0.54730000000000001</v>
      </c>
      <c r="G20" s="126"/>
      <c r="H20" s="7">
        <f>PREÇOS!K21</f>
        <v>5.75</v>
      </c>
      <c r="I20" s="92">
        <f t="shared" si="0"/>
        <v>1.2673345</v>
      </c>
      <c r="J20" s="93">
        <f t="shared" si="1"/>
        <v>1.2673345</v>
      </c>
    </row>
    <row r="21" spans="1:10" x14ac:dyDescent="0.3">
      <c r="A21" s="124" t="s">
        <v>54</v>
      </c>
      <c r="B21" s="132">
        <f>VLOOKUP(A21,[2]DIFAL!$C$13:$E$39,3,0)</f>
        <v>7.0000000000000007E-2</v>
      </c>
      <c r="C21" s="132">
        <v>0.2</v>
      </c>
      <c r="D21" s="126"/>
      <c r="E21" s="126"/>
      <c r="F21" s="126"/>
      <c r="G21" s="126"/>
      <c r="H21" s="7">
        <f>PREÇOS!K22</f>
        <v>4.91</v>
      </c>
      <c r="I21" s="89">
        <f t="shared" si="0"/>
        <v>0</v>
      </c>
      <c r="J21" s="4">
        <f t="shared" si="1"/>
        <v>0</v>
      </c>
    </row>
    <row r="22" spans="1:10" x14ac:dyDescent="0.3">
      <c r="A22" s="124" t="s">
        <v>55</v>
      </c>
      <c r="B22" s="132">
        <f>VLOOKUP(A22,[2]DIFAL!$C$13:$E$39,3,0)</f>
        <v>7.0000000000000007E-2</v>
      </c>
      <c r="C22" s="132">
        <v>0.17499999999999999</v>
      </c>
      <c r="D22" s="126"/>
      <c r="E22" s="126"/>
      <c r="F22" s="126"/>
      <c r="G22" s="126"/>
      <c r="H22" s="7">
        <f>PREÇOS!K23</f>
        <v>4.91</v>
      </c>
      <c r="I22" s="89">
        <f t="shared" si="0"/>
        <v>0</v>
      </c>
      <c r="J22" s="4">
        <f t="shared" si="1"/>
        <v>0</v>
      </c>
    </row>
    <row r="23" spans="1:10" x14ac:dyDescent="0.3">
      <c r="A23" s="124" t="s">
        <v>56</v>
      </c>
      <c r="B23" s="132">
        <f>VLOOKUP(A23,[2]DIFAL!$C$13:$E$39,3,0)</f>
        <v>7.0000000000000007E-2</v>
      </c>
      <c r="C23" s="132">
        <v>0.2</v>
      </c>
      <c r="D23" s="126"/>
      <c r="E23" s="126"/>
      <c r="F23" s="126"/>
      <c r="G23" s="126"/>
      <c r="H23" s="7">
        <f>PREÇOS!K24</f>
        <v>4.91</v>
      </c>
      <c r="I23" s="89">
        <f t="shared" si="0"/>
        <v>0</v>
      </c>
      <c r="J23" s="4">
        <f t="shared" si="1"/>
        <v>0</v>
      </c>
    </row>
    <row r="24" spans="1:10" x14ac:dyDescent="0.3">
      <c r="A24" s="124" t="s">
        <v>57</v>
      </c>
      <c r="B24" s="132">
        <f>VLOOKUP(A24,[2]DIFAL!$C$13:$E$39,3,0)</f>
        <v>0.12</v>
      </c>
      <c r="C24" s="132">
        <v>0.17</v>
      </c>
      <c r="D24" s="126"/>
      <c r="E24" s="126"/>
      <c r="F24" s="126"/>
      <c r="G24" s="126"/>
      <c r="H24" s="7">
        <f>PREÇOS!K25</f>
        <v>5.75</v>
      </c>
      <c r="I24" s="92">
        <f t="shared" si="0"/>
        <v>0</v>
      </c>
      <c r="J24" s="93">
        <f t="shared" si="1"/>
        <v>0</v>
      </c>
    </row>
    <row r="25" spans="1:10" x14ac:dyDescent="0.3">
      <c r="A25" s="124" t="s">
        <v>58</v>
      </c>
      <c r="B25" s="132">
        <f>VLOOKUP(A25,[2]DIFAL!$C$13:$E$39,3,0)</f>
        <v>0.12</v>
      </c>
      <c r="C25" s="132">
        <v>0.17</v>
      </c>
      <c r="D25" s="126"/>
      <c r="E25" s="126"/>
      <c r="F25" s="126"/>
      <c r="G25" s="126"/>
      <c r="H25" s="7">
        <f>PREÇOS!K26</f>
        <v>5.75</v>
      </c>
      <c r="I25" s="92">
        <f t="shared" si="0"/>
        <v>0</v>
      </c>
      <c r="J25" s="93">
        <f t="shared" si="1"/>
        <v>0</v>
      </c>
    </row>
    <row r="26" spans="1:10" x14ac:dyDescent="0.3">
      <c r="A26" s="124" t="s">
        <v>59</v>
      </c>
      <c r="B26" s="132">
        <f>VLOOKUP(A26,[2]DIFAL!$C$13:$E$39,3,0)</f>
        <v>7.0000000000000007E-2</v>
      </c>
      <c r="C26" s="132">
        <v>0.2</v>
      </c>
      <c r="D26" s="126"/>
      <c r="E26" s="126"/>
      <c r="F26" s="126"/>
      <c r="G26" s="126"/>
      <c r="H26" s="7">
        <f>PREÇOS!K27</f>
        <v>4.91</v>
      </c>
      <c r="I26" s="90">
        <f t="shared" si="0"/>
        <v>0</v>
      </c>
      <c r="J26" s="48">
        <f t="shared" si="1"/>
        <v>0</v>
      </c>
    </row>
    <row r="27" spans="1:10" x14ac:dyDescent="0.3">
      <c r="A27" s="124" t="s">
        <v>34</v>
      </c>
      <c r="B27" s="132">
        <f>VLOOKUP(A27,[2]DIFAL!$C$13:$E$39,3,0)</f>
        <v>0.12</v>
      </c>
      <c r="C27" s="132">
        <v>0.18</v>
      </c>
      <c r="D27" s="126"/>
      <c r="E27" s="126"/>
      <c r="F27" s="126">
        <v>0.46300000000000002</v>
      </c>
      <c r="G27" s="126"/>
      <c r="H27" s="7">
        <f>PREÇOS!K28</f>
        <v>5.75</v>
      </c>
      <c r="I27" s="92">
        <f t="shared" si="0"/>
        <v>0.82420500000000008</v>
      </c>
      <c r="J27" s="93">
        <f t="shared" si="1"/>
        <v>0.82420500000000008</v>
      </c>
    </row>
    <row r="28" spans="1:10" x14ac:dyDescent="0.3">
      <c r="A28" s="127" t="s">
        <v>130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5.75</v>
      </c>
      <c r="I28" s="123">
        <f t="shared" si="0"/>
        <v>0.82420500000000008</v>
      </c>
      <c r="J28" s="121">
        <f t="shared" si="1"/>
        <v>0.82420500000000008</v>
      </c>
    </row>
    <row r="29" spans="1:10" x14ac:dyDescent="0.3">
      <c r="A29" s="124" t="s">
        <v>60</v>
      </c>
      <c r="B29" s="132">
        <f>VLOOKUP(A29,[2]DIFAL!$C$13:$E$39,3,0)</f>
        <v>7.0000000000000007E-2</v>
      </c>
      <c r="C29" s="132">
        <v>0.2</v>
      </c>
      <c r="D29" s="126"/>
      <c r="E29" s="126"/>
      <c r="F29" s="126"/>
      <c r="G29" s="126"/>
      <c r="H29" s="7">
        <f>PREÇOS!K30</f>
        <v>4.91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112</v>
      </c>
      <c r="H30" s="7">
        <f>PREÇOS!K31</f>
        <v>0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77734375" bestFit="1" customWidth="1"/>
    <col min="4" max="4" width="16" bestFit="1" customWidth="1"/>
    <col min="5" max="5" width="17" bestFit="1" customWidth="1"/>
    <col min="6" max="6" width="20.77734375" bestFit="1" customWidth="1"/>
    <col min="7" max="7" width="21.77734375" bestFit="1" customWidth="1"/>
    <col min="8" max="8" width="10.77734375" customWidth="1"/>
    <col min="9" max="9" width="12.77734375" bestFit="1" customWidth="1"/>
    <col min="10" max="10" width="13.77734375" style="4" bestFit="1" customWidth="1"/>
  </cols>
  <sheetData>
    <row r="1" spans="1:10" ht="15.6" x14ac:dyDescent="0.3">
      <c r="A1" s="1" t="s">
        <v>35</v>
      </c>
      <c r="B1" s="5" t="s">
        <v>74</v>
      </c>
      <c r="C1" s="5" t="s">
        <v>75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64</v>
      </c>
      <c r="I1" s="2" t="s">
        <v>72</v>
      </c>
      <c r="J1" s="2" t="s">
        <v>73</v>
      </c>
    </row>
    <row r="2" spans="1:10" x14ac:dyDescent="0.3">
      <c r="A2" s="124" t="s">
        <v>36</v>
      </c>
      <c r="B2" s="132">
        <f>VLOOKUP(A2,[2]DIFAL!$C$13:$E$39,3,0)</f>
        <v>7.0000000000000007E-2</v>
      </c>
      <c r="C2" s="132">
        <v>0.17</v>
      </c>
      <c r="D2" s="126"/>
      <c r="E2" s="126"/>
      <c r="F2" s="126"/>
      <c r="G2" s="126"/>
      <c r="H2" s="7">
        <f>PREÇOS!L3</f>
        <v>12.53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4" t="s">
        <v>37</v>
      </c>
      <c r="B3" s="132">
        <f>VLOOKUP(A3,[2]DIFAL!$C$13:$E$39,3,0)</f>
        <v>7.0000000000000007E-2</v>
      </c>
      <c r="C3" s="132">
        <v>0.2</v>
      </c>
      <c r="D3" s="126"/>
      <c r="E3" s="126"/>
      <c r="F3" s="126">
        <v>0.71</v>
      </c>
      <c r="G3" s="126"/>
      <c r="H3" s="7">
        <f>PREÇOS!L4</f>
        <v>12.53</v>
      </c>
      <c r="I3" s="89">
        <f>IF(F3=0,,H3*(1+F3)*C3-(H3*B3))</f>
        <v>3.4081600000000001</v>
      </c>
      <c r="J3" s="4">
        <f t="shared" si="1"/>
        <v>3.4081600000000001</v>
      </c>
    </row>
    <row r="4" spans="1:10" x14ac:dyDescent="0.3">
      <c r="A4" s="124" t="s">
        <v>38</v>
      </c>
      <c r="B4" s="132">
        <f>VLOOKUP(A4,[2]DIFAL!$C$13:$E$39,3,0)</f>
        <v>7.0000000000000007E-2</v>
      </c>
      <c r="C4" s="132">
        <v>0.2</v>
      </c>
      <c r="D4" s="126"/>
      <c r="E4" s="126"/>
      <c r="F4" s="126">
        <v>0.55379999999999996</v>
      </c>
      <c r="G4" s="126"/>
      <c r="H4" s="7">
        <f>PREÇOS!L5</f>
        <v>12.53</v>
      </c>
      <c r="I4" s="89">
        <f t="shared" si="0"/>
        <v>3.0167227999999997</v>
      </c>
      <c r="J4" s="4">
        <f t="shared" si="1"/>
        <v>3.0167227999999997</v>
      </c>
    </row>
    <row r="5" spans="1:10" x14ac:dyDescent="0.3">
      <c r="A5" s="124" t="s">
        <v>39</v>
      </c>
      <c r="B5" s="132">
        <f>VLOOKUP(A5,[2]DIFAL!$C$13:$E$39,3,0)</f>
        <v>7.0000000000000007E-2</v>
      </c>
      <c r="C5" s="132">
        <v>0.18</v>
      </c>
      <c r="D5" s="126"/>
      <c r="E5" s="126"/>
      <c r="F5" s="126"/>
      <c r="G5" s="126"/>
      <c r="H5" s="7">
        <f>PREÇOS!L6</f>
        <v>12.53</v>
      </c>
      <c r="I5" s="89">
        <f t="shared" si="0"/>
        <v>0</v>
      </c>
      <c r="J5" s="4">
        <f t="shared" si="1"/>
        <v>0</v>
      </c>
    </row>
    <row r="6" spans="1:10" x14ac:dyDescent="0.3">
      <c r="A6" s="124" t="s">
        <v>40</v>
      </c>
      <c r="B6" s="132">
        <f>VLOOKUP(A6,[2]DIFAL!$C$13:$E$39,3,0)</f>
        <v>7.0000000000000007E-2</v>
      </c>
      <c r="C6" s="132">
        <v>0.19</v>
      </c>
      <c r="D6" s="126"/>
      <c r="E6" s="126"/>
      <c r="F6" s="126"/>
      <c r="G6" s="126"/>
      <c r="H6" s="7">
        <f>PREÇOS!L7</f>
        <v>12.53</v>
      </c>
      <c r="I6" s="89">
        <f t="shared" si="0"/>
        <v>0</v>
      </c>
      <c r="J6" s="4">
        <f t="shared" si="1"/>
        <v>0</v>
      </c>
    </row>
    <row r="7" spans="1:10" x14ac:dyDescent="0.3">
      <c r="A7" s="124" t="s">
        <v>41</v>
      </c>
      <c r="B7" s="132">
        <f>VLOOKUP(A7,[2]DIFAL!$C$13:$E$39,3,0)</f>
        <v>7.0000000000000007E-2</v>
      </c>
      <c r="C7" s="132">
        <v>0.2</v>
      </c>
      <c r="D7" s="126"/>
      <c r="E7" s="126"/>
      <c r="F7" s="126"/>
      <c r="G7" s="126"/>
      <c r="H7" s="7">
        <f>PREÇOS!L8</f>
        <v>12.53</v>
      </c>
      <c r="I7" s="89">
        <f t="shared" si="0"/>
        <v>0</v>
      </c>
      <c r="J7" s="4">
        <f t="shared" si="1"/>
        <v>0</v>
      </c>
    </row>
    <row r="8" spans="1:10" x14ac:dyDescent="0.3">
      <c r="A8" s="124" t="s">
        <v>42</v>
      </c>
      <c r="B8" s="132">
        <f>VLOOKUP(A8,[2]DIFAL!$C$13:$E$39,3,0)</f>
        <v>7.0000000000000007E-2</v>
      </c>
      <c r="C8" s="132">
        <v>0.18</v>
      </c>
      <c r="D8" s="126"/>
      <c r="E8" s="126"/>
      <c r="F8" s="126"/>
      <c r="G8" s="126"/>
      <c r="H8" s="7">
        <f>PREÇOS!L9</f>
        <v>12.53</v>
      </c>
      <c r="I8" s="89">
        <f t="shared" si="0"/>
        <v>0</v>
      </c>
      <c r="J8" s="4">
        <f t="shared" si="1"/>
        <v>0</v>
      </c>
    </row>
    <row r="9" spans="1:10" x14ac:dyDescent="0.3">
      <c r="A9" s="124" t="s">
        <v>43</v>
      </c>
      <c r="B9" s="132">
        <f>VLOOKUP(A9,[2]DIFAL!$C$13:$E$39,3,0)</f>
        <v>7.0000000000000007E-2</v>
      </c>
      <c r="C9" s="132">
        <v>0.17</v>
      </c>
      <c r="D9" s="126"/>
      <c r="E9" s="126"/>
      <c r="F9" s="126"/>
      <c r="G9" s="126"/>
      <c r="H9" s="7">
        <f>PREÇOS!L10</f>
        <v>13.26</v>
      </c>
      <c r="I9" s="89">
        <f t="shared" si="0"/>
        <v>0</v>
      </c>
      <c r="J9" s="4">
        <f t="shared" si="1"/>
        <v>0</v>
      </c>
    </row>
    <row r="10" spans="1:10" x14ac:dyDescent="0.3">
      <c r="A10" s="124" t="s">
        <v>44</v>
      </c>
      <c r="B10" s="132">
        <f>VLOOKUP(A10,[2]DIFAL!$C$13:$E$39,3,0)</f>
        <v>7.0000000000000007E-2</v>
      </c>
      <c r="C10" s="132">
        <v>0.17</v>
      </c>
      <c r="D10" s="126"/>
      <c r="E10" s="126"/>
      <c r="F10" s="126"/>
      <c r="G10" s="126"/>
      <c r="H10" s="7">
        <f>PREÇOS!L11</f>
        <v>12.53</v>
      </c>
      <c r="I10" s="89">
        <f t="shared" si="0"/>
        <v>0</v>
      </c>
      <c r="J10" s="4">
        <f t="shared" si="1"/>
        <v>0</v>
      </c>
    </row>
    <row r="11" spans="1:10" x14ac:dyDescent="0.3">
      <c r="A11" s="124" t="s">
        <v>45</v>
      </c>
      <c r="B11" s="132">
        <f>VLOOKUP(A11,[2]DIFAL!$C$13:$E$39,3,0)</f>
        <v>7.0000000000000007E-2</v>
      </c>
      <c r="C11" s="132">
        <v>0.2</v>
      </c>
      <c r="D11" s="126"/>
      <c r="E11" s="126"/>
      <c r="F11" s="126"/>
      <c r="G11" s="126"/>
      <c r="H11" s="7">
        <f>PREÇOS!L12</f>
        <v>12.53</v>
      </c>
      <c r="I11" s="89">
        <f t="shared" si="0"/>
        <v>0</v>
      </c>
      <c r="J11" s="4">
        <f t="shared" si="1"/>
        <v>0</v>
      </c>
    </row>
    <row r="12" spans="1:10" x14ac:dyDescent="0.3">
      <c r="A12" s="124" t="s">
        <v>46</v>
      </c>
      <c r="B12" s="132">
        <f>VLOOKUP(A12,[2]DIFAL!$C$13:$E$39,3,0)</f>
        <v>0.12</v>
      </c>
      <c r="C12" s="132">
        <v>0.18</v>
      </c>
      <c r="D12" s="126"/>
      <c r="E12" s="126"/>
      <c r="F12" s="126">
        <v>0.44879999999999998</v>
      </c>
      <c r="G12" s="126"/>
      <c r="H12" s="7">
        <f>PREÇOS!L13</f>
        <v>14.01</v>
      </c>
      <c r="I12" s="92">
        <f t="shared" si="0"/>
        <v>1.9723838399999998</v>
      </c>
      <c r="J12" s="93">
        <f t="shared" si="1"/>
        <v>1.9723838399999998</v>
      </c>
    </row>
    <row r="13" spans="1:10" x14ac:dyDescent="0.3">
      <c r="A13" s="124" t="s">
        <v>47</v>
      </c>
      <c r="B13" s="132">
        <f>VLOOKUP(A13,[2]DIFAL!$C$13:$E$39,3,0)</f>
        <v>7.0000000000000007E-2</v>
      </c>
      <c r="C13" s="132">
        <v>0.17</v>
      </c>
      <c r="D13" s="126"/>
      <c r="E13" s="126"/>
      <c r="F13" s="126"/>
      <c r="G13" s="126"/>
      <c r="H13" s="7">
        <f>PREÇOS!L14</f>
        <v>12.53</v>
      </c>
      <c r="I13" s="89">
        <f t="shared" si="0"/>
        <v>0</v>
      </c>
      <c r="J13" s="4">
        <f t="shared" si="1"/>
        <v>0</v>
      </c>
    </row>
    <row r="14" spans="1:10" x14ac:dyDescent="0.3">
      <c r="A14" s="124" t="s">
        <v>48</v>
      </c>
      <c r="B14" s="132">
        <f>VLOOKUP(A14,[2]DIFAL!$C$13:$E$39,3,0)</f>
        <v>7.0000000000000007E-2</v>
      </c>
      <c r="C14" s="132">
        <v>0.17</v>
      </c>
      <c r="D14" s="126"/>
      <c r="E14" s="126"/>
      <c r="F14" s="126">
        <v>0.45519999999999999</v>
      </c>
      <c r="G14" s="126"/>
      <c r="H14" s="7">
        <f>PREÇOS!L15</f>
        <v>12.53</v>
      </c>
      <c r="I14" s="89">
        <f t="shared" si="0"/>
        <v>2.2226215200000001</v>
      </c>
      <c r="J14" s="4">
        <f t="shared" si="1"/>
        <v>2.2226215200000001</v>
      </c>
    </row>
    <row r="15" spans="1:10" x14ac:dyDescent="0.3">
      <c r="A15" s="124" t="s">
        <v>49</v>
      </c>
      <c r="B15" s="132">
        <f>VLOOKUP(A15,[2]DIFAL!$C$13:$E$39,3,0)</f>
        <v>7.0000000000000007E-2</v>
      </c>
      <c r="C15" s="132">
        <v>0.19</v>
      </c>
      <c r="D15" s="126"/>
      <c r="E15" s="126"/>
      <c r="F15" s="126"/>
      <c r="G15" s="126"/>
      <c r="H15" s="7">
        <f>PREÇOS!L16</f>
        <v>12.53</v>
      </c>
      <c r="I15" s="89">
        <f t="shared" si="0"/>
        <v>0</v>
      </c>
      <c r="J15" s="4">
        <f t="shared" si="1"/>
        <v>0</v>
      </c>
    </row>
    <row r="16" spans="1:10" x14ac:dyDescent="0.3">
      <c r="A16" s="124" t="s">
        <v>50</v>
      </c>
      <c r="B16" s="132">
        <f>VLOOKUP(A16,[2]DIFAL!$C$13:$E$39,3,0)</f>
        <v>7.0000000000000007E-2</v>
      </c>
      <c r="C16" s="132">
        <v>0.18</v>
      </c>
      <c r="D16" s="126"/>
      <c r="E16" s="126"/>
      <c r="F16" s="126"/>
      <c r="G16" s="126"/>
      <c r="H16" s="7">
        <f>PREÇOS!L17</f>
        <v>12.53</v>
      </c>
      <c r="I16" s="89">
        <f t="shared" si="0"/>
        <v>0</v>
      </c>
      <c r="J16" s="4">
        <f t="shared" si="1"/>
        <v>0</v>
      </c>
    </row>
    <row r="17" spans="1:10" x14ac:dyDescent="0.3">
      <c r="A17" s="124" t="s">
        <v>51</v>
      </c>
      <c r="B17" s="132">
        <f>VLOOKUP(A17,[2]DIFAL!$C$13:$E$39,3,0)</f>
        <v>7.0000000000000007E-2</v>
      </c>
      <c r="C17" s="132">
        <v>0.18</v>
      </c>
      <c r="D17" s="126"/>
      <c r="E17" s="126"/>
      <c r="F17" s="126"/>
      <c r="G17" s="126"/>
      <c r="H17" s="7">
        <f>PREÇOS!L18</f>
        <v>12.53</v>
      </c>
      <c r="I17" s="89">
        <f t="shared" si="0"/>
        <v>0</v>
      </c>
      <c r="J17" s="4">
        <f t="shared" si="1"/>
        <v>0</v>
      </c>
    </row>
    <row r="18" spans="1:10" x14ac:dyDescent="0.3">
      <c r="A18" s="124" t="s">
        <v>52</v>
      </c>
      <c r="B18" s="132">
        <f>VLOOKUP(A18,[2]DIFAL!$C$13:$E$39,3,0)</f>
        <v>7.0000000000000007E-2</v>
      </c>
      <c r="C18" s="132">
        <v>0.21</v>
      </c>
      <c r="D18" s="126"/>
      <c r="E18" s="126"/>
      <c r="F18" s="126"/>
      <c r="G18" s="126"/>
      <c r="H18" s="7">
        <f>PREÇOS!L19</f>
        <v>12.53</v>
      </c>
      <c r="I18" s="89">
        <f t="shared" si="0"/>
        <v>0</v>
      </c>
      <c r="J18" s="4">
        <f t="shared" si="1"/>
        <v>0</v>
      </c>
    </row>
    <row r="19" spans="1:10" x14ac:dyDescent="0.3">
      <c r="A19" s="124" t="s">
        <v>33</v>
      </c>
      <c r="B19" s="132">
        <v>0.12</v>
      </c>
      <c r="C19" s="132">
        <v>0.19500000000000001</v>
      </c>
      <c r="D19" s="126"/>
      <c r="E19" s="126"/>
      <c r="F19" s="126">
        <v>0.60799999999999998</v>
      </c>
      <c r="G19" s="126"/>
      <c r="H19" s="7">
        <f>PREÇOS!L20</f>
        <v>14.01</v>
      </c>
      <c r="I19" s="92">
        <f>IF(F19=0,,H19*(1+F19)*C19-(H19*B19))</f>
        <v>2.7117756000000011</v>
      </c>
      <c r="J19" s="93">
        <f t="shared" si="1"/>
        <v>2.7117756000000011</v>
      </c>
    </row>
    <row r="20" spans="1:10" x14ac:dyDescent="0.3">
      <c r="A20" s="124" t="s">
        <v>53</v>
      </c>
      <c r="B20" s="132">
        <f>VLOOKUP(A20,[2]DIFAL!$C$13:$E$39,3,0)</f>
        <v>0.12</v>
      </c>
      <c r="C20" s="132">
        <v>0.22</v>
      </c>
      <c r="D20" s="126"/>
      <c r="E20" s="126"/>
      <c r="F20" s="126">
        <v>0.54730000000000001</v>
      </c>
      <c r="G20" s="126"/>
      <c r="H20" s="7">
        <f>PREÇOS!L21</f>
        <v>14.01</v>
      </c>
      <c r="I20" s="92">
        <f t="shared" si="0"/>
        <v>3.08788806</v>
      </c>
      <c r="J20" s="93">
        <f t="shared" si="1"/>
        <v>3.08788806</v>
      </c>
    </row>
    <row r="21" spans="1:10" x14ac:dyDescent="0.3">
      <c r="A21" s="124" t="s">
        <v>54</v>
      </c>
      <c r="B21" s="132">
        <f>VLOOKUP(A21,[2]DIFAL!$C$13:$E$39,3,0)</f>
        <v>7.0000000000000007E-2</v>
      </c>
      <c r="C21" s="132">
        <v>0.2</v>
      </c>
      <c r="D21" s="126"/>
      <c r="E21" s="126"/>
      <c r="F21" s="126"/>
      <c r="G21" s="126"/>
      <c r="H21" s="7">
        <f>PREÇOS!L22</f>
        <v>12.53</v>
      </c>
      <c r="I21" s="89">
        <f t="shared" si="0"/>
        <v>0</v>
      </c>
      <c r="J21" s="4">
        <f t="shared" si="1"/>
        <v>0</v>
      </c>
    </row>
    <row r="22" spans="1:10" x14ac:dyDescent="0.3">
      <c r="A22" s="124" t="s">
        <v>55</v>
      </c>
      <c r="B22" s="132">
        <f>VLOOKUP(A22,[2]DIFAL!$C$13:$E$39,3,0)</f>
        <v>7.0000000000000007E-2</v>
      </c>
      <c r="C22" s="132">
        <v>0.17499999999999999</v>
      </c>
      <c r="D22" s="126"/>
      <c r="E22" s="126"/>
      <c r="F22" s="126"/>
      <c r="G22" s="126"/>
      <c r="H22" s="7">
        <f>PREÇOS!L23</f>
        <v>12.53</v>
      </c>
      <c r="I22" s="89">
        <f t="shared" si="0"/>
        <v>0</v>
      </c>
      <c r="J22" s="4">
        <f t="shared" si="1"/>
        <v>0</v>
      </c>
    </row>
    <row r="23" spans="1:10" x14ac:dyDescent="0.3">
      <c r="A23" s="124" t="s">
        <v>56</v>
      </c>
      <c r="B23" s="132">
        <f>VLOOKUP(A23,[2]DIFAL!$C$13:$E$39,3,0)</f>
        <v>7.0000000000000007E-2</v>
      </c>
      <c r="C23" s="132">
        <v>0.2</v>
      </c>
      <c r="D23" s="126"/>
      <c r="E23" s="126"/>
      <c r="F23" s="126"/>
      <c r="G23" s="126"/>
      <c r="H23" s="7">
        <f>PREÇOS!L24</f>
        <v>12.53</v>
      </c>
      <c r="I23" s="89">
        <f t="shared" si="0"/>
        <v>0</v>
      </c>
      <c r="J23" s="4">
        <f t="shared" si="1"/>
        <v>0</v>
      </c>
    </row>
    <row r="24" spans="1:10" x14ac:dyDescent="0.3">
      <c r="A24" s="124" t="s">
        <v>57</v>
      </c>
      <c r="B24" s="132">
        <f>VLOOKUP(A24,[2]DIFAL!$C$13:$E$39,3,0)</f>
        <v>0.12</v>
      </c>
      <c r="C24" s="132">
        <v>0.17</v>
      </c>
      <c r="D24" s="126"/>
      <c r="E24" s="126"/>
      <c r="F24" s="126"/>
      <c r="G24" s="126"/>
      <c r="H24" s="7">
        <f>PREÇOS!L25</f>
        <v>14.01</v>
      </c>
      <c r="I24" s="92">
        <f t="shared" si="0"/>
        <v>0</v>
      </c>
      <c r="J24" s="93">
        <f t="shared" si="1"/>
        <v>0</v>
      </c>
    </row>
    <row r="25" spans="1:10" x14ac:dyDescent="0.3">
      <c r="A25" s="124" t="s">
        <v>58</v>
      </c>
      <c r="B25" s="132">
        <f>VLOOKUP(A25,[2]DIFAL!$C$13:$E$39,3,0)</f>
        <v>0.12</v>
      </c>
      <c r="C25" s="132">
        <v>0.17</v>
      </c>
      <c r="D25" s="126"/>
      <c r="E25" s="126"/>
      <c r="F25" s="126"/>
      <c r="G25" s="126"/>
      <c r="H25" s="7">
        <f>PREÇOS!L26</f>
        <v>14.01</v>
      </c>
      <c r="I25" s="92">
        <f t="shared" si="0"/>
        <v>0</v>
      </c>
      <c r="J25" s="93">
        <f t="shared" si="1"/>
        <v>0</v>
      </c>
    </row>
    <row r="26" spans="1:10" x14ac:dyDescent="0.3">
      <c r="A26" s="124" t="s">
        <v>59</v>
      </c>
      <c r="B26" s="132">
        <f>VLOOKUP(A26,[2]DIFAL!$C$13:$E$39,3,0)</f>
        <v>7.0000000000000007E-2</v>
      </c>
      <c r="C26" s="132">
        <v>0.2</v>
      </c>
      <c r="D26" s="126"/>
      <c r="E26" s="126"/>
      <c r="F26" s="126"/>
      <c r="G26" s="126"/>
      <c r="H26" s="7">
        <f>PREÇOS!L27</f>
        <v>12.53</v>
      </c>
      <c r="I26" s="90">
        <f t="shared" si="0"/>
        <v>0</v>
      </c>
      <c r="J26" s="48">
        <f t="shared" si="1"/>
        <v>0</v>
      </c>
    </row>
    <row r="27" spans="1:10" x14ac:dyDescent="0.3">
      <c r="A27" s="124" t="s">
        <v>34</v>
      </c>
      <c r="B27" s="132">
        <f>VLOOKUP(A27,[2]DIFAL!$C$13:$E$39,3,0)</f>
        <v>0.12</v>
      </c>
      <c r="C27" s="132">
        <v>0.18</v>
      </c>
      <c r="D27" s="126"/>
      <c r="E27" s="126"/>
      <c r="F27" s="126">
        <v>0.46300000000000002</v>
      </c>
      <c r="G27" s="126"/>
      <c r="H27" s="7">
        <f>PREÇOS!L28</f>
        <v>14.01</v>
      </c>
      <c r="I27" s="92">
        <f t="shared" si="0"/>
        <v>2.0081933999999997</v>
      </c>
      <c r="J27" s="93">
        <f t="shared" si="1"/>
        <v>2.0081933999999997</v>
      </c>
    </row>
    <row r="28" spans="1:10" x14ac:dyDescent="0.3">
      <c r="A28" s="127" t="s">
        <v>130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14.01</v>
      </c>
      <c r="I28" s="123">
        <f t="shared" si="0"/>
        <v>2.0081933999999997</v>
      </c>
      <c r="J28" s="121">
        <f t="shared" si="1"/>
        <v>2.0081933999999997</v>
      </c>
    </row>
    <row r="29" spans="1:10" x14ac:dyDescent="0.3">
      <c r="A29" s="124" t="s">
        <v>60</v>
      </c>
      <c r="B29" s="132">
        <f>VLOOKUP(A29,[2]DIFAL!$C$13:$E$39,3,0)</f>
        <v>7.0000000000000007E-2</v>
      </c>
      <c r="C29" s="132">
        <v>0.2</v>
      </c>
      <c r="D29" s="126"/>
      <c r="E29" s="126"/>
      <c r="F29" s="126"/>
      <c r="G29" s="126"/>
      <c r="H29" s="7">
        <f>PREÇOS!L30</f>
        <v>12.53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112</v>
      </c>
      <c r="H30" s="7">
        <f>PREÇOS!L31</f>
        <v>0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AE38"/>
  <sheetViews>
    <sheetView zoomScale="70" zoomScaleNormal="70" workbookViewId="0">
      <selection activeCell="M13" sqref="M13"/>
    </sheetView>
  </sheetViews>
  <sheetFormatPr defaultRowHeight="14.4" x14ac:dyDescent="0.3"/>
  <cols>
    <col min="1" max="15" width="18.21875" customWidth="1"/>
    <col min="18" max="18" width="11.5546875" bestFit="1" customWidth="1"/>
    <col min="19" max="19" width="12.44140625" bestFit="1" customWidth="1"/>
    <col min="20" max="20" width="15.21875" bestFit="1" customWidth="1"/>
    <col min="21" max="21" width="12.77734375" bestFit="1" customWidth="1"/>
    <col min="22" max="22" width="9.77734375" bestFit="1" customWidth="1"/>
    <col min="23" max="23" width="8.5546875" bestFit="1" customWidth="1"/>
    <col min="24" max="24" width="9.77734375" bestFit="1" customWidth="1"/>
    <col min="25" max="25" width="15.77734375" bestFit="1" customWidth="1"/>
    <col min="26" max="26" width="9" bestFit="1" customWidth="1"/>
    <col min="27" max="27" width="8.5546875" bestFit="1" customWidth="1"/>
    <col min="28" max="28" width="9.5546875" bestFit="1" customWidth="1"/>
  </cols>
  <sheetData>
    <row r="1" spans="1:31" ht="15.6" x14ac:dyDescent="0.3">
      <c r="A1" s="96" t="s">
        <v>148</v>
      </c>
      <c r="B1" s="97" t="s">
        <v>147</v>
      </c>
      <c r="C1" s="98"/>
      <c r="D1" s="98" t="s">
        <v>140</v>
      </c>
      <c r="E1" s="98"/>
      <c r="F1" s="98"/>
      <c r="G1" s="133"/>
      <c r="H1" s="98"/>
      <c r="I1" s="98"/>
      <c r="J1" s="98"/>
      <c r="K1" s="98"/>
      <c r="L1" s="98"/>
      <c r="M1" s="98"/>
      <c r="N1" s="98"/>
      <c r="O1" s="98"/>
    </row>
    <row r="2" spans="1:31" ht="93.6" x14ac:dyDescent="0.3">
      <c r="A2" s="99" t="s">
        <v>35</v>
      </c>
      <c r="B2" s="134" t="s">
        <v>62</v>
      </c>
      <c r="C2" s="99" t="s">
        <v>61</v>
      </c>
      <c r="D2" s="134" t="s">
        <v>63</v>
      </c>
      <c r="E2" s="99" t="s">
        <v>76</v>
      </c>
      <c r="F2" s="99" t="s">
        <v>78</v>
      </c>
      <c r="G2" s="135" t="s">
        <v>142</v>
      </c>
      <c r="H2" s="1" t="s">
        <v>114</v>
      </c>
      <c r="I2" s="100" t="s">
        <v>124</v>
      </c>
      <c r="J2" s="135" t="s">
        <v>138</v>
      </c>
      <c r="K2" s="136" t="s">
        <v>143</v>
      </c>
      <c r="L2" s="136" t="s">
        <v>144</v>
      </c>
      <c r="M2" s="1" t="s">
        <v>125</v>
      </c>
      <c r="N2" s="1" t="s">
        <v>126</v>
      </c>
      <c r="O2" s="1" t="s">
        <v>127</v>
      </c>
      <c r="Q2" s="99" t="s">
        <v>35</v>
      </c>
      <c r="R2" s="134" t="s">
        <v>62</v>
      </c>
      <c r="S2" s="99" t="s">
        <v>61</v>
      </c>
      <c r="T2" s="134" t="s">
        <v>63</v>
      </c>
      <c r="U2" s="99" t="s">
        <v>76</v>
      </c>
      <c r="V2" s="99" t="s">
        <v>78</v>
      </c>
      <c r="W2" s="135" t="s">
        <v>142</v>
      </c>
      <c r="X2" s="1" t="s">
        <v>114</v>
      </c>
      <c r="Y2" s="100" t="s">
        <v>124</v>
      </c>
      <c r="Z2" s="135" t="s">
        <v>138</v>
      </c>
      <c r="AA2" s="136" t="s">
        <v>143</v>
      </c>
      <c r="AB2" s="136" t="s">
        <v>144</v>
      </c>
      <c r="AC2" s="1" t="s">
        <v>125</v>
      </c>
      <c r="AD2" s="1" t="s">
        <v>126</v>
      </c>
      <c r="AE2" s="1" t="s">
        <v>127</v>
      </c>
    </row>
    <row r="3" spans="1:31" x14ac:dyDescent="0.3">
      <c r="A3" s="8" t="s">
        <v>36</v>
      </c>
      <c r="B3" s="9">
        <f>ROUND(R3*1.1,2)</f>
        <v>5.14</v>
      </c>
      <c r="C3" s="9">
        <f t="shared" ref="C3:C30" si="0">ROUND(S3*1.1,2)</f>
        <v>3.36</v>
      </c>
      <c r="D3" s="9">
        <f t="shared" ref="D3:D30" si="1">ROUND(T3*1.1,2)</f>
        <v>10.01</v>
      </c>
      <c r="E3" s="9">
        <f t="shared" ref="E3:E30" si="2">ROUND(U3*1.1,2)</f>
        <v>7.4</v>
      </c>
      <c r="F3" s="10">
        <f t="shared" ref="F3:F30" si="3">ROUND(V3*1.1,2)</f>
        <v>10.9</v>
      </c>
      <c r="G3" s="10">
        <f t="shared" ref="G3:G30" si="4">ROUND(W3*1.1,2)</f>
        <v>7.71</v>
      </c>
      <c r="H3" s="10">
        <f t="shared" ref="H3:H30" si="5">ROUND(X3*1.1,2)</f>
        <v>7.41</v>
      </c>
      <c r="I3" s="9">
        <f t="shared" ref="I3:I30" si="6">ROUND(Y3*1.1,2)</f>
        <v>7.54</v>
      </c>
      <c r="J3" s="10">
        <f t="shared" ref="J3:J30" si="7">ROUND(Z3*1.1,2)</f>
        <v>5.94</v>
      </c>
      <c r="K3" s="10">
        <f t="shared" ref="K3:K30" si="8">ROUND(AA3*1.1,2)</f>
        <v>4.91</v>
      </c>
      <c r="L3" s="10">
        <f t="shared" ref="L3:L30" si="9">ROUND(AB3*1.1,2)</f>
        <v>12.53</v>
      </c>
      <c r="M3" s="6">
        <v>10.3194</v>
      </c>
      <c r="N3" s="6"/>
      <c r="O3" s="6"/>
      <c r="Q3" s="8" t="s">
        <v>36</v>
      </c>
      <c r="R3" s="9">
        <v>4.67</v>
      </c>
      <c r="S3" s="9">
        <v>3.05</v>
      </c>
      <c r="T3" s="9">
        <v>9.1</v>
      </c>
      <c r="U3" s="9">
        <v>6.73</v>
      </c>
      <c r="V3" s="10">
        <v>9.91</v>
      </c>
      <c r="W3" s="10">
        <v>7.01</v>
      </c>
      <c r="X3" s="10">
        <v>6.74</v>
      </c>
      <c r="Y3" s="9">
        <v>6.85</v>
      </c>
      <c r="Z3" s="10">
        <v>5.4</v>
      </c>
      <c r="AA3" s="10">
        <v>4.46</v>
      </c>
      <c r="AB3" s="10">
        <v>11.39</v>
      </c>
      <c r="AC3" s="6"/>
      <c r="AD3" s="6"/>
      <c r="AE3" s="6"/>
    </row>
    <row r="4" spans="1:31" x14ac:dyDescent="0.3">
      <c r="A4" s="8" t="s">
        <v>37</v>
      </c>
      <c r="B4" s="9">
        <f t="shared" ref="B4:B30" si="10">ROUND(R4*1.1,2)</f>
        <v>5.14</v>
      </c>
      <c r="C4" s="9">
        <f t="shared" si="0"/>
        <v>3.36</v>
      </c>
      <c r="D4" s="9">
        <f t="shared" si="1"/>
        <v>10.01</v>
      </c>
      <c r="E4" s="9">
        <f t="shared" si="2"/>
        <v>7.4</v>
      </c>
      <c r="F4" s="10">
        <f t="shared" si="3"/>
        <v>10.9</v>
      </c>
      <c r="G4" s="10">
        <f t="shared" si="4"/>
        <v>7.71</v>
      </c>
      <c r="H4" s="10">
        <f t="shared" si="5"/>
        <v>7.41</v>
      </c>
      <c r="I4" s="9">
        <f t="shared" si="6"/>
        <v>7.54</v>
      </c>
      <c r="J4" s="10">
        <f t="shared" si="7"/>
        <v>5.94</v>
      </c>
      <c r="K4" s="10">
        <f t="shared" si="8"/>
        <v>4.91</v>
      </c>
      <c r="L4" s="10">
        <f t="shared" si="9"/>
        <v>12.53</v>
      </c>
      <c r="M4" s="6">
        <v>10.3194</v>
      </c>
      <c r="N4" s="6"/>
      <c r="O4" s="6"/>
      <c r="Q4" s="8" t="s">
        <v>37</v>
      </c>
      <c r="R4" s="9">
        <v>4.67</v>
      </c>
      <c r="S4" s="9">
        <v>3.05</v>
      </c>
      <c r="T4" s="9">
        <v>9.1</v>
      </c>
      <c r="U4" s="9">
        <v>6.73</v>
      </c>
      <c r="V4" s="10">
        <v>9.91</v>
      </c>
      <c r="W4" s="10">
        <v>7.01</v>
      </c>
      <c r="X4" s="10">
        <v>6.74</v>
      </c>
      <c r="Y4" s="9">
        <v>6.85</v>
      </c>
      <c r="Z4" s="10">
        <v>5.4</v>
      </c>
      <c r="AA4" s="10">
        <v>4.46</v>
      </c>
      <c r="AB4" s="10">
        <v>11.39</v>
      </c>
      <c r="AC4" s="6"/>
      <c r="AD4" s="6"/>
      <c r="AE4" s="6"/>
    </row>
    <row r="5" spans="1:31" x14ac:dyDescent="0.3">
      <c r="A5" s="8" t="s">
        <v>38</v>
      </c>
      <c r="B5" s="9">
        <f t="shared" si="10"/>
        <v>5.14</v>
      </c>
      <c r="C5" s="9">
        <f t="shared" si="0"/>
        <v>3.36</v>
      </c>
      <c r="D5" s="9">
        <f t="shared" si="1"/>
        <v>10.01</v>
      </c>
      <c r="E5" s="9">
        <f t="shared" si="2"/>
        <v>7.4</v>
      </c>
      <c r="F5" s="10">
        <f t="shared" si="3"/>
        <v>10.9</v>
      </c>
      <c r="G5" s="10">
        <f t="shared" si="4"/>
        <v>7.71</v>
      </c>
      <c r="H5" s="10">
        <f t="shared" si="5"/>
        <v>7.41</v>
      </c>
      <c r="I5" s="9">
        <f t="shared" si="6"/>
        <v>7.54</v>
      </c>
      <c r="J5" s="10">
        <f t="shared" si="7"/>
        <v>5.94</v>
      </c>
      <c r="K5" s="10">
        <f t="shared" si="8"/>
        <v>4.91</v>
      </c>
      <c r="L5" s="10">
        <f t="shared" si="9"/>
        <v>12.53</v>
      </c>
      <c r="M5" s="6">
        <v>10.3194</v>
      </c>
      <c r="N5" s="6"/>
      <c r="O5" s="6"/>
      <c r="Q5" s="8" t="s">
        <v>38</v>
      </c>
      <c r="R5" s="9">
        <v>4.67</v>
      </c>
      <c r="S5" s="9">
        <v>3.05</v>
      </c>
      <c r="T5" s="9">
        <v>9.1</v>
      </c>
      <c r="U5" s="9">
        <v>6.73</v>
      </c>
      <c r="V5" s="10">
        <v>9.91</v>
      </c>
      <c r="W5" s="10">
        <v>7.01</v>
      </c>
      <c r="X5" s="10">
        <v>6.74</v>
      </c>
      <c r="Y5" s="9">
        <v>6.85</v>
      </c>
      <c r="Z5" s="10">
        <v>5.4</v>
      </c>
      <c r="AA5" s="10">
        <v>4.46</v>
      </c>
      <c r="AB5" s="10">
        <v>11.39</v>
      </c>
      <c r="AC5" s="6"/>
      <c r="AD5" s="6"/>
      <c r="AE5" s="6"/>
    </row>
    <row r="6" spans="1:31" x14ac:dyDescent="0.3">
      <c r="A6" s="8" t="s">
        <v>39</v>
      </c>
      <c r="B6" s="9">
        <f t="shared" si="10"/>
        <v>5.14</v>
      </c>
      <c r="C6" s="9">
        <f t="shared" si="0"/>
        <v>3.36</v>
      </c>
      <c r="D6" s="9">
        <f t="shared" si="1"/>
        <v>10.01</v>
      </c>
      <c r="E6" s="9">
        <f t="shared" si="2"/>
        <v>7.4</v>
      </c>
      <c r="F6" s="10">
        <f t="shared" si="3"/>
        <v>10.9</v>
      </c>
      <c r="G6" s="10">
        <f t="shared" si="4"/>
        <v>7.71</v>
      </c>
      <c r="H6" s="10">
        <f t="shared" si="5"/>
        <v>7.41</v>
      </c>
      <c r="I6" s="9">
        <f t="shared" si="6"/>
        <v>7.54</v>
      </c>
      <c r="J6" s="10">
        <f t="shared" si="7"/>
        <v>5.94</v>
      </c>
      <c r="K6" s="10">
        <f t="shared" si="8"/>
        <v>4.91</v>
      </c>
      <c r="L6" s="10">
        <f t="shared" si="9"/>
        <v>12.53</v>
      </c>
      <c r="M6" s="6">
        <v>10.3194</v>
      </c>
      <c r="N6" s="6"/>
      <c r="O6" s="6"/>
      <c r="Q6" s="8" t="s">
        <v>39</v>
      </c>
      <c r="R6" s="9">
        <v>4.67</v>
      </c>
      <c r="S6" s="9">
        <v>3.05</v>
      </c>
      <c r="T6" s="9">
        <v>9.1</v>
      </c>
      <c r="U6" s="9">
        <v>6.73</v>
      </c>
      <c r="V6" s="10">
        <v>9.91</v>
      </c>
      <c r="W6" s="10">
        <v>7.01</v>
      </c>
      <c r="X6" s="10">
        <v>6.74</v>
      </c>
      <c r="Y6" s="9">
        <v>6.85</v>
      </c>
      <c r="Z6" s="10">
        <v>5.4</v>
      </c>
      <c r="AA6" s="10">
        <v>4.46</v>
      </c>
      <c r="AB6" s="10">
        <v>11.39</v>
      </c>
      <c r="AC6" s="6"/>
      <c r="AD6" s="6"/>
      <c r="AE6" s="6"/>
    </row>
    <row r="7" spans="1:31" x14ac:dyDescent="0.3">
      <c r="A7" s="8" t="s">
        <v>40</v>
      </c>
      <c r="B7" s="9">
        <f t="shared" si="10"/>
        <v>5.14</v>
      </c>
      <c r="C7" s="9">
        <f t="shared" si="0"/>
        <v>3.36</v>
      </c>
      <c r="D7" s="9">
        <f t="shared" si="1"/>
        <v>10.01</v>
      </c>
      <c r="E7" s="9">
        <f t="shared" si="2"/>
        <v>7.4</v>
      </c>
      <c r="F7" s="10">
        <f t="shared" si="3"/>
        <v>10.9</v>
      </c>
      <c r="G7" s="10">
        <f t="shared" si="4"/>
        <v>7.71</v>
      </c>
      <c r="H7" s="10">
        <f t="shared" si="5"/>
        <v>7.41</v>
      </c>
      <c r="I7" s="9">
        <f t="shared" si="6"/>
        <v>7.54</v>
      </c>
      <c r="J7" s="10">
        <f t="shared" si="7"/>
        <v>5.94</v>
      </c>
      <c r="K7" s="10">
        <f t="shared" si="8"/>
        <v>4.91</v>
      </c>
      <c r="L7" s="10">
        <f t="shared" si="9"/>
        <v>12.53</v>
      </c>
      <c r="M7" s="6">
        <v>10.3194</v>
      </c>
      <c r="N7" s="6"/>
      <c r="O7" s="6"/>
      <c r="Q7" s="8" t="s">
        <v>40</v>
      </c>
      <c r="R7" s="9">
        <v>4.67</v>
      </c>
      <c r="S7" s="9">
        <v>3.05</v>
      </c>
      <c r="T7" s="9">
        <v>9.1</v>
      </c>
      <c r="U7" s="9">
        <v>6.73</v>
      </c>
      <c r="V7" s="10">
        <v>9.91</v>
      </c>
      <c r="W7" s="10">
        <v>7.01</v>
      </c>
      <c r="X7" s="10">
        <v>6.74</v>
      </c>
      <c r="Y7" s="9">
        <v>6.85</v>
      </c>
      <c r="Z7" s="10">
        <v>5.4</v>
      </c>
      <c r="AA7" s="10">
        <v>4.46</v>
      </c>
      <c r="AB7" s="10">
        <v>11.39</v>
      </c>
      <c r="AC7" s="6"/>
      <c r="AD7" s="6"/>
      <c r="AE7" s="6"/>
    </row>
    <row r="8" spans="1:31" x14ac:dyDescent="0.3">
      <c r="A8" s="8" t="s">
        <v>41</v>
      </c>
      <c r="B8" s="9">
        <f t="shared" si="10"/>
        <v>5.14</v>
      </c>
      <c r="C8" s="9">
        <f t="shared" si="0"/>
        <v>3.36</v>
      </c>
      <c r="D8" s="9">
        <f t="shared" si="1"/>
        <v>10.01</v>
      </c>
      <c r="E8" s="9">
        <f t="shared" si="2"/>
        <v>7.4</v>
      </c>
      <c r="F8" s="10">
        <f t="shared" si="3"/>
        <v>10.9</v>
      </c>
      <c r="G8" s="10">
        <f t="shared" si="4"/>
        <v>7.71</v>
      </c>
      <c r="H8" s="10">
        <f t="shared" si="5"/>
        <v>7.41</v>
      </c>
      <c r="I8" s="9">
        <f t="shared" si="6"/>
        <v>7.54</v>
      </c>
      <c r="J8" s="10">
        <f t="shared" si="7"/>
        <v>5.94</v>
      </c>
      <c r="K8" s="10">
        <f t="shared" si="8"/>
        <v>4.91</v>
      </c>
      <c r="L8" s="10">
        <f t="shared" si="9"/>
        <v>12.53</v>
      </c>
      <c r="M8" s="6">
        <v>10.3194</v>
      </c>
      <c r="N8" s="6"/>
      <c r="O8" s="6"/>
      <c r="Q8" s="8" t="s">
        <v>41</v>
      </c>
      <c r="R8" s="9">
        <v>4.67</v>
      </c>
      <c r="S8" s="9">
        <v>3.05</v>
      </c>
      <c r="T8" s="9">
        <v>9.1</v>
      </c>
      <c r="U8" s="9">
        <v>6.73</v>
      </c>
      <c r="V8" s="10">
        <v>9.91</v>
      </c>
      <c r="W8" s="10">
        <v>7.01</v>
      </c>
      <c r="X8" s="10">
        <v>6.74</v>
      </c>
      <c r="Y8" s="9">
        <v>6.85</v>
      </c>
      <c r="Z8" s="10">
        <v>5.4</v>
      </c>
      <c r="AA8" s="10">
        <v>4.46</v>
      </c>
      <c r="AB8" s="10">
        <v>11.39</v>
      </c>
      <c r="AC8" s="6"/>
      <c r="AD8" s="6"/>
      <c r="AE8" s="6"/>
    </row>
    <row r="9" spans="1:31" x14ac:dyDescent="0.3">
      <c r="A9" s="8" t="s">
        <v>42</v>
      </c>
      <c r="B9" s="9">
        <f t="shared" si="10"/>
        <v>5.14</v>
      </c>
      <c r="C9" s="9">
        <f t="shared" si="0"/>
        <v>3.36</v>
      </c>
      <c r="D9" s="9">
        <f t="shared" si="1"/>
        <v>10.01</v>
      </c>
      <c r="E9" s="9">
        <f t="shared" si="2"/>
        <v>7.4</v>
      </c>
      <c r="F9" s="10">
        <f t="shared" si="3"/>
        <v>10.9</v>
      </c>
      <c r="G9" s="10">
        <f t="shared" si="4"/>
        <v>7.71</v>
      </c>
      <c r="H9" s="10">
        <f t="shared" si="5"/>
        <v>7.41</v>
      </c>
      <c r="I9" s="9">
        <f t="shared" si="6"/>
        <v>7.54</v>
      </c>
      <c r="J9" s="10">
        <f t="shared" si="7"/>
        <v>5.94</v>
      </c>
      <c r="K9" s="10">
        <f t="shared" si="8"/>
        <v>4.91</v>
      </c>
      <c r="L9" s="10">
        <f t="shared" si="9"/>
        <v>12.53</v>
      </c>
      <c r="M9" s="6">
        <v>10.3194</v>
      </c>
      <c r="N9" s="6"/>
      <c r="O9" s="6"/>
      <c r="Q9" s="8" t="s">
        <v>42</v>
      </c>
      <c r="R9" s="9">
        <v>4.67</v>
      </c>
      <c r="S9" s="9">
        <v>3.05</v>
      </c>
      <c r="T9" s="9">
        <v>9.1</v>
      </c>
      <c r="U9" s="9">
        <v>6.73</v>
      </c>
      <c r="V9" s="10">
        <v>9.91</v>
      </c>
      <c r="W9" s="10">
        <v>7.01</v>
      </c>
      <c r="X9" s="10">
        <v>6.74</v>
      </c>
      <c r="Y9" s="9">
        <v>6.85</v>
      </c>
      <c r="Z9" s="10">
        <v>5.4</v>
      </c>
      <c r="AA9" s="10">
        <v>4.46</v>
      </c>
      <c r="AB9" s="10">
        <v>11.39</v>
      </c>
      <c r="AC9" s="6"/>
      <c r="AD9" s="6"/>
      <c r="AE9" s="6"/>
    </row>
    <row r="10" spans="1:31" x14ac:dyDescent="0.3">
      <c r="A10" s="11" t="s">
        <v>43</v>
      </c>
      <c r="B10" s="9">
        <f t="shared" si="10"/>
        <v>5.14</v>
      </c>
      <c r="C10" s="9">
        <f t="shared" si="0"/>
        <v>3.36</v>
      </c>
      <c r="D10" s="9">
        <f t="shared" si="1"/>
        <v>10.01</v>
      </c>
      <c r="E10" s="9">
        <f t="shared" si="2"/>
        <v>7.4</v>
      </c>
      <c r="F10" s="10">
        <f t="shared" si="3"/>
        <v>10.9</v>
      </c>
      <c r="G10" s="10">
        <f t="shared" si="4"/>
        <v>7.71</v>
      </c>
      <c r="H10" s="10">
        <f t="shared" si="5"/>
        <v>7.41</v>
      </c>
      <c r="I10" s="9">
        <f t="shared" si="6"/>
        <v>7.54</v>
      </c>
      <c r="J10" s="137">
        <f t="shared" si="7"/>
        <v>5.45</v>
      </c>
      <c r="K10" s="137">
        <f t="shared" si="8"/>
        <v>5.45</v>
      </c>
      <c r="L10" s="137">
        <f t="shared" si="9"/>
        <v>13.26</v>
      </c>
      <c r="M10" s="6">
        <v>10.3194</v>
      </c>
      <c r="N10" s="6"/>
      <c r="O10" s="6"/>
      <c r="Q10" s="11" t="s">
        <v>43</v>
      </c>
      <c r="R10" s="9">
        <v>4.67</v>
      </c>
      <c r="S10" s="9">
        <v>3.05</v>
      </c>
      <c r="T10" s="9">
        <v>9.1</v>
      </c>
      <c r="U10" s="9">
        <v>6.73</v>
      </c>
      <c r="V10" s="10">
        <v>9.91</v>
      </c>
      <c r="W10" s="10">
        <v>7.01</v>
      </c>
      <c r="X10" s="10">
        <v>6.74</v>
      </c>
      <c r="Y10" s="9">
        <v>6.85</v>
      </c>
      <c r="Z10" s="137">
        <v>4.95</v>
      </c>
      <c r="AA10" s="137">
        <v>4.95</v>
      </c>
      <c r="AB10" s="137">
        <v>12.05</v>
      </c>
      <c r="AC10" s="6"/>
      <c r="AD10" s="6"/>
      <c r="AE10" s="6"/>
    </row>
    <row r="11" spans="1:31" x14ac:dyDescent="0.3">
      <c r="A11" s="8" t="s">
        <v>44</v>
      </c>
      <c r="B11" s="9">
        <f t="shared" si="10"/>
        <v>5.14</v>
      </c>
      <c r="C11" s="9">
        <f t="shared" si="0"/>
        <v>3.36</v>
      </c>
      <c r="D11" s="9">
        <f t="shared" si="1"/>
        <v>10.01</v>
      </c>
      <c r="E11" s="9">
        <f t="shared" si="2"/>
        <v>7.4</v>
      </c>
      <c r="F11" s="10">
        <f t="shared" si="3"/>
        <v>10.9</v>
      </c>
      <c r="G11" s="10">
        <f t="shared" si="4"/>
        <v>7.71</v>
      </c>
      <c r="H11" s="10">
        <f t="shared" si="5"/>
        <v>7.41</v>
      </c>
      <c r="I11" s="9">
        <f t="shared" si="6"/>
        <v>7.54</v>
      </c>
      <c r="J11" s="10">
        <f t="shared" si="7"/>
        <v>5.94</v>
      </c>
      <c r="K11" s="10">
        <f t="shared" si="8"/>
        <v>4.91</v>
      </c>
      <c r="L11" s="10">
        <f t="shared" si="9"/>
        <v>12.53</v>
      </c>
      <c r="M11" s="6">
        <v>10.3194</v>
      </c>
      <c r="N11" s="6"/>
      <c r="O11" s="6"/>
      <c r="Q11" s="8" t="s">
        <v>44</v>
      </c>
      <c r="R11" s="9">
        <v>4.67</v>
      </c>
      <c r="S11" s="9">
        <v>3.05</v>
      </c>
      <c r="T11" s="9">
        <v>9.1</v>
      </c>
      <c r="U11" s="9">
        <v>6.73</v>
      </c>
      <c r="V11" s="10">
        <v>9.91</v>
      </c>
      <c r="W11" s="10">
        <v>7.01</v>
      </c>
      <c r="X11" s="10">
        <v>6.74</v>
      </c>
      <c r="Y11" s="9">
        <v>6.85</v>
      </c>
      <c r="Z11" s="10">
        <v>5.4</v>
      </c>
      <c r="AA11" s="10">
        <v>4.46</v>
      </c>
      <c r="AB11" s="10">
        <v>11.39</v>
      </c>
      <c r="AC11" s="6"/>
      <c r="AD11" s="6"/>
      <c r="AE11" s="6"/>
    </row>
    <row r="12" spans="1:31" x14ac:dyDescent="0.3">
      <c r="A12" s="8" t="s">
        <v>45</v>
      </c>
      <c r="B12" s="9">
        <f t="shared" si="10"/>
        <v>5.14</v>
      </c>
      <c r="C12" s="9">
        <f t="shared" si="0"/>
        <v>3.36</v>
      </c>
      <c r="D12" s="9">
        <f t="shared" si="1"/>
        <v>10.01</v>
      </c>
      <c r="E12" s="9">
        <f t="shared" si="2"/>
        <v>7.4</v>
      </c>
      <c r="F12" s="10">
        <f t="shared" si="3"/>
        <v>10.9</v>
      </c>
      <c r="G12" s="10">
        <f t="shared" si="4"/>
        <v>7.71</v>
      </c>
      <c r="H12" s="10">
        <f t="shared" si="5"/>
        <v>7.41</v>
      </c>
      <c r="I12" s="9">
        <f t="shared" si="6"/>
        <v>7.54</v>
      </c>
      <c r="J12" s="10">
        <f t="shared" si="7"/>
        <v>5.94</v>
      </c>
      <c r="K12" s="10">
        <f t="shared" si="8"/>
        <v>4.91</v>
      </c>
      <c r="L12" s="10">
        <f t="shared" si="9"/>
        <v>12.53</v>
      </c>
      <c r="M12" s="6">
        <v>10.3194</v>
      </c>
      <c r="N12" s="6"/>
      <c r="O12" s="6"/>
      <c r="Q12" s="8" t="s">
        <v>45</v>
      </c>
      <c r="R12" s="9">
        <v>4.67</v>
      </c>
      <c r="S12" s="9">
        <v>3.05</v>
      </c>
      <c r="T12" s="9">
        <v>9.1</v>
      </c>
      <c r="U12" s="9">
        <v>6.73</v>
      </c>
      <c r="V12" s="10">
        <v>9.91</v>
      </c>
      <c r="W12" s="10">
        <v>7.01</v>
      </c>
      <c r="X12" s="10">
        <v>6.74</v>
      </c>
      <c r="Y12" s="9">
        <v>6.85</v>
      </c>
      <c r="Z12" s="10">
        <v>5.4</v>
      </c>
      <c r="AA12" s="10">
        <v>4.46</v>
      </c>
      <c r="AB12" s="10">
        <v>11.39</v>
      </c>
      <c r="AC12" s="6"/>
      <c r="AD12" s="6"/>
      <c r="AE12" s="6"/>
    </row>
    <row r="13" spans="1:31" x14ac:dyDescent="0.3">
      <c r="A13" s="12" t="s">
        <v>46</v>
      </c>
      <c r="B13" s="9">
        <f t="shared" si="10"/>
        <v>5.14</v>
      </c>
      <c r="C13" s="101">
        <f t="shared" si="0"/>
        <v>3.36</v>
      </c>
      <c r="D13" s="9">
        <f t="shared" si="1"/>
        <v>10.01</v>
      </c>
      <c r="E13" s="101">
        <f t="shared" si="2"/>
        <v>7.9</v>
      </c>
      <c r="F13" s="102">
        <f t="shared" si="3"/>
        <v>11.58</v>
      </c>
      <c r="G13" s="102">
        <f t="shared" si="4"/>
        <v>8.15</v>
      </c>
      <c r="H13" s="102">
        <f t="shared" si="5"/>
        <v>7.85</v>
      </c>
      <c r="I13" s="9">
        <f t="shared" si="6"/>
        <v>7.54</v>
      </c>
      <c r="J13" s="102">
        <f t="shared" si="7"/>
        <v>5.75</v>
      </c>
      <c r="K13" s="102">
        <f t="shared" si="8"/>
        <v>5.75</v>
      </c>
      <c r="L13" s="102">
        <f t="shared" si="9"/>
        <v>14.01</v>
      </c>
      <c r="M13" s="6">
        <v>11.2112</v>
      </c>
      <c r="N13" s="6"/>
      <c r="O13" s="6"/>
      <c r="Q13" s="12" t="s">
        <v>46</v>
      </c>
      <c r="R13" s="9">
        <v>4.67</v>
      </c>
      <c r="S13" s="101">
        <v>3.05</v>
      </c>
      <c r="T13" s="9">
        <v>9.1</v>
      </c>
      <c r="U13" s="101">
        <v>7.18</v>
      </c>
      <c r="V13" s="102">
        <v>10.53</v>
      </c>
      <c r="W13" s="102">
        <v>7.41</v>
      </c>
      <c r="X13" s="102">
        <v>7.14</v>
      </c>
      <c r="Y13" s="9">
        <v>6.85</v>
      </c>
      <c r="Z13" s="102">
        <v>5.23</v>
      </c>
      <c r="AA13" s="102">
        <v>5.23</v>
      </c>
      <c r="AB13" s="102">
        <v>12.74</v>
      </c>
      <c r="AC13" s="6"/>
      <c r="AD13" s="6"/>
      <c r="AE13" s="6"/>
    </row>
    <row r="14" spans="1:31" x14ac:dyDescent="0.3">
      <c r="A14" s="8" t="s">
        <v>47</v>
      </c>
      <c r="B14" s="9">
        <f t="shared" si="10"/>
        <v>5.14</v>
      </c>
      <c r="C14" s="9">
        <f t="shared" si="0"/>
        <v>3.36</v>
      </c>
      <c r="D14" s="9">
        <f t="shared" si="1"/>
        <v>10.01</v>
      </c>
      <c r="E14" s="9">
        <f t="shared" si="2"/>
        <v>7.4</v>
      </c>
      <c r="F14" s="10">
        <f t="shared" si="3"/>
        <v>10.9</v>
      </c>
      <c r="G14" s="10">
        <f t="shared" si="4"/>
        <v>7.71</v>
      </c>
      <c r="H14" s="10">
        <f t="shared" si="5"/>
        <v>7.41</v>
      </c>
      <c r="I14" s="9">
        <f t="shared" si="6"/>
        <v>7.54</v>
      </c>
      <c r="J14" s="10">
        <f t="shared" si="7"/>
        <v>5.94</v>
      </c>
      <c r="K14" s="10">
        <f t="shared" si="8"/>
        <v>4.91</v>
      </c>
      <c r="L14" s="10">
        <f t="shared" si="9"/>
        <v>12.53</v>
      </c>
      <c r="M14" s="6">
        <v>10.3194</v>
      </c>
      <c r="N14" s="6"/>
      <c r="O14" s="6"/>
      <c r="Q14" s="8" t="s">
        <v>47</v>
      </c>
      <c r="R14" s="9">
        <v>4.67</v>
      </c>
      <c r="S14" s="9">
        <v>3.05</v>
      </c>
      <c r="T14" s="9">
        <v>9.1</v>
      </c>
      <c r="U14" s="9">
        <v>6.73</v>
      </c>
      <c r="V14" s="10">
        <v>9.91</v>
      </c>
      <c r="W14" s="10">
        <v>7.01</v>
      </c>
      <c r="X14" s="10">
        <v>6.74</v>
      </c>
      <c r="Y14" s="9">
        <v>6.85</v>
      </c>
      <c r="Z14" s="10">
        <v>5.4</v>
      </c>
      <c r="AA14" s="10">
        <v>4.46</v>
      </c>
      <c r="AB14" s="10">
        <v>11.39</v>
      </c>
      <c r="AC14" s="6"/>
      <c r="AD14" s="6"/>
      <c r="AE14" s="6"/>
    </row>
    <row r="15" spans="1:31" x14ac:dyDescent="0.3">
      <c r="A15" s="8" t="s">
        <v>48</v>
      </c>
      <c r="B15" s="9">
        <f t="shared" si="10"/>
        <v>5.14</v>
      </c>
      <c r="C15" s="9">
        <f t="shared" si="0"/>
        <v>3.36</v>
      </c>
      <c r="D15" s="9">
        <f t="shared" si="1"/>
        <v>10.01</v>
      </c>
      <c r="E15" s="9">
        <f t="shared" si="2"/>
        <v>7.4</v>
      </c>
      <c r="F15" s="10">
        <f t="shared" si="3"/>
        <v>10.9</v>
      </c>
      <c r="G15" s="10">
        <f t="shared" si="4"/>
        <v>7.71</v>
      </c>
      <c r="H15" s="10">
        <f t="shared" si="5"/>
        <v>7.41</v>
      </c>
      <c r="I15" s="9">
        <f t="shared" si="6"/>
        <v>7.54</v>
      </c>
      <c r="J15" s="10">
        <f t="shared" si="7"/>
        <v>5.94</v>
      </c>
      <c r="K15" s="10">
        <f t="shared" si="8"/>
        <v>4.91</v>
      </c>
      <c r="L15" s="10">
        <f t="shared" si="9"/>
        <v>12.53</v>
      </c>
      <c r="M15" s="6">
        <v>10.3194</v>
      </c>
      <c r="N15" s="6"/>
      <c r="O15" s="6"/>
      <c r="Q15" s="8" t="s">
        <v>48</v>
      </c>
      <c r="R15" s="9">
        <v>4.67</v>
      </c>
      <c r="S15" s="9">
        <v>3.05</v>
      </c>
      <c r="T15" s="9">
        <v>9.1</v>
      </c>
      <c r="U15" s="9">
        <v>6.73</v>
      </c>
      <c r="V15" s="10">
        <v>9.91</v>
      </c>
      <c r="W15" s="10">
        <v>7.01</v>
      </c>
      <c r="X15" s="10">
        <v>6.74</v>
      </c>
      <c r="Y15" s="9">
        <v>6.85</v>
      </c>
      <c r="Z15" s="10">
        <v>5.4</v>
      </c>
      <c r="AA15" s="10">
        <v>4.46</v>
      </c>
      <c r="AB15" s="10">
        <v>11.39</v>
      </c>
      <c r="AC15" s="6"/>
      <c r="AD15" s="6"/>
      <c r="AE15" s="6"/>
    </row>
    <row r="16" spans="1:31" x14ac:dyDescent="0.3">
      <c r="A16" s="8" t="s">
        <v>49</v>
      </c>
      <c r="B16" s="9">
        <f t="shared" si="10"/>
        <v>5.14</v>
      </c>
      <c r="C16" s="9">
        <f t="shared" si="0"/>
        <v>3.36</v>
      </c>
      <c r="D16" s="9">
        <f t="shared" si="1"/>
        <v>10.01</v>
      </c>
      <c r="E16" s="9">
        <f t="shared" si="2"/>
        <v>7.4</v>
      </c>
      <c r="F16" s="10">
        <f t="shared" si="3"/>
        <v>10.9</v>
      </c>
      <c r="G16" s="10">
        <f t="shared" si="4"/>
        <v>7.71</v>
      </c>
      <c r="H16" s="10">
        <f t="shared" si="5"/>
        <v>7.41</v>
      </c>
      <c r="I16" s="9">
        <f t="shared" si="6"/>
        <v>7.54</v>
      </c>
      <c r="J16" s="10">
        <f t="shared" si="7"/>
        <v>5.94</v>
      </c>
      <c r="K16" s="10">
        <f t="shared" si="8"/>
        <v>4.91</v>
      </c>
      <c r="L16" s="10">
        <f t="shared" si="9"/>
        <v>12.53</v>
      </c>
      <c r="M16" s="6">
        <v>10.3194</v>
      </c>
      <c r="N16" s="6"/>
      <c r="O16" s="6"/>
      <c r="Q16" s="8" t="s">
        <v>49</v>
      </c>
      <c r="R16" s="9">
        <v>4.67</v>
      </c>
      <c r="S16" s="9">
        <v>3.05</v>
      </c>
      <c r="T16" s="9">
        <v>9.1</v>
      </c>
      <c r="U16" s="9">
        <v>6.73</v>
      </c>
      <c r="V16" s="10">
        <v>9.91</v>
      </c>
      <c r="W16" s="10">
        <v>7.01</v>
      </c>
      <c r="X16" s="10">
        <v>6.74</v>
      </c>
      <c r="Y16" s="9">
        <v>6.85</v>
      </c>
      <c r="Z16" s="10">
        <v>5.4</v>
      </c>
      <c r="AA16" s="10">
        <v>4.46</v>
      </c>
      <c r="AB16" s="10">
        <v>11.39</v>
      </c>
      <c r="AC16" s="6"/>
      <c r="AD16" s="6"/>
      <c r="AE16" s="6"/>
    </row>
    <row r="17" spans="1:31" x14ac:dyDescent="0.3">
      <c r="A17" s="8" t="s">
        <v>50</v>
      </c>
      <c r="B17" s="9">
        <f t="shared" si="10"/>
        <v>5.14</v>
      </c>
      <c r="C17" s="9">
        <f t="shared" si="0"/>
        <v>3.36</v>
      </c>
      <c r="D17" s="9">
        <f t="shared" si="1"/>
        <v>10.01</v>
      </c>
      <c r="E17" s="9">
        <f t="shared" si="2"/>
        <v>7.4</v>
      </c>
      <c r="F17" s="10">
        <f t="shared" si="3"/>
        <v>10.9</v>
      </c>
      <c r="G17" s="10">
        <f t="shared" si="4"/>
        <v>7.71</v>
      </c>
      <c r="H17" s="10">
        <f t="shared" si="5"/>
        <v>7.41</v>
      </c>
      <c r="I17" s="9">
        <f t="shared" si="6"/>
        <v>7.54</v>
      </c>
      <c r="J17" s="10">
        <f t="shared" si="7"/>
        <v>5.94</v>
      </c>
      <c r="K17" s="10">
        <f t="shared" si="8"/>
        <v>4.91</v>
      </c>
      <c r="L17" s="10">
        <f t="shared" si="9"/>
        <v>12.53</v>
      </c>
      <c r="M17" s="6">
        <v>10.3194</v>
      </c>
      <c r="N17" s="6"/>
      <c r="O17" s="6"/>
      <c r="Q17" s="8" t="s">
        <v>50</v>
      </c>
      <c r="R17" s="9">
        <v>4.67</v>
      </c>
      <c r="S17" s="9">
        <v>3.05</v>
      </c>
      <c r="T17" s="9">
        <v>9.1</v>
      </c>
      <c r="U17" s="9">
        <v>6.73</v>
      </c>
      <c r="V17" s="10">
        <v>9.91</v>
      </c>
      <c r="W17" s="10">
        <v>7.01</v>
      </c>
      <c r="X17" s="10">
        <v>6.74</v>
      </c>
      <c r="Y17" s="9">
        <v>6.85</v>
      </c>
      <c r="Z17" s="10">
        <v>5.4</v>
      </c>
      <c r="AA17" s="10">
        <v>4.46</v>
      </c>
      <c r="AB17" s="10">
        <v>11.39</v>
      </c>
      <c r="AC17" s="6"/>
      <c r="AD17" s="6"/>
      <c r="AE17" s="6"/>
    </row>
    <row r="18" spans="1:31" x14ac:dyDescent="0.3">
      <c r="A18" s="8" t="s">
        <v>51</v>
      </c>
      <c r="B18" s="9">
        <f t="shared" si="10"/>
        <v>5.14</v>
      </c>
      <c r="C18" s="9">
        <f t="shared" si="0"/>
        <v>3.36</v>
      </c>
      <c r="D18" s="9">
        <f t="shared" si="1"/>
        <v>10.01</v>
      </c>
      <c r="E18" s="9">
        <f t="shared" si="2"/>
        <v>7.4</v>
      </c>
      <c r="F18" s="10">
        <f t="shared" si="3"/>
        <v>10.9</v>
      </c>
      <c r="G18" s="10">
        <f t="shared" si="4"/>
        <v>7.71</v>
      </c>
      <c r="H18" s="10">
        <f t="shared" si="5"/>
        <v>7.41</v>
      </c>
      <c r="I18" s="9">
        <f t="shared" si="6"/>
        <v>7.54</v>
      </c>
      <c r="J18" s="10">
        <f t="shared" si="7"/>
        <v>5.94</v>
      </c>
      <c r="K18" s="10">
        <f t="shared" si="8"/>
        <v>4.91</v>
      </c>
      <c r="L18" s="10">
        <f t="shared" si="9"/>
        <v>12.53</v>
      </c>
      <c r="M18" s="6">
        <v>10.3194</v>
      </c>
      <c r="N18" s="6"/>
      <c r="O18" s="6"/>
      <c r="Q18" s="8" t="s">
        <v>51</v>
      </c>
      <c r="R18" s="9">
        <v>4.67</v>
      </c>
      <c r="S18" s="9">
        <v>3.05</v>
      </c>
      <c r="T18" s="9">
        <v>9.1</v>
      </c>
      <c r="U18" s="9">
        <v>6.73</v>
      </c>
      <c r="V18" s="10">
        <v>9.91</v>
      </c>
      <c r="W18" s="10">
        <v>7.01</v>
      </c>
      <c r="X18" s="10">
        <v>6.74</v>
      </c>
      <c r="Y18" s="9">
        <v>6.85</v>
      </c>
      <c r="Z18" s="10">
        <v>5.4</v>
      </c>
      <c r="AA18" s="10">
        <v>4.46</v>
      </c>
      <c r="AB18" s="10">
        <v>11.39</v>
      </c>
      <c r="AC18" s="6"/>
      <c r="AD18" s="6"/>
      <c r="AE18" s="6"/>
    </row>
    <row r="19" spans="1:31" x14ac:dyDescent="0.3">
      <c r="A19" s="8" t="s">
        <v>52</v>
      </c>
      <c r="B19" s="9">
        <f t="shared" si="10"/>
        <v>5.14</v>
      </c>
      <c r="C19" s="9">
        <f t="shared" si="0"/>
        <v>3.36</v>
      </c>
      <c r="D19" s="9">
        <f t="shared" si="1"/>
        <v>10.01</v>
      </c>
      <c r="E19" s="9">
        <f t="shared" si="2"/>
        <v>7.4</v>
      </c>
      <c r="F19" s="10">
        <f t="shared" si="3"/>
        <v>10.9</v>
      </c>
      <c r="G19" s="10">
        <f t="shared" si="4"/>
        <v>7.71</v>
      </c>
      <c r="H19" s="10">
        <f t="shared" si="5"/>
        <v>7.41</v>
      </c>
      <c r="I19" s="9">
        <f t="shared" si="6"/>
        <v>7.54</v>
      </c>
      <c r="J19" s="10">
        <f t="shared" si="7"/>
        <v>5.94</v>
      </c>
      <c r="K19" s="10">
        <f t="shared" si="8"/>
        <v>4.91</v>
      </c>
      <c r="L19" s="10">
        <f t="shared" si="9"/>
        <v>12.53</v>
      </c>
      <c r="M19" s="6">
        <v>10.3194</v>
      </c>
      <c r="N19" s="6"/>
      <c r="O19" s="6"/>
      <c r="Q19" s="8" t="s">
        <v>52</v>
      </c>
      <c r="R19" s="9">
        <v>4.67</v>
      </c>
      <c r="S19" s="9">
        <v>3.05</v>
      </c>
      <c r="T19" s="9">
        <v>9.1</v>
      </c>
      <c r="U19" s="9">
        <v>6.73</v>
      </c>
      <c r="V19" s="10">
        <v>9.91</v>
      </c>
      <c r="W19" s="10">
        <v>7.01</v>
      </c>
      <c r="X19" s="10">
        <v>6.74</v>
      </c>
      <c r="Y19" s="9">
        <v>6.85</v>
      </c>
      <c r="Z19" s="10">
        <v>5.4</v>
      </c>
      <c r="AA19" s="10">
        <v>4.46</v>
      </c>
      <c r="AB19" s="10">
        <v>11.39</v>
      </c>
      <c r="AC19" s="6"/>
      <c r="AD19" s="6"/>
      <c r="AE19" s="6"/>
    </row>
    <row r="20" spans="1:31" x14ac:dyDescent="0.3">
      <c r="A20" s="13" t="s">
        <v>33</v>
      </c>
      <c r="B20" s="14">
        <f t="shared" si="10"/>
        <v>5.65</v>
      </c>
      <c r="C20" s="101">
        <f t="shared" si="0"/>
        <v>3.36</v>
      </c>
      <c r="D20" s="14">
        <f t="shared" si="1"/>
        <v>10.98</v>
      </c>
      <c r="E20" s="101">
        <f t="shared" si="2"/>
        <v>7.9</v>
      </c>
      <c r="F20" s="102">
        <f t="shared" si="3"/>
        <v>11.58</v>
      </c>
      <c r="G20" s="102">
        <f t="shared" si="4"/>
        <v>8.15</v>
      </c>
      <c r="H20" s="102">
        <f t="shared" si="5"/>
        <v>7.85</v>
      </c>
      <c r="I20" s="14">
        <f t="shared" si="6"/>
        <v>7.54</v>
      </c>
      <c r="J20" s="102">
        <f t="shared" si="7"/>
        <v>5.75</v>
      </c>
      <c r="K20" s="102">
        <f t="shared" si="8"/>
        <v>5.75</v>
      </c>
      <c r="L20" s="102">
        <f t="shared" si="9"/>
        <v>14.01</v>
      </c>
      <c r="M20" s="6">
        <v>11.2112</v>
      </c>
      <c r="N20" s="6"/>
      <c r="O20" s="6"/>
      <c r="Q20" s="13" t="s">
        <v>33</v>
      </c>
      <c r="R20" s="14">
        <v>5.14</v>
      </c>
      <c r="S20" s="101">
        <v>3.05</v>
      </c>
      <c r="T20" s="14">
        <v>9.98</v>
      </c>
      <c r="U20" s="101">
        <v>7.18</v>
      </c>
      <c r="V20" s="102">
        <v>10.53</v>
      </c>
      <c r="W20" s="102">
        <v>7.41</v>
      </c>
      <c r="X20" s="102">
        <v>7.14</v>
      </c>
      <c r="Y20" s="14">
        <v>6.85</v>
      </c>
      <c r="Z20" s="102">
        <v>5.23</v>
      </c>
      <c r="AA20" s="102">
        <v>5.23</v>
      </c>
      <c r="AB20" s="102">
        <v>12.74</v>
      </c>
      <c r="AC20" s="6"/>
      <c r="AD20" s="6"/>
      <c r="AE20" s="6"/>
    </row>
    <row r="21" spans="1:31" x14ac:dyDescent="0.3">
      <c r="A21" s="12" t="s">
        <v>53</v>
      </c>
      <c r="B21" s="9">
        <f t="shared" si="10"/>
        <v>5.14</v>
      </c>
      <c r="C21" s="101">
        <f t="shared" si="0"/>
        <v>3.36</v>
      </c>
      <c r="D21" s="9">
        <f t="shared" si="1"/>
        <v>10.01</v>
      </c>
      <c r="E21" s="101">
        <f t="shared" si="2"/>
        <v>7.9</v>
      </c>
      <c r="F21" s="102">
        <f t="shared" si="3"/>
        <v>11.58</v>
      </c>
      <c r="G21" s="102">
        <f t="shared" si="4"/>
        <v>8.15</v>
      </c>
      <c r="H21" s="102">
        <f t="shared" si="5"/>
        <v>7.85</v>
      </c>
      <c r="I21" s="9">
        <f t="shared" si="6"/>
        <v>7.54</v>
      </c>
      <c r="J21" s="102">
        <f t="shared" si="7"/>
        <v>5.75</v>
      </c>
      <c r="K21" s="102">
        <f t="shared" si="8"/>
        <v>5.75</v>
      </c>
      <c r="L21" s="102">
        <f t="shared" si="9"/>
        <v>14.01</v>
      </c>
      <c r="M21" s="6">
        <v>11.2112</v>
      </c>
      <c r="N21" s="6"/>
      <c r="O21" s="6"/>
      <c r="Q21" s="12" t="s">
        <v>53</v>
      </c>
      <c r="R21" s="9">
        <v>4.67</v>
      </c>
      <c r="S21" s="101">
        <v>3.05</v>
      </c>
      <c r="T21" s="9">
        <v>9.1</v>
      </c>
      <c r="U21" s="101">
        <v>7.18</v>
      </c>
      <c r="V21" s="102">
        <v>10.53</v>
      </c>
      <c r="W21" s="102">
        <v>7.41</v>
      </c>
      <c r="X21" s="102">
        <v>7.14</v>
      </c>
      <c r="Y21" s="9">
        <v>6.85</v>
      </c>
      <c r="Z21" s="102">
        <v>5.23</v>
      </c>
      <c r="AA21" s="102">
        <v>5.23</v>
      </c>
      <c r="AB21" s="102">
        <v>12.74</v>
      </c>
      <c r="AC21" s="6"/>
      <c r="AD21" s="6"/>
      <c r="AE21" s="6"/>
    </row>
    <row r="22" spans="1:31" x14ac:dyDescent="0.3">
      <c r="A22" s="8" t="s">
        <v>54</v>
      </c>
      <c r="B22" s="9">
        <f t="shared" si="10"/>
        <v>5.14</v>
      </c>
      <c r="C22" s="9">
        <f t="shared" si="0"/>
        <v>3.36</v>
      </c>
      <c r="D22" s="9">
        <f t="shared" si="1"/>
        <v>10.01</v>
      </c>
      <c r="E22" s="9">
        <f t="shared" si="2"/>
        <v>7.4</v>
      </c>
      <c r="F22" s="10">
        <f t="shared" si="3"/>
        <v>10.9</v>
      </c>
      <c r="G22" s="10">
        <f t="shared" si="4"/>
        <v>7.71</v>
      </c>
      <c r="H22" s="10">
        <f t="shared" si="5"/>
        <v>7.41</v>
      </c>
      <c r="I22" s="9">
        <f t="shared" si="6"/>
        <v>7.54</v>
      </c>
      <c r="J22" s="10">
        <f t="shared" si="7"/>
        <v>5.94</v>
      </c>
      <c r="K22" s="10">
        <f t="shared" si="8"/>
        <v>4.91</v>
      </c>
      <c r="L22" s="10">
        <f t="shared" si="9"/>
        <v>12.53</v>
      </c>
      <c r="M22" s="6">
        <v>10.3194</v>
      </c>
      <c r="N22" s="6"/>
      <c r="O22" s="6"/>
      <c r="Q22" s="8" t="s">
        <v>54</v>
      </c>
      <c r="R22" s="9">
        <v>4.67</v>
      </c>
      <c r="S22" s="9">
        <v>3.05</v>
      </c>
      <c r="T22" s="9">
        <v>9.1</v>
      </c>
      <c r="U22" s="9">
        <v>6.73</v>
      </c>
      <c r="V22" s="10">
        <v>9.91</v>
      </c>
      <c r="W22" s="10">
        <v>7.01</v>
      </c>
      <c r="X22" s="10">
        <v>6.74</v>
      </c>
      <c r="Y22" s="9">
        <v>6.85</v>
      </c>
      <c r="Z22" s="10">
        <v>5.4</v>
      </c>
      <c r="AA22" s="10">
        <v>4.46</v>
      </c>
      <c r="AB22" s="10">
        <v>11.39</v>
      </c>
      <c r="AC22" s="6"/>
      <c r="AD22" s="6"/>
      <c r="AE22" s="6"/>
    </row>
    <row r="23" spans="1:31" x14ac:dyDescent="0.3">
      <c r="A23" s="8" t="s">
        <v>55</v>
      </c>
      <c r="B23" s="9">
        <f t="shared" si="10"/>
        <v>5.14</v>
      </c>
      <c r="C23" s="9">
        <f t="shared" si="0"/>
        <v>3.36</v>
      </c>
      <c r="D23" s="9">
        <f t="shared" si="1"/>
        <v>10.01</v>
      </c>
      <c r="E23" s="9">
        <f t="shared" si="2"/>
        <v>7.4</v>
      </c>
      <c r="F23" s="10">
        <f t="shared" si="3"/>
        <v>10.9</v>
      </c>
      <c r="G23" s="10">
        <f t="shared" si="4"/>
        <v>7.71</v>
      </c>
      <c r="H23" s="10">
        <f t="shared" si="5"/>
        <v>7.41</v>
      </c>
      <c r="I23" s="9">
        <f t="shared" si="6"/>
        <v>7.54</v>
      </c>
      <c r="J23" s="10">
        <f t="shared" si="7"/>
        <v>5.94</v>
      </c>
      <c r="K23" s="10">
        <f t="shared" si="8"/>
        <v>4.91</v>
      </c>
      <c r="L23" s="10">
        <f t="shared" si="9"/>
        <v>12.53</v>
      </c>
      <c r="M23" s="6">
        <v>10.3194</v>
      </c>
      <c r="N23" s="6"/>
      <c r="O23" s="6"/>
      <c r="Q23" s="8" t="s">
        <v>55</v>
      </c>
      <c r="R23" s="9">
        <v>4.67</v>
      </c>
      <c r="S23" s="9">
        <v>3.05</v>
      </c>
      <c r="T23" s="9">
        <v>9.1</v>
      </c>
      <c r="U23" s="9">
        <v>6.73</v>
      </c>
      <c r="V23" s="10">
        <v>9.91</v>
      </c>
      <c r="W23" s="10">
        <v>7.01</v>
      </c>
      <c r="X23" s="10">
        <v>6.74</v>
      </c>
      <c r="Y23" s="9">
        <v>6.85</v>
      </c>
      <c r="Z23" s="10">
        <v>5.4</v>
      </c>
      <c r="AA23" s="10">
        <v>4.46</v>
      </c>
      <c r="AB23" s="10">
        <v>11.39</v>
      </c>
      <c r="AC23" s="6"/>
      <c r="AD23" s="6"/>
      <c r="AE23" s="6"/>
    </row>
    <row r="24" spans="1:31" x14ac:dyDescent="0.3">
      <c r="A24" s="8" t="s">
        <v>56</v>
      </c>
      <c r="B24" s="9">
        <f t="shared" si="10"/>
        <v>5.14</v>
      </c>
      <c r="C24" s="9">
        <f t="shared" si="0"/>
        <v>3.36</v>
      </c>
      <c r="D24" s="9">
        <f t="shared" si="1"/>
        <v>10.01</v>
      </c>
      <c r="E24" s="9">
        <f t="shared" si="2"/>
        <v>7.4</v>
      </c>
      <c r="F24" s="10">
        <f t="shared" si="3"/>
        <v>10.9</v>
      </c>
      <c r="G24" s="10">
        <f t="shared" si="4"/>
        <v>7.71</v>
      </c>
      <c r="H24" s="10">
        <f t="shared" si="5"/>
        <v>7.41</v>
      </c>
      <c r="I24" s="9">
        <f t="shared" si="6"/>
        <v>7.54</v>
      </c>
      <c r="J24" s="10">
        <f t="shared" si="7"/>
        <v>5.94</v>
      </c>
      <c r="K24" s="10">
        <f t="shared" si="8"/>
        <v>4.91</v>
      </c>
      <c r="L24" s="10">
        <f t="shared" si="9"/>
        <v>12.53</v>
      </c>
      <c r="M24" s="6">
        <v>10.3194</v>
      </c>
      <c r="N24" s="6"/>
      <c r="O24" s="6"/>
      <c r="Q24" s="8" t="s">
        <v>56</v>
      </c>
      <c r="R24" s="9">
        <v>4.67</v>
      </c>
      <c r="S24" s="9">
        <v>3.05</v>
      </c>
      <c r="T24" s="9">
        <v>9.1</v>
      </c>
      <c r="U24" s="9">
        <v>6.73</v>
      </c>
      <c r="V24" s="10">
        <v>9.91</v>
      </c>
      <c r="W24" s="10">
        <v>7.01</v>
      </c>
      <c r="X24" s="10">
        <v>6.74</v>
      </c>
      <c r="Y24" s="9">
        <v>6.85</v>
      </c>
      <c r="Z24" s="10">
        <v>5.4</v>
      </c>
      <c r="AA24" s="10">
        <v>4.46</v>
      </c>
      <c r="AB24" s="10">
        <v>11.39</v>
      </c>
      <c r="AC24" s="6"/>
      <c r="AD24" s="6"/>
      <c r="AE24" s="6"/>
    </row>
    <row r="25" spans="1:31" x14ac:dyDescent="0.3">
      <c r="A25" s="12" t="s">
        <v>57</v>
      </c>
      <c r="B25" s="9">
        <f t="shared" si="10"/>
        <v>5.14</v>
      </c>
      <c r="C25" s="101">
        <f t="shared" si="0"/>
        <v>3.36</v>
      </c>
      <c r="D25" s="9">
        <f t="shared" si="1"/>
        <v>10.01</v>
      </c>
      <c r="E25" s="101">
        <f t="shared" si="2"/>
        <v>7.9</v>
      </c>
      <c r="F25" s="102">
        <f t="shared" si="3"/>
        <v>11.58</v>
      </c>
      <c r="G25" s="102">
        <f t="shared" si="4"/>
        <v>8.15</v>
      </c>
      <c r="H25" s="102">
        <f t="shared" si="5"/>
        <v>7.85</v>
      </c>
      <c r="I25" s="9">
        <f t="shared" si="6"/>
        <v>7.54</v>
      </c>
      <c r="J25" s="102">
        <f t="shared" si="7"/>
        <v>5.75</v>
      </c>
      <c r="K25" s="102">
        <f t="shared" si="8"/>
        <v>5.75</v>
      </c>
      <c r="L25" s="102">
        <f t="shared" si="9"/>
        <v>14.01</v>
      </c>
      <c r="M25" s="6">
        <v>11.2112</v>
      </c>
      <c r="N25" s="6"/>
      <c r="O25" s="6"/>
      <c r="Q25" s="12" t="s">
        <v>57</v>
      </c>
      <c r="R25" s="9">
        <v>4.67</v>
      </c>
      <c r="S25" s="101">
        <v>3.05</v>
      </c>
      <c r="T25" s="9">
        <v>9.1</v>
      </c>
      <c r="U25" s="101">
        <v>7.18</v>
      </c>
      <c r="V25" s="102">
        <v>10.53</v>
      </c>
      <c r="W25" s="102">
        <v>7.41</v>
      </c>
      <c r="X25" s="102">
        <v>7.14</v>
      </c>
      <c r="Y25" s="9">
        <v>6.85</v>
      </c>
      <c r="Z25" s="102">
        <v>5.23</v>
      </c>
      <c r="AA25" s="102">
        <v>5.23</v>
      </c>
      <c r="AB25" s="102">
        <v>12.74</v>
      </c>
      <c r="AC25" s="6"/>
      <c r="AD25" s="6"/>
      <c r="AE25" s="6"/>
    </row>
    <row r="26" spans="1:31" x14ac:dyDescent="0.3">
      <c r="A26" s="12" t="s">
        <v>58</v>
      </c>
      <c r="B26" s="9">
        <f t="shared" si="10"/>
        <v>5.14</v>
      </c>
      <c r="C26" s="101">
        <f t="shared" si="0"/>
        <v>3.36</v>
      </c>
      <c r="D26" s="9">
        <f t="shared" si="1"/>
        <v>10.01</v>
      </c>
      <c r="E26" s="101">
        <f t="shared" si="2"/>
        <v>7.9</v>
      </c>
      <c r="F26" s="102">
        <f t="shared" si="3"/>
        <v>11.58</v>
      </c>
      <c r="G26" s="102">
        <f t="shared" si="4"/>
        <v>8.15</v>
      </c>
      <c r="H26" s="102">
        <f t="shared" si="5"/>
        <v>7.85</v>
      </c>
      <c r="I26" s="9">
        <f t="shared" si="6"/>
        <v>7.54</v>
      </c>
      <c r="J26" s="102">
        <f t="shared" si="7"/>
        <v>5.75</v>
      </c>
      <c r="K26" s="102">
        <f t="shared" si="8"/>
        <v>5.75</v>
      </c>
      <c r="L26" s="102">
        <f t="shared" si="9"/>
        <v>14.01</v>
      </c>
      <c r="M26" s="6">
        <v>11.2112</v>
      </c>
      <c r="N26" s="6"/>
      <c r="O26" s="6"/>
      <c r="Q26" s="12" t="s">
        <v>58</v>
      </c>
      <c r="R26" s="9">
        <v>4.67</v>
      </c>
      <c r="S26" s="101">
        <v>3.05</v>
      </c>
      <c r="T26" s="9">
        <v>9.1</v>
      </c>
      <c r="U26" s="101">
        <v>7.18</v>
      </c>
      <c r="V26" s="102">
        <v>10.53</v>
      </c>
      <c r="W26" s="102">
        <v>7.41</v>
      </c>
      <c r="X26" s="102">
        <v>7.14</v>
      </c>
      <c r="Y26" s="9">
        <v>6.85</v>
      </c>
      <c r="Z26" s="102">
        <v>5.23</v>
      </c>
      <c r="AA26" s="102">
        <v>5.23</v>
      </c>
      <c r="AB26" s="102">
        <v>12.74</v>
      </c>
      <c r="AC26" s="6"/>
      <c r="AD26" s="6"/>
      <c r="AE26" s="6"/>
    </row>
    <row r="27" spans="1:31" x14ac:dyDescent="0.3">
      <c r="A27" s="8" t="s">
        <v>59</v>
      </c>
      <c r="B27" s="9">
        <f t="shared" si="10"/>
        <v>5.14</v>
      </c>
      <c r="C27" s="9">
        <f t="shared" si="0"/>
        <v>3.36</v>
      </c>
      <c r="D27" s="9">
        <f t="shared" si="1"/>
        <v>10.01</v>
      </c>
      <c r="E27" s="9">
        <f t="shared" si="2"/>
        <v>7.4</v>
      </c>
      <c r="F27" s="10">
        <f t="shared" si="3"/>
        <v>10.9</v>
      </c>
      <c r="G27" s="10">
        <f t="shared" si="4"/>
        <v>7.71</v>
      </c>
      <c r="H27" s="10">
        <f t="shared" si="5"/>
        <v>7.41</v>
      </c>
      <c r="I27" s="9">
        <f t="shared" si="6"/>
        <v>7.54</v>
      </c>
      <c r="J27" s="10">
        <f t="shared" si="7"/>
        <v>5.94</v>
      </c>
      <c r="K27" s="10">
        <f t="shared" si="8"/>
        <v>4.91</v>
      </c>
      <c r="L27" s="10">
        <f t="shared" si="9"/>
        <v>12.53</v>
      </c>
      <c r="M27" s="6">
        <v>10.3194</v>
      </c>
      <c r="N27" s="6"/>
      <c r="O27" s="6"/>
      <c r="Q27" s="8" t="s">
        <v>59</v>
      </c>
      <c r="R27" s="9">
        <v>4.67</v>
      </c>
      <c r="S27" s="9">
        <v>3.05</v>
      </c>
      <c r="T27" s="9">
        <v>9.1</v>
      </c>
      <c r="U27" s="9">
        <v>6.73</v>
      </c>
      <c r="V27" s="10">
        <v>9.91</v>
      </c>
      <c r="W27" s="10">
        <v>7.01</v>
      </c>
      <c r="X27" s="10">
        <v>6.74</v>
      </c>
      <c r="Y27" s="9">
        <v>6.85</v>
      </c>
      <c r="Z27" s="10">
        <v>5.4</v>
      </c>
      <c r="AA27" s="10">
        <v>4.46</v>
      </c>
      <c r="AB27" s="10">
        <v>11.39</v>
      </c>
      <c r="AC27" s="6"/>
      <c r="AD27" s="6"/>
      <c r="AE27" s="6"/>
    </row>
    <row r="28" spans="1:31" x14ac:dyDescent="0.3">
      <c r="A28" s="12" t="s">
        <v>34</v>
      </c>
      <c r="B28" s="9">
        <f t="shared" si="10"/>
        <v>5.14</v>
      </c>
      <c r="C28" s="101">
        <f t="shared" si="0"/>
        <v>3.36</v>
      </c>
      <c r="D28" s="9">
        <f t="shared" si="1"/>
        <v>10.01</v>
      </c>
      <c r="E28" s="101">
        <f t="shared" si="2"/>
        <v>7.9</v>
      </c>
      <c r="F28" s="102">
        <f t="shared" si="3"/>
        <v>11.58</v>
      </c>
      <c r="G28" s="102">
        <f t="shared" si="4"/>
        <v>8.15</v>
      </c>
      <c r="H28" s="102">
        <f t="shared" si="5"/>
        <v>7.85</v>
      </c>
      <c r="I28" s="9">
        <f t="shared" si="6"/>
        <v>7.54</v>
      </c>
      <c r="J28" s="102">
        <f t="shared" si="7"/>
        <v>5.75</v>
      </c>
      <c r="K28" s="102">
        <f t="shared" si="8"/>
        <v>5.75</v>
      </c>
      <c r="L28" s="102">
        <f t="shared" si="9"/>
        <v>14.01</v>
      </c>
      <c r="M28" s="6">
        <v>11.2112</v>
      </c>
      <c r="N28" s="6"/>
      <c r="O28" s="6"/>
      <c r="Q28" s="12" t="s">
        <v>34</v>
      </c>
      <c r="R28" s="9">
        <v>4.67</v>
      </c>
      <c r="S28" s="101">
        <v>3.05</v>
      </c>
      <c r="T28" s="9">
        <v>9.1</v>
      </c>
      <c r="U28" s="101">
        <v>7.18</v>
      </c>
      <c r="V28" s="102">
        <v>10.53</v>
      </c>
      <c r="W28" s="102">
        <v>7.41</v>
      </c>
      <c r="X28" s="102">
        <v>7.14</v>
      </c>
      <c r="Y28" s="9">
        <v>6.85</v>
      </c>
      <c r="Z28" s="102">
        <v>5.23</v>
      </c>
      <c r="AA28" s="102">
        <v>5.23</v>
      </c>
      <c r="AB28" s="102">
        <v>12.74</v>
      </c>
      <c r="AC28" s="6"/>
      <c r="AD28" s="6"/>
      <c r="AE28" s="6"/>
    </row>
    <row r="29" spans="1:31" x14ac:dyDescent="0.3">
      <c r="A29" s="117" t="s">
        <v>130</v>
      </c>
      <c r="B29" s="118">
        <f t="shared" si="10"/>
        <v>5.14</v>
      </c>
      <c r="C29" s="119">
        <f t="shared" si="0"/>
        <v>3.36</v>
      </c>
      <c r="D29" s="118">
        <f t="shared" si="1"/>
        <v>10.01</v>
      </c>
      <c r="E29" s="119">
        <f t="shared" si="2"/>
        <v>7.9</v>
      </c>
      <c r="F29" s="120">
        <f t="shared" si="3"/>
        <v>11.58</v>
      </c>
      <c r="G29" s="120">
        <f t="shared" si="4"/>
        <v>8.15</v>
      </c>
      <c r="H29" s="120">
        <f t="shared" si="5"/>
        <v>7.85</v>
      </c>
      <c r="I29" s="118">
        <f t="shared" si="6"/>
        <v>7.54</v>
      </c>
      <c r="J29" s="120">
        <f t="shared" si="7"/>
        <v>5.75</v>
      </c>
      <c r="K29" s="120">
        <f t="shared" si="8"/>
        <v>5.75</v>
      </c>
      <c r="L29" s="120">
        <f t="shared" si="9"/>
        <v>14.01</v>
      </c>
      <c r="M29" s="6">
        <v>11.2112</v>
      </c>
      <c r="N29" s="6"/>
      <c r="O29" s="6"/>
      <c r="Q29" s="117" t="s">
        <v>130</v>
      </c>
      <c r="R29" s="118">
        <v>4.67</v>
      </c>
      <c r="S29" s="119">
        <v>3.05</v>
      </c>
      <c r="T29" s="118">
        <v>9.1</v>
      </c>
      <c r="U29" s="119">
        <v>7.18</v>
      </c>
      <c r="V29" s="120">
        <v>10.53</v>
      </c>
      <c r="W29" s="120">
        <v>7.41</v>
      </c>
      <c r="X29" s="120">
        <v>7.14</v>
      </c>
      <c r="Y29" s="118">
        <v>6.85</v>
      </c>
      <c r="Z29" s="120">
        <v>5.23</v>
      </c>
      <c r="AA29" s="120">
        <v>5.23</v>
      </c>
      <c r="AB29" s="120">
        <v>12.74</v>
      </c>
      <c r="AC29" s="6"/>
      <c r="AD29" s="6"/>
      <c r="AE29" s="6"/>
    </row>
    <row r="30" spans="1:31" x14ac:dyDescent="0.3">
      <c r="A30" s="8" t="s">
        <v>60</v>
      </c>
      <c r="B30" s="9">
        <f t="shared" si="10"/>
        <v>5.14</v>
      </c>
      <c r="C30" s="9">
        <f t="shared" si="0"/>
        <v>3.36</v>
      </c>
      <c r="D30" s="9">
        <f t="shared" si="1"/>
        <v>10.01</v>
      </c>
      <c r="E30" s="9">
        <f t="shared" si="2"/>
        <v>7.4</v>
      </c>
      <c r="F30" s="10">
        <f t="shared" si="3"/>
        <v>10.9</v>
      </c>
      <c r="G30" s="10">
        <f t="shared" si="4"/>
        <v>7.71</v>
      </c>
      <c r="H30" s="10">
        <f t="shared" si="5"/>
        <v>7.41</v>
      </c>
      <c r="I30" s="9">
        <f t="shared" si="6"/>
        <v>7.54</v>
      </c>
      <c r="J30" s="10">
        <f t="shared" si="7"/>
        <v>5.94</v>
      </c>
      <c r="K30" s="10">
        <f t="shared" si="8"/>
        <v>4.91</v>
      </c>
      <c r="L30" s="10">
        <f t="shared" si="9"/>
        <v>12.53</v>
      </c>
      <c r="M30" s="6">
        <v>10.3194</v>
      </c>
      <c r="N30" s="6"/>
      <c r="O30" s="6"/>
      <c r="Q30" s="8" t="s">
        <v>60</v>
      </c>
      <c r="R30" s="9">
        <v>4.67</v>
      </c>
      <c r="S30" s="9">
        <v>3.05</v>
      </c>
      <c r="T30" s="9">
        <v>9.1</v>
      </c>
      <c r="U30" s="9">
        <v>6.73</v>
      </c>
      <c r="V30" s="10">
        <v>9.91</v>
      </c>
      <c r="W30" s="10">
        <v>7.01</v>
      </c>
      <c r="X30" s="10">
        <v>6.74</v>
      </c>
      <c r="Y30" s="9">
        <v>6.85</v>
      </c>
      <c r="Z30" s="10">
        <v>5.4</v>
      </c>
      <c r="AA30" s="10">
        <v>4.46</v>
      </c>
      <c r="AB30" s="10">
        <v>11.39</v>
      </c>
      <c r="AC30" s="6"/>
      <c r="AD30" s="6"/>
      <c r="AE30" s="6"/>
    </row>
    <row r="31" spans="1:31" x14ac:dyDescent="0.3">
      <c r="A31" s="103"/>
      <c r="B31" s="147"/>
      <c r="C31" s="147"/>
      <c r="D31" s="147"/>
      <c r="E31" s="147"/>
      <c r="F31" s="147"/>
      <c r="G31" s="147"/>
      <c r="H31" s="147"/>
      <c r="I31" s="147"/>
      <c r="J31" s="148"/>
      <c r="K31" s="148"/>
      <c r="L31" s="148"/>
    </row>
    <row r="32" spans="1:31" x14ac:dyDescent="0.3">
      <c r="B32" s="149">
        <f>B33*1.1</f>
        <v>10.989000000000001</v>
      </c>
      <c r="C32" s="149">
        <f t="shared" ref="C32:L32" si="11">C33*1.1</f>
        <v>7.6890000000000009</v>
      </c>
      <c r="D32" s="149">
        <f t="shared" si="11"/>
        <v>21.989000000000001</v>
      </c>
      <c r="E32" s="149">
        <f t="shared" si="11"/>
        <v>15.939000000000002</v>
      </c>
      <c r="F32" s="149">
        <f t="shared" si="11"/>
        <v>23.088999999999999</v>
      </c>
      <c r="G32" s="149">
        <f t="shared" si="11"/>
        <v>17.589000000000002</v>
      </c>
      <c r="H32" s="149">
        <f t="shared" si="11"/>
        <v>15.939000000000002</v>
      </c>
      <c r="I32" s="149">
        <v>13.99</v>
      </c>
      <c r="J32" s="149">
        <f t="shared" si="11"/>
        <v>11.539000000000001</v>
      </c>
      <c r="K32" s="149">
        <f t="shared" si="11"/>
        <v>11.539000000000001</v>
      </c>
      <c r="L32" s="149">
        <f t="shared" si="11"/>
        <v>29.689</v>
      </c>
    </row>
    <row r="33" spans="1:15" x14ac:dyDescent="0.3">
      <c r="A33" s="105" t="s">
        <v>92</v>
      </c>
      <c r="B33" s="106">
        <v>9.99</v>
      </c>
      <c r="C33" s="107">
        <v>6.99</v>
      </c>
      <c r="D33" s="107">
        <v>19.989999999999998</v>
      </c>
      <c r="E33" s="107">
        <v>14.49</v>
      </c>
      <c r="F33" s="107">
        <v>20.99</v>
      </c>
      <c r="G33" s="107">
        <v>15.99</v>
      </c>
      <c r="H33" s="107">
        <v>14.49</v>
      </c>
      <c r="I33" s="107">
        <v>12.99</v>
      </c>
      <c r="J33" s="107">
        <v>10.49</v>
      </c>
      <c r="K33" s="107">
        <v>10.49</v>
      </c>
      <c r="L33" s="107">
        <v>26.99</v>
      </c>
      <c r="M33" s="6"/>
      <c r="N33" s="6"/>
      <c r="O33" s="6"/>
    </row>
    <row r="34" spans="1:15" x14ac:dyDescent="0.3">
      <c r="I34" t="s">
        <v>139</v>
      </c>
      <c r="J34">
        <v>9.99</v>
      </c>
      <c r="K34">
        <v>8.99</v>
      </c>
      <c r="L34">
        <v>22.99</v>
      </c>
    </row>
    <row r="38" spans="1:15" x14ac:dyDescent="0.3">
      <c r="F38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O34"/>
  <sheetViews>
    <sheetView zoomScale="70" zoomScaleNormal="70" workbookViewId="0">
      <selection activeCell="N15" sqref="N15"/>
    </sheetView>
  </sheetViews>
  <sheetFormatPr defaultRowHeight="14.4" x14ac:dyDescent="0.3"/>
  <cols>
    <col min="1" max="3" width="13.21875" bestFit="1" customWidth="1"/>
    <col min="4" max="4" width="14.21875" bestFit="1" customWidth="1"/>
    <col min="5" max="6" width="13.21875" bestFit="1" customWidth="1"/>
    <col min="7" max="7" width="14.21875" bestFit="1" customWidth="1"/>
    <col min="8" max="8" width="13.77734375" customWidth="1"/>
    <col min="9" max="9" width="15.44140625" customWidth="1"/>
    <col min="10" max="10" width="22.21875" customWidth="1"/>
    <col min="11" max="11" width="19.5546875" customWidth="1"/>
    <col min="12" max="12" width="19.21875" customWidth="1"/>
    <col min="13" max="15" width="13.21875" bestFit="1" customWidth="1"/>
  </cols>
  <sheetData>
    <row r="1" spans="1:15" x14ac:dyDescent="0.3">
      <c r="A1" s="138" t="s">
        <v>145</v>
      </c>
      <c r="B1" s="138" t="s">
        <v>145</v>
      </c>
      <c r="C1" s="138" t="s">
        <v>145</v>
      </c>
      <c r="D1" s="138" t="s">
        <v>145</v>
      </c>
      <c r="E1" s="138" t="s">
        <v>145</v>
      </c>
      <c r="F1" s="138" t="s">
        <v>145</v>
      </c>
      <c r="G1" s="138" t="s">
        <v>145</v>
      </c>
      <c r="H1" s="138" t="s">
        <v>145</v>
      </c>
      <c r="I1" s="138" t="s">
        <v>145</v>
      </c>
      <c r="J1" s="138" t="s">
        <v>145</v>
      </c>
      <c r="K1" s="138" t="s">
        <v>145</v>
      </c>
      <c r="L1" s="138" t="s">
        <v>145</v>
      </c>
      <c r="M1" s="138" t="s">
        <v>145</v>
      </c>
      <c r="N1" s="138" t="s">
        <v>145</v>
      </c>
      <c r="O1" s="138" t="s">
        <v>145</v>
      </c>
    </row>
    <row r="2" spans="1:15" ht="31.2" x14ac:dyDescent="0.3">
      <c r="A2" s="99" t="s">
        <v>35</v>
      </c>
      <c r="B2" s="139" t="s">
        <v>62</v>
      </c>
      <c r="C2" s="99" t="s">
        <v>61</v>
      </c>
      <c r="D2" s="139" t="s">
        <v>63</v>
      </c>
      <c r="E2" s="99" t="s">
        <v>76</v>
      </c>
      <c r="F2" s="99" t="s">
        <v>78</v>
      </c>
      <c r="G2" s="1" t="s">
        <v>142</v>
      </c>
      <c r="H2" s="1" t="s">
        <v>114</v>
      </c>
      <c r="I2" s="100" t="s">
        <v>124</v>
      </c>
      <c r="J2" s="135" t="s">
        <v>138</v>
      </c>
      <c r="K2" s="136" t="s">
        <v>143</v>
      </c>
      <c r="L2" s="136" t="s">
        <v>144</v>
      </c>
      <c r="M2" s="1" t="s">
        <v>125</v>
      </c>
      <c r="N2" s="1" t="s">
        <v>126</v>
      </c>
      <c r="O2" s="1" t="s">
        <v>127</v>
      </c>
    </row>
    <row r="3" spans="1:15" x14ac:dyDescent="0.3">
      <c r="A3" s="8" t="s">
        <v>36</v>
      </c>
      <c r="B3" s="9">
        <v>8.99</v>
      </c>
      <c r="C3" s="140">
        <v>6.49</v>
      </c>
      <c r="D3" s="9">
        <v>18.989999999999998</v>
      </c>
      <c r="E3" s="140">
        <v>13.49</v>
      </c>
      <c r="F3" s="140">
        <v>19.989999999999998</v>
      </c>
      <c r="G3" s="140">
        <v>14.49</v>
      </c>
      <c r="H3" s="140">
        <v>13.49</v>
      </c>
      <c r="I3" s="9">
        <v>12.99</v>
      </c>
      <c r="J3" s="9">
        <v>8.99</v>
      </c>
      <c r="K3" s="141">
        <v>7.99</v>
      </c>
      <c r="L3" s="141">
        <v>19.989999999999998</v>
      </c>
      <c r="M3" s="10"/>
      <c r="N3" s="10"/>
      <c r="O3" s="10"/>
    </row>
    <row r="4" spans="1:15" x14ac:dyDescent="0.3">
      <c r="A4" s="8" t="s">
        <v>37</v>
      </c>
      <c r="B4" s="9">
        <v>8.99</v>
      </c>
      <c r="C4" s="140">
        <v>6.49</v>
      </c>
      <c r="D4" s="9">
        <v>18.989999999999998</v>
      </c>
      <c r="E4" s="140">
        <v>13.49</v>
      </c>
      <c r="F4" s="140">
        <v>19.989999999999998</v>
      </c>
      <c r="G4" s="140">
        <v>14.49</v>
      </c>
      <c r="H4" s="140">
        <v>13.49</v>
      </c>
      <c r="I4" s="9">
        <v>12.99</v>
      </c>
      <c r="J4" s="9">
        <v>8.99</v>
      </c>
      <c r="K4" s="141">
        <v>7.99</v>
      </c>
      <c r="L4" s="141">
        <v>19.989999999999998</v>
      </c>
      <c r="M4" s="10"/>
      <c r="N4" s="10"/>
      <c r="O4" s="10"/>
    </row>
    <row r="5" spans="1:15" x14ac:dyDescent="0.3">
      <c r="A5" s="8" t="s">
        <v>38</v>
      </c>
      <c r="B5" s="9">
        <v>8.99</v>
      </c>
      <c r="C5" s="140">
        <v>6.49</v>
      </c>
      <c r="D5" s="9">
        <v>18.989999999999998</v>
      </c>
      <c r="E5" s="140">
        <v>13.49</v>
      </c>
      <c r="F5" s="140">
        <v>19.989999999999998</v>
      </c>
      <c r="G5" s="140">
        <v>14.49</v>
      </c>
      <c r="H5" s="140">
        <v>13.49</v>
      </c>
      <c r="I5" s="9">
        <v>12.99</v>
      </c>
      <c r="J5" s="9">
        <v>8.99</v>
      </c>
      <c r="K5" s="141">
        <v>7.99</v>
      </c>
      <c r="L5" s="141">
        <v>19.989999999999998</v>
      </c>
      <c r="M5" s="10"/>
      <c r="N5" s="10"/>
      <c r="O5" s="10"/>
    </row>
    <row r="6" spans="1:15" x14ac:dyDescent="0.3">
      <c r="A6" s="8" t="s">
        <v>39</v>
      </c>
      <c r="B6" s="9">
        <v>8.99</v>
      </c>
      <c r="C6" s="140">
        <v>6.49</v>
      </c>
      <c r="D6" s="9">
        <v>18.989999999999998</v>
      </c>
      <c r="E6" s="140">
        <v>13.49</v>
      </c>
      <c r="F6" s="140">
        <v>19.989999999999998</v>
      </c>
      <c r="G6" s="140">
        <v>14.49</v>
      </c>
      <c r="H6" s="140">
        <v>13.49</v>
      </c>
      <c r="I6" s="9">
        <v>12.99</v>
      </c>
      <c r="J6" s="9">
        <v>8.99</v>
      </c>
      <c r="K6" s="141">
        <v>7.99</v>
      </c>
      <c r="L6" s="141">
        <v>19.989999999999998</v>
      </c>
      <c r="M6" s="10"/>
      <c r="N6" s="10"/>
      <c r="O6" s="10"/>
    </row>
    <row r="7" spans="1:15" x14ac:dyDescent="0.3">
      <c r="A7" s="8" t="s">
        <v>40</v>
      </c>
      <c r="B7" s="9">
        <v>8.99</v>
      </c>
      <c r="C7" s="140">
        <v>6.49</v>
      </c>
      <c r="D7" s="9">
        <v>18.989999999999998</v>
      </c>
      <c r="E7" s="140">
        <v>13.49</v>
      </c>
      <c r="F7" s="140">
        <v>19.989999999999998</v>
      </c>
      <c r="G7" s="140">
        <v>14.49</v>
      </c>
      <c r="H7" s="140">
        <v>13.49</v>
      </c>
      <c r="I7" s="9">
        <v>12.99</v>
      </c>
      <c r="J7" s="9">
        <v>8.99</v>
      </c>
      <c r="K7" s="141">
        <v>7.99</v>
      </c>
      <c r="L7" s="141">
        <v>19.989999999999998</v>
      </c>
      <c r="M7" s="10"/>
      <c r="N7" s="10"/>
      <c r="O7" s="10"/>
    </row>
    <row r="8" spans="1:15" x14ac:dyDescent="0.3">
      <c r="A8" s="8" t="s">
        <v>41</v>
      </c>
      <c r="B8" s="9">
        <v>8.99</v>
      </c>
      <c r="C8" s="140">
        <v>6.49</v>
      </c>
      <c r="D8" s="9">
        <v>18.989999999999998</v>
      </c>
      <c r="E8" s="140">
        <v>13.49</v>
      </c>
      <c r="F8" s="140">
        <v>19.989999999999998</v>
      </c>
      <c r="G8" s="140">
        <v>14.49</v>
      </c>
      <c r="H8" s="140">
        <v>13.49</v>
      </c>
      <c r="I8" s="9">
        <v>12.99</v>
      </c>
      <c r="J8" s="9">
        <v>8.99</v>
      </c>
      <c r="K8" s="141">
        <v>7.99</v>
      </c>
      <c r="L8" s="141">
        <v>19.989999999999998</v>
      </c>
      <c r="M8" s="10"/>
      <c r="N8" s="10"/>
      <c r="O8" s="10"/>
    </row>
    <row r="9" spans="1:15" x14ac:dyDescent="0.3">
      <c r="A9" s="8" t="s">
        <v>42</v>
      </c>
      <c r="B9" s="9">
        <v>8.99</v>
      </c>
      <c r="C9" s="140">
        <v>6.49</v>
      </c>
      <c r="D9" s="9">
        <v>18.989999999999998</v>
      </c>
      <c r="E9" s="140">
        <v>13.49</v>
      </c>
      <c r="F9" s="140">
        <v>19.989999999999998</v>
      </c>
      <c r="G9" s="140">
        <v>14.49</v>
      </c>
      <c r="H9" s="140">
        <v>13.49</v>
      </c>
      <c r="I9" s="9">
        <v>12.99</v>
      </c>
      <c r="J9" s="9">
        <v>8.99</v>
      </c>
      <c r="K9" s="141">
        <v>7.99</v>
      </c>
      <c r="L9" s="141">
        <v>19.989999999999998</v>
      </c>
      <c r="M9" s="10"/>
      <c r="N9" s="10"/>
      <c r="O9" s="10"/>
    </row>
    <row r="10" spans="1:15" ht="18" x14ac:dyDescent="0.35">
      <c r="A10" s="11" t="s">
        <v>43</v>
      </c>
      <c r="B10" s="9">
        <v>8.99</v>
      </c>
      <c r="C10" s="140">
        <v>6.49</v>
      </c>
      <c r="D10" s="9">
        <v>18.989999999999998</v>
      </c>
      <c r="E10" s="140">
        <v>13.49</v>
      </c>
      <c r="F10" s="140">
        <v>19.989999999999998</v>
      </c>
      <c r="G10" s="140">
        <v>14.49</v>
      </c>
      <c r="H10" s="140">
        <v>13.49</v>
      </c>
      <c r="I10" s="9">
        <v>12.99</v>
      </c>
      <c r="J10" s="144">
        <v>9.99</v>
      </c>
      <c r="K10" s="144">
        <v>9.99</v>
      </c>
      <c r="L10" s="144">
        <v>24.99</v>
      </c>
      <c r="M10" s="10"/>
      <c r="N10" s="10"/>
      <c r="O10" s="10"/>
    </row>
    <row r="11" spans="1:15" x14ac:dyDescent="0.3">
      <c r="A11" s="8" t="s">
        <v>44</v>
      </c>
      <c r="B11" s="9">
        <v>8.99</v>
      </c>
      <c r="C11" s="140">
        <v>6.49</v>
      </c>
      <c r="D11" s="9">
        <v>18.989999999999998</v>
      </c>
      <c r="E11" s="140">
        <v>13.49</v>
      </c>
      <c r="F11" s="140">
        <v>19.989999999999998</v>
      </c>
      <c r="G11" s="140">
        <v>14.49</v>
      </c>
      <c r="H11" s="140">
        <v>13.49</v>
      </c>
      <c r="I11" s="9">
        <v>12.99</v>
      </c>
      <c r="J11" s="9">
        <v>8.99</v>
      </c>
      <c r="K11" s="141">
        <v>7.99</v>
      </c>
      <c r="L11" s="141">
        <v>19.989999999999998</v>
      </c>
      <c r="M11" s="10"/>
      <c r="N11" s="10"/>
      <c r="O11" s="10"/>
    </row>
    <row r="12" spans="1:15" x14ac:dyDescent="0.3">
      <c r="A12" s="8" t="s">
        <v>45</v>
      </c>
      <c r="B12" s="9">
        <v>8.99</v>
      </c>
      <c r="C12" s="140">
        <v>6.49</v>
      </c>
      <c r="D12" s="9">
        <v>18.989999999999998</v>
      </c>
      <c r="E12" s="140">
        <v>13.49</v>
      </c>
      <c r="F12" s="140">
        <v>19.989999999999998</v>
      </c>
      <c r="G12" s="140">
        <v>14.49</v>
      </c>
      <c r="H12" s="140">
        <v>13.49</v>
      </c>
      <c r="I12" s="9">
        <v>12.99</v>
      </c>
      <c r="J12" s="9">
        <v>8.99</v>
      </c>
      <c r="K12" s="141">
        <v>7.99</v>
      </c>
      <c r="L12" s="141">
        <v>19.989999999999998</v>
      </c>
      <c r="M12" s="10"/>
      <c r="N12" s="10"/>
      <c r="O12" s="10"/>
    </row>
    <row r="13" spans="1:15" x14ac:dyDescent="0.3">
      <c r="A13" s="12" t="s">
        <v>46</v>
      </c>
      <c r="B13" s="9">
        <v>8.99</v>
      </c>
      <c r="C13" s="101">
        <v>6.49</v>
      </c>
      <c r="D13" s="9">
        <v>18.989999999999998</v>
      </c>
      <c r="E13" s="101">
        <v>13.49</v>
      </c>
      <c r="F13" s="101">
        <v>19.989999999999998</v>
      </c>
      <c r="G13" s="101">
        <v>14.49</v>
      </c>
      <c r="H13" s="101">
        <v>13.49</v>
      </c>
      <c r="I13" s="9">
        <v>12.99</v>
      </c>
      <c r="J13" s="102">
        <v>9.99</v>
      </c>
      <c r="K13" s="102">
        <v>9.99</v>
      </c>
      <c r="L13" s="102">
        <v>24.99</v>
      </c>
      <c r="M13" s="102"/>
      <c r="N13" s="102"/>
      <c r="O13" s="102"/>
    </row>
    <row r="14" spans="1:15" x14ac:dyDescent="0.3">
      <c r="A14" s="8" t="s">
        <v>47</v>
      </c>
      <c r="B14" s="9">
        <v>8.99</v>
      </c>
      <c r="C14" s="140">
        <v>6.49</v>
      </c>
      <c r="D14" s="9">
        <v>18.989999999999998</v>
      </c>
      <c r="E14" s="140">
        <v>13.49</v>
      </c>
      <c r="F14" s="140">
        <v>19.989999999999998</v>
      </c>
      <c r="G14" s="140">
        <v>14.49</v>
      </c>
      <c r="H14" s="140">
        <v>13.49</v>
      </c>
      <c r="I14" s="9">
        <v>12.99</v>
      </c>
      <c r="J14" s="9">
        <v>8.99</v>
      </c>
      <c r="K14" s="141">
        <v>7.99</v>
      </c>
      <c r="L14" s="141">
        <v>19.989999999999998</v>
      </c>
      <c r="M14" s="10"/>
      <c r="N14" s="10"/>
      <c r="O14" s="10"/>
    </row>
    <row r="15" spans="1:15" x14ac:dyDescent="0.3">
      <c r="A15" s="8" t="s">
        <v>48</v>
      </c>
      <c r="B15" s="9">
        <v>8.99</v>
      </c>
      <c r="C15" s="140">
        <v>6.49</v>
      </c>
      <c r="D15" s="9">
        <v>18.989999999999998</v>
      </c>
      <c r="E15" s="140">
        <v>13.49</v>
      </c>
      <c r="F15" s="140">
        <v>19.989999999999998</v>
      </c>
      <c r="G15" s="140">
        <v>14.49</v>
      </c>
      <c r="H15" s="140">
        <v>13.49</v>
      </c>
      <c r="I15" s="9">
        <v>12.99</v>
      </c>
      <c r="J15" s="9">
        <v>8.99</v>
      </c>
      <c r="K15" s="141">
        <v>7.99</v>
      </c>
      <c r="L15" s="141">
        <v>19.989999999999998</v>
      </c>
      <c r="M15" s="10"/>
      <c r="N15" s="10"/>
      <c r="O15" s="10"/>
    </row>
    <row r="16" spans="1:15" x14ac:dyDescent="0.3">
      <c r="A16" s="8" t="s">
        <v>49</v>
      </c>
      <c r="B16" s="9">
        <v>8.99</v>
      </c>
      <c r="C16" s="140">
        <v>6.49</v>
      </c>
      <c r="D16" s="9">
        <v>18.989999999999998</v>
      </c>
      <c r="E16" s="140">
        <v>13.49</v>
      </c>
      <c r="F16" s="140">
        <v>19.989999999999998</v>
      </c>
      <c r="G16" s="140">
        <v>14.49</v>
      </c>
      <c r="H16" s="140">
        <v>13.49</v>
      </c>
      <c r="I16" s="9">
        <v>12.99</v>
      </c>
      <c r="J16" s="9">
        <v>8.99</v>
      </c>
      <c r="K16" s="141">
        <v>7.99</v>
      </c>
      <c r="L16" s="141">
        <v>19.989999999999998</v>
      </c>
      <c r="M16" s="10"/>
      <c r="N16" s="10"/>
      <c r="O16" s="10"/>
    </row>
    <row r="17" spans="1:15" x14ac:dyDescent="0.3">
      <c r="A17" s="8" t="s">
        <v>50</v>
      </c>
      <c r="B17" s="9">
        <v>8.99</v>
      </c>
      <c r="C17" s="140">
        <v>6.49</v>
      </c>
      <c r="D17" s="9">
        <v>18.989999999999998</v>
      </c>
      <c r="E17" s="140">
        <v>13.49</v>
      </c>
      <c r="F17" s="140">
        <v>19.989999999999998</v>
      </c>
      <c r="G17" s="140">
        <v>14.49</v>
      </c>
      <c r="H17" s="140">
        <v>13.49</v>
      </c>
      <c r="I17" s="9">
        <v>12.99</v>
      </c>
      <c r="J17" s="9">
        <v>8.99</v>
      </c>
      <c r="K17" s="141">
        <v>7.99</v>
      </c>
      <c r="L17" s="141">
        <v>19.989999999999998</v>
      </c>
      <c r="M17" s="10"/>
      <c r="N17" s="10"/>
      <c r="O17" s="10"/>
    </row>
    <row r="18" spans="1:15" x14ac:dyDescent="0.3">
      <c r="A18" s="8" t="s">
        <v>51</v>
      </c>
      <c r="B18" s="9">
        <v>8.99</v>
      </c>
      <c r="C18" s="140">
        <v>6.49</v>
      </c>
      <c r="D18" s="9">
        <v>18.989999999999998</v>
      </c>
      <c r="E18" s="140">
        <v>13.49</v>
      </c>
      <c r="F18" s="140">
        <v>19.989999999999998</v>
      </c>
      <c r="G18" s="140">
        <v>14.49</v>
      </c>
      <c r="H18" s="140">
        <v>13.49</v>
      </c>
      <c r="I18" s="9">
        <v>12.99</v>
      </c>
      <c r="J18" s="9">
        <v>8.99</v>
      </c>
      <c r="K18" s="141">
        <v>7.99</v>
      </c>
      <c r="L18" s="141">
        <v>19.989999999999998</v>
      </c>
      <c r="M18" s="10"/>
      <c r="N18" s="10"/>
      <c r="O18" s="10"/>
    </row>
    <row r="19" spans="1:15" x14ac:dyDescent="0.3">
      <c r="A19" s="8" t="s">
        <v>52</v>
      </c>
      <c r="B19" s="9">
        <v>8.99</v>
      </c>
      <c r="C19" s="140">
        <v>6.49</v>
      </c>
      <c r="D19" s="9">
        <v>18.989999999999998</v>
      </c>
      <c r="E19" s="140">
        <v>13.49</v>
      </c>
      <c r="F19" s="140">
        <v>19.989999999999998</v>
      </c>
      <c r="G19" s="140">
        <v>14.49</v>
      </c>
      <c r="H19" s="140">
        <v>13.49</v>
      </c>
      <c r="I19" s="9">
        <v>12.99</v>
      </c>
      <c r="J19" s="9">
        <v>8.99</v>
      </c>
      <c r="K19" s="141">
        <v>7.99</v>
      </c>
      <c r="L19" s="141">
        <v>19.989999999999998</v>
      </c>
      <c r="M19" s="10"/>
      <c r="N19" s="10"/>
      <c r="O19" s="10"/>
    </row>
    <row r="20" spans="1:15" x14ac:dyDescent="0.3">
      <c r="A20" s="13" t="s">
        <v>33</v>
      </c>
      <c r="B20" s="14">
        <v>8.99</v>
      </c>
      <c r="C20" s="101">
        <v>6.49</v>
      </c>
      <c r="D20" s="14">
        <v>18.989999999999998</v>
      </c>
      <c r="E20" s="101">
        <v>13.49</v>
      </c>
      <c r="F20" s="101">
        <v>19.989999999999998</v>
      </c>
      <c r="G20" s="101">
        <v>14.49</v>
      </c>
      <c r="H20" s="101">
        <v>13.49</v>
      </c>
      <c r="I20" s="14">
        <v>12.99</v>
      </c>
      <c r="J20" s="102">
        <v>9.99</v>
      </c>
      <c r="K20" s="102">
        <v>9.99</v>
      </c>
      <c r="L20" s="102">
        <v>24.99</v>
      </c>
      <c r="M20" s="102"/>
      <c r="N20" s="102"/>
      <c r="O20" s="102"/>
    </row>
    <row r="21" spans="1:15" x14ac:dyDescent="0.3">
      <c r="A21" s="12" t="s">
        <v>53</v>
      </c>
      <c r="B21" s="9">
        <v>8.99</v>
      </c>
      <c r="C21" s="101">
        <v>6.49</v>
      </c>
      <c r="D21" s="9">
        <v>18.989999999999998</v>
      </c>
      <c r="E21" s="101">
        <v>13.49</v>
      </c>
      <c r="F21" s="101">
        <v>19.989999999999998</v>
      </c>
      <c r="G21" s="101">
        <v>14.49</v>
      </c>
      <c r="H21" s="101">
        <v>13.49</v>
      </c>
      <c r="I21" s="9">
        <v>12.99</v>
      </c>
      <c r="J21" s="102">
        <v>9.99</v>
      </c>
      <c r="K21" s="102">
        <v>9.99</v>
      </c>
      <c r="L21" s="102">
        <v>24.99</v>
      </c>
      <c r="M21" s="102"/>
      <c r="N21" s="102"/>
      <c r="O21" s="102"/>
    </row>
    <row r="22" spans="1:15" x14ac:dyDescent="0.3">
      <c r="A22" s="8" t="s">
        <v>54</v>
      </c>
      <c r="B22" s="9">
        <v>8.99</v>
      </c>
      <c r="C22" s="140">
        <v>6.49</v>
      </c>
      <c r="D22" s="9">
        <v>18.989999999999998</v>
      </c>
      <c r="E22" s="140">
        <v>13.49</v>
      </c>
      <c r="F22" s="140">
        <v>19.989999999999998</v>
      </c>
      <c r="G22" s="140">
        <v>14.49</v>
      </c>
      <c r="H22" s="140">
        <v>13.49</v>
      </c>
      <c r="I22" s="9">
        <v>12.99</v>
      </c>
      <c r="J22" s="9">
        <v>8.99</v>
      </c>
      <c r="K22" s="141">
        <v>7.99</v>
      </c>
      <c r="L22" s="141">
        <v>19.989999999999998</v>
      </c>
      <c r="M22" s="10"/>
      <c r="N22" s="10"/>
      <c r="O22" s="10"/>
    </row>
    <row r="23" spans="1:15" x14ac:dyDescent="0.3">
      <c r="A23" s="8" t="s">
        <v>55</v>
      </c>
      <c r="B23" s="9">
        <v>8.99</v>
      </c>
      <c r="C23" s="140">
        <v>6.49</v>
      </c>
      <c r="D23" s="9">
        <v>18.989999999999998</v>
      </c>
      <c r="E23" s="140">
        <v>13.49</v>
      </c>
      <c r="F23" s="140">
        <v>19.989999999999998</v>
      </c>
      <c r="G23" s="140">
        <v>14.49</v>
      </c>
      <c r="H23" s="140">
        <v>13.49</v>
      </c>
      <c r="I23" s="9">
        <v>12.99</v>
      </c>
      <c r="J23" s="9">
        <v>8.99</v>
      </c>
      <c r="K23" s="141">
        <v>7.99</v>
      </c>
      <c r="L23" s="141">
        <v>19.989999999999998</v>
      </c>
      <c r="M23" s="10"/>
      <c r="N23" s="10"/>
      <c r="O23" s="10"/>
    </row>
    <row r="24" spans="1:15" x14ac:dyDescent="0.3">
      <c r="A24" s="8" t="s">
        <v>56</v>
      </c>
      <c r="B24" s="9">
        <v>8.99</v>
      </c>
      <c r="C24" s="140">
        <v>6.49</v>
      </c>
      <c r="D24" s="9">
        <v>18.989999999999998</v>
      </c>
      <c r="E24" s="140">
        <v>13.49</v>
      </c>
      <c r="F24" s="140">
        <v>19.989999999999998</v>
      </c>
      <c r="G24" s="140">
        <v>14.49</v>
      </c>
      <c r="H24" s="140">
        <v>13.49</v>
      </c>
      <c r="I24" s="9">
        <v>12.99</v>
      </c>
      <c r="J24" s="9">
        <v>8.99</v>
      </c>
      <c r="K24" s="141">
        <v>7.99</v>
      </c>
      <c r="L24" s="141">
        <v>19.989999999999998</v>
      </c>
      <c r="M24" s="10"/>
      <c r="N24" s="10"/>
      <c r="O24" s="10"/>
    </row>
    <row r="25" spans="1:15" x14ac:dyDescent="0.3">
      <c r="A25" s="12" t="s">
        <v>57</v>
      </c>
      <c r="B25" s="9">
        <v>8.99</v>
      </c>
      <c r="C25" s="101">
        <v>6.49</v>
      </c>
      <c r="D25" s="9">
        <v>18.989999999999998</v>
      </c>
      <c r="E25" s="101">
        <v>13.49</v>
      </c>
      <c r="F25" s="101">
        <v>19.989999999999998</v>
      </c>
      <c r="G25" s="101">
        <v>14.49</v>
      </c>
      <c r="H25" s="101">
        <v>13.49</v>
      </c>
      <c r="I25" s="9">
        <v>12.99</v>
      </c>
      <c r="J25" s="102">
        <v>9.99</v>
      </c>
      <c r="K25" s="102">
        <v>9.99</v>
      </c>
      <c r="L25" s="102">
        <v>24.99</v>
      </c>
      <c r="M25" s="102"/>
      <c r="N25" s="102"/>
      <c r="O25" s="102"/>
    </row>
    <row r="26" spans="1:15" x14ac:dyDescent="0.3">
      <c r="A26" s="12" t="s">
        <v>58</v>
      </c>
      <c r="B26" s="9">
        <v>8.99</v>
      </c>
      <c r="C26" s="101">
        <v>6.49</v>
      </c>
      <c r="D26" s="9">
        <v>18.989999999999998</v>
      </c>
      <c r="E26" s="101">
        <v>13.49</v>
      </c>
      <c r="F26" s="101">
        <v>19.989999999999998</v>
      </c>
      <c r="G26" s="101">
        <v>14.49</v>
      </c>
      <c r="H26" s="101">
        <v>13.49</v>
      </c>
      <c r="I26" s="9">
        <v>12.99</v>
      </c>
      <c r="J26" s="102">
        <v>9.99</v>
      </c>
      <c r="K26" s="102">
        <v>9.99</v>
      </c>
      <c r="L26" s="102">
        <v>24.99</v>
      </c>
      <c r="M26" s="102"/>
      <c r="N26" s="102"/>
      <c r="O26" s="102"/>
    </row>
    <row r="27" spans="1:15" x14ac:dyDescent="0.3">
      <c r="A27" s="8" t="s">
        <v>59</v>
      </c>
      <c r="B27" s="9">
        <v>8.99</v>
      </c>
      <c r="C27" s="140">
        <v>6.49</v>
      </c>
      <c r="D27" s="9">
        <v>18.989999999999998</v>
      </c>
      <c r="E27" s="140">
        <v>13.49</v>
      </c>
      <c r="F27" s="140">
        <v>19.989999999999998</v>
      </c>
      <c r="G27" s="140">
        <v>14.49</v>
      </c>
      <c r="H27" s="140">
        <v>13.49</v>
      </c>
      <c r="I27" s="9">
        <v>12.99</v>
      </c>
      <c r="J27" s="9">
        <v>8.99</v>
      </c>
      <c r="K27" s="141">
        <v>7.99</v>
      </c>
      <c r="L27" s="141">
        <v>19.989999999999998</v>
      </c>
      <c r="M27" s="10"/>
      <c r="N27" s="10"/>
      <c r="O27" s="10"/>
    </row>
    <row r="28" spans="1:15" x14ac:dyDescent="0.3">
      <c r="A28" s="12" t="s">
        <v>34</v>
      </c>
      <c r="B28" s="9">
        <v>8.99</v>
      </c>
      <c r="C28" s="101">
        <v>6.49</v>
      </c>
      <c r="D28" s="9">
        <v>18.989999999999998</v>
      </c>
      <c r="E28" s="101">
        <v>13.49</v>
      </c>
      <c r="F28" s="101">
        <v>19.989999999999998</v>
      </c>
      <c r="G28" s="101">
        <v>14.49</v>
      </c>
      <c r="H28" s="101">
        <v>13.49</v>
      </c>
      <c r="I28" s="9">
        <v>12.99</v>
      </c>
      <c r="J28" s="102">
        <v>9.99</v>
      </c>
      <c r="K28" s="102">
        <v>9.99</v>
      </c>
      <c r="L28" s="102">
        <v>24.99</v>
      </c>
      <c r="M28" s="102"/>
      <c r="N28" s="102"/>
      <c r="O28" s="102"/>
    </row>
    <row r="29" spans="1:15" x14ac:dyDescent="0.3">
      <c r="A29" s="142" t="s">
        <v>130</v>
      </c>
      <c r="B29" s="9">
        <v>8.99</v>
      </c>
      <c r="C29" s="101">
        <v>6.49</v>
      </c>
      <c r="D29" s="9">
        <v>18.989999999999998</v>
      </c>
      <c r="E29" s="101">
        <v>13.49</v>
      </c>
      <c r="F29" s="101">
        <v>19.989999999999998</v>
      </c>
      <c r="G29" s="101">
        <v>14.49</v>
      </c>
      <c r="H29" s="101">
        <v>13.49</v>
      </c>
      <c r="I29" s="9">
        <v>12.99</v>
      </c>
      <c r="J29" s="102">
        <v>9.99</v>
      </c>
      <c r="K29" s="102">
        <v>9.99</v>
      </c>
      <c r="L29" s="102">
        <v>24.99</v>
      </c>
      <c r="M29" s="102"/>
      <c r="N29" s="102"/>
      <c r="O29" s="102"/>
    </row>
    <row r="30" spans="1:15" x14ac:dyDescent="0.3">
      <c r="A30" s="8" t="s">
        <v>60</v>
      </c>
      <c r="B30" s="9">
        <v>8.99</v>
      </c>
      <c r="C30" s="140">
        <v>6.49</v>
      </c>
      <c r="D30" s="9">
        <v>18.989999999999998</v>
      </c>
      <c r="E30" s="140">
        <v>13.49</v>
      </c>
      <c r="F30" s="140">
        <v>19.989999999999998</v>
      </c>
      <c r="G30" s="140">
        <v>14.49</v>
      </c>
      <c r="H30" s="140">
        <v>13.49</v>
      </c>
      <c r="I30" s="9">
        <v>12.99</v>
      </c>
      <c r="J30" s="9">
        <v>8.99</v>
      </c>
      <c r="K30" s="141">
        <v>7.99</v>
      </c>
      <c r="L30" s="141">
        <v>19.989999999999998</v>
      </c>
      <c r="M30" s="10"/>
      <c r="N30" s="10"/>
      <c r="O30" s="10"/>
    </row>
    <row r="31" spans="1:15" x14ac:dyDescent="0.3">
      <c r="A31" s="103" t="s">
        <v>112</v>
      </c>
      <c r="B31" s="143"/>
      <c r="C31" s="104"/>
      <c r="D31" s="143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</row>
    <row r="33" spans="1:15" x14ac:dyDescent="0.3">
      <c r="A33" s="105" t="s">
        <v>92</v>
      </c>
      <c r="B33" s="106">
        <v>8.99</v>
      </c>
      <c r="C33" s="107">
        <v>6.49</v>
      </c>
      <c r="D33" s="107">
        <v>18.989999999999998</v>
      </c>
      <c r="E33" s="107">
        <v>13.49</v>
      </c>
      <c r="F33" s="107">
        <v>19.989999999999998</v>
      </c>
      <c r="G33" s="107">
        <v>14.49</v>
      </c>
      <c r="H33" s="107">
        <v>13.49</v>
      </c>
      <c r="I33" s="107">
        <v>12.99</v>
      </c>
      <c r="J33" s="107">
        <v>9.99</v>
      </c>
      <c r="K33" s="107">
        <v>9.99</v>
      </c>
      <c r="L33" s="107">
        <v>24.99</v>
      </c>
      <c r="M33" s="107"/>
      <c r="N33" s="107"/>
      <c r="O33" s="107"/>
    </row>
    <row r="34" spans="1:15" x14ac:dyDescent="0.3">
      <c r="I34" t="s">
        <v>139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49f91e6cac8d8748de6c8e802239a41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66b2f3a568259d6e18f133deb90ad9f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C3948755-05C8-4167-A3C9-C94CCA281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C2206F-0338-46FC-82C6-A75034949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703B89-4E86-42C3-8CFA-2C60C30C5718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16f20d34-7624-4e7e-9585-e4f9765217a7"/>
    <ds:schemaRef ds:uri="fc41d484-5e40-4930-b699-f3245646da7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Tabelas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Ericka Garrett</dc:creator>
  <cp:lastModifiedBy>João Vitor Tadra</cp:lastModifiedBy>
  <cp:lastPrinted>2024-05-12T18:10:45Z</cp:lastPrinted>
  <dcterms:created xsi:type="dcterms:W3CDTF">2022-06-23T15:46:56Z</dcterms:created>
  <dcterms:modified xsi:type="dcterms:W3CDTF">2026-01-27T14:00:41Z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