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2140B350-156A-4898-B4E4-42E9325FA8A2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Tabelas" sheetId="1" r:id="rId1"/>
    <sheet name="Cadastro" sheetId="28" r:id="rId2"/>
    <sheet name="Planilha1" sheetId="5" state="hidden" r:id="rId3"/>
    <sheet name="ST BISCOITINHOS" sheetId="2" state="hidden" r:id="rId4"/>
    <sheet name="ST PAPAPASTA" sheetId="3" state="hidden" r:id="rId5"/>
    <sheet name="ST PALITINHOS" sheetId="6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4" state="hidden" r:id="rId12"/>
    <sheet name="PSC PAPAPA" sheetId="12" state="hidden" r:id="rId13"/>
    <sheet name="PSC" sheetId="13" state="hidden" r:id="rId14"/>
  </sheets>
  <externalReferences>
    <externalReference r:id="rId15"/>
    <externalReference r:id="rId16"/>
  </externalReferences>
  <definedNames>
    <definedName name="_xlnm._FilterDatabase" localSheetId="11" hidden="1">PREÇOS!$A$2:$F$2</definedName>
    <definedName name="_xlnm._FilterDatabase" localSheetId="4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3" i="1"/>
  <c r="G14" i="1"/>
  <c r="G16" i="1"/>
  <c r="G17" i="1"/>
  <c r="G18" i="1"/>
  <c r="G19" i="1"/>
  <c r="G20" i="1"/>
  <c r="G21" i="1"/>
  <c r="G23" i="1"/>
  <c r="G24" i="1"/>
  <c r="G25" i="1"/>
  <c r="G27" i="1"/>
  <c r="G28" i="1"/>
  <c r="G30" i="1"/>
  <c r="G31" i="1"/>
  <c r="G33" i="1"/>
  <c r="G34" i="1"/>
  <c r="G35" i="1"/>
  <c r="G37" i="1"/>
  <c r="G38" i="1"/>
  <c r="G39" i="1"/>
  <c r="G40" i="1"/>
  <c r="G42" i="1"/>
  <c r="G43" i="1"/>
  <c r="G44" i="1"/>
  <c r="G45" i="1"/>
  <c r="G46" i="1"/>
  <c r="G48" i="1"/>
  <c r="G49" i="1"/>
  <c r="G50" i="1"/>
  <c r="G51" i="1"/>
  <c r="G53" i="1"/>
  <c r="G54" i="1"/>
  <c r="G55" i="1"/>
  <c r="G57" i="1"/>
  <c r="G58" i="1"/>
  <c r="G60" i="1"/>
  <c r="G61" i="1"/>
  <c r="G62" i="1"/>
  <c r="G63" i="1"/>
  <c r="G65" i="1"/>
  <c r="G67" i="1"/>
  <c r="G68" i="1"/>
  <c r="G69" i="1"/>
  <c r="G70" i="1"/>
  <c r="G71" i="1"/>
  <c r="G72" i="1"/>
  <c r="G73" i="1"/>
  <c r="G74" i="1"/>
  <c r="G75" i="1"/>
  <c r="G76" i="1"/>
  <c r="G77" i="1"/>
  <c r="G78" i="1"/>
  <c r="F78" i="1"/>
  <c r="F77" i="1"/>
  <c r="F76" i="1"/>
  <c r="F75" i="1"/>
  <c r="F74" i="1"/>
  <c r="F73" i="1"/>
  <c r="F72" i="1"/>
  <c r="F71" i="1"/>
  <c r="F70" i="1"/>
  <c r="F69" i="1"/>
  <c r="F67" i="1"/>
  <c r="F68" i="1"/>
  <c r="F65" i="1"/>
  <c r="F63" i="1"/>
  <c r="F62" i="1"/>
  <c r="F61" i="1"/>
  <c r="F60" i="1"/>
  <c r="F58" i="1"/>
  <c r="F57" i="1"/>
  <c r="F55" i="1"/>
  <c r="F54" i="1"/>
  <c r="F53" i="1"/>
  <c r="F51" i="1"/>
  <c r="F50" i="1"/>
  <c r="F49" i="1"/>
  <c r="F48" i="1"/>
  <c r="F46" i="1"/>
  <c r="F45" i="1"/>
  <c r="F44" i="1"/>
  <c r="F43" i="1"/>
  <c r="F42" i="1"/>
  <c r="F40" i="1"/>
  <c r="F39" i="1"/>
  <c r="F38" i="1"/>
  <c r="F37" i="1"/>
  <c r="F35" i="1"/>
  <c r="F34" i="1"/>
  <c r="F33" i="1"/>
  <c r="F31" i="1"/>
  <c r="F30" i="1"/>
  <c r="F25" i="1"/>
  <c r="F24" i="1"/>
  <c r="F23" i="1"/>
  <c r="F28" i="1"/>
  <c r="F27" i="1"/>
  <c r="F21" i="1"/>
  <c r="F20" i="1"/>
  <c r="F19" i="1"/>
  <c r="F18" i="1"/>
  <c r="F17" i="1"/>
  <c r="F16" i="1"/>
  <c r="F14" i="1"/>
  <c r="F13" i="1"/>
  <c r="F11" i="1"/>
  <c r="F10" i="1"/>
  <c r="O78" i="1"/>
  <c r="O77" i="1"/>
  <c r="O76" i="1"/>
  <c r="O75" i="1"/>
  <c r="O74" i="1"/>
  <c r="O73" i="1"/>
  <c r="O72" i="1"/>
  <c r="O71" i="1"/>
  <c r="O70" i="1"/>
  <c r="O69" i="1"/>
  <c r="O68" i="1"/>
  <c r="O67" i="1"/>
  <c r="O65" i="1"/>
  <c r="O63" i="1"/>
  <c r="O62" i="1"/>
  <c r="O61" i="1"/>
  <c r="O60" i="1"/>
  <c r="O58" i="1"/>
  <c r="O57" i="1"/>
  <c r="O55" i="1"/>
  <c r="O54" i="1"/>
  <c r="O53" i="1"/>
  <c r="O46" i="1"/>
  <c r="O45" i="1"/>
  <c r="O44" i="1"/>
  <c r="O43" i="1"/>
  <c r="O42" i="1"/>
  <c r="O40" i="1"/>
  <c r="O39" i="1"/>
  <c r="O38" i="1"/>
  <c r="O37" i="1"/>
  <c r="O35" i="1"/>
  <c r="O34" i="1"/>
  <c r="O33" i="1"/>
  <c r="O31" i="1"/>
  <c r="O30" i="1"/>
  <c r="O28" i="1"/>
  <c r="O27" i="1"/>
  <c r="O25" i="1"/>
  <c r="O24" i="1"/>
  <c r="O23" i="1"/>
  <c r="O21" i="1"/>
  <c r="O20" i="1"/>
  <c r="O19" i="1"/>
  <c r="O18" i="1"/>
  <c r="O17" i="1"/>
  <c r="O16" i="1"/>
  <c r="O14" i="1"/>
  <c r="O13" i="1"/>
  <c r="O11" i="1"/>
  <c r="O10" i="1"/>
  <c r="L76" i="28"/>
  <c r="M76" i="28" s="1"/>
  <c r="R76" i="28" s="1"/>
  <c r="K76" i="28"/>
  <c r="G76" i="28"/>
  <c r="L75" i="28"/>
  <c r="K75" i="28"/>
  <c r="G75" i="28"/>
  <c r="L74" i="28"/>
  <c r="M74" i="28" s="1"/>
  <c r="R74" i="28" s="1"/>
  <c r="K74" i="28"/>
  <c r="G74" i="28"/>
  <c r="L73" i="28"/>
  <c r="M73" i="28" s="1"/>
  <c r="R73" i="28" s="1"/>
  <c r="K73" i="28"/>
  <c r="G73" i="28"/>
  <c r="L72" i="28"/>
  <c r="K72" i="28"/>
  <c r="G72" i="28"/>
  <c r="L71" i="28"/>
  <c r="O71" i="28" s="1"/>
  <c r="P71" i="28" s="1"/>
  <c r="S71" i="28" s="1"/>
  <c r="K71" i="28"/>
  <c r="G71" i="28"/>
  <c r="L70" i="28"/>
  <c r="M70" i="28" s="1"/>
  <c r="R70" i="28" s="1"/>
  <c r="K70" i="28"/>
  <c r="G70" i="28"/>
  <c r="L69" i="28"/>
  <c r="K69" i="28"/>
  <c r="G69" i="28"/>
  <c r="L68" i="28"/>
  <c r="O68" i="28" s="1"/>
  <c r="P68" i="28" s="1"/>
  <c r="S68" i="28" s="1"/>
  <c r="K68" i="28"/>
  <c r="G68" i="28"/>
  <c r="L67" i="28"/>
  <c r="M67" i="28" s="1"/>
  <c r="R67" i="28" s="1"/>
  <c r="K67" i="28"/>
  <c r="G67" i="28"/>
  <c r="L66" i="28"/>
  <c r="K66" i="28"/>
  <c r="G66" i="28"/>
  <c r="L65" i="28"/>
  <c r="O65" i="28" s="1"/>
  <c r="P65" i="28" s="1"/>
  <c r="S65" i="28" s="1"/>
  <c r="K65" i="28"/>
  <c r="G65" i="28"/>
  <c r="L63" i="28"/>
  <c r="P63" i="28" s="1"/>
  <c r="S63" i="28" s="1"/>
  <c r="K63" i="28"/>
  <c r="G63" i="28"/>
  <c r="L61" i="28"/>
  <c r="P61" i="28" s="1"/>
  <c r="S61" i="28" s="1"/>
  <c r="K61" i="28"/>
  <c r="G61" i="28"/>
  <c r="L60" i="28"/>
  <c r="M60" i="28" s="1"/>
  <c r="R60" i="28" s="1"/>
  <c r="K60" i="28"/>
  <c r="G60" i="28"/>
  <c r="L59" i="28"/>
  <c r="P59" i="28" s="1"/>
  <c r="S59" i="28" s="1"/>
  <c r="K59" i="28"/>
  <c r="G59" i="28"/>
  <c r="L58" i="28"/>
  <c r="P58" i="28" s="1"/>
  <c r="S58" i="28" s="1"/>
  <c r="K58" i="28"/>
  <c r="G58" i="28"/>
  <c r="N56" i="28"/>
  <c r="L56" i="28"/>
  <c r="K56" i="28"/>
  <c r="G56" i="28"/>
  <c r="N55" i="28"/>
  <c r="L55" i="28"/>
  <c r="K55" i="28"/>
  <c r="G55" i="28"/>
  <c r="N53" i="28"/>
  <c r="L53" i="28"/>
  <c r="M53" i="28" s="1"/>
  <c r="R53" i="28" s="1"/>
  <c r="K53" i="28"/>
  <c r="G53" i="28"/>
  <c r="N52" i="28"/>
  <c r="L52" i="28"/>
  <c r="K52" i="28"/>
  <c r="G52" i="28"/>
  <c r="N51" i="28"/>
  <c r="L51" i="28"/>
  <c r="K51" i="28"/>
  <c r="G51" i="28"/>
  <c r="L49" i="28"/>
  <c r="P49" i="28" s="1"/>
  <c r="S49" i="28" s="1"/>
  <c r="K49" i="28"/>
  <c r="L48" i="28"/>
  <c r="P48" i="28" s="1"/>
  <c r="S48" i="28" s="1"/>
  <c r="K48" i="28"/>
  <c r="L47" i="28"/>
  <c r="M47" i="28" s="1"/>
  <c r="R47" i="28" s="1"/>
  <c r="K47" i="28"/>
  <c r="L46" i="28"/>
  <c r="P46" i="28" s="1"/>
  <c r="S46" i="28" s="1"/>
  <c r="K46" i="28"/>
  <c r="N44" i="28"/>
  <c r="L44" i="28"/>
  <c r="M44" i="28" s="1"/>
  <c r="R44" i="28" s="1"/>
  <c r="K44" i="28"/>
  <c r="G44" i="28"/>
  <c r="N43" i="28"/>
  <c r="L43" i="28"/>
  <c r="K43" i="28"/>
  <c r="G43" i="28"/>
  <c r="N42" i="28"/>
  <c r="L42" i="28"/>
  <c r="P42" i="28" s="1"/>
  <c r="S42" i="28" s="1"/>
  <c r="K42" i="28"/>
  <c r="G42" i="28"/>
  <c r="N41" i="28"/>
  <c r="L41" i="28"/>
  <c r="M41" i="28" s="1"/>
  <c r="R41" i="28" s="1"/>
  <c r="K41" i="28"/>
  <c r="G41" i="28"/>
  <c r="N40" i="28"/>
  <c r="L40" i="28"/>
  <c r="K40" i="28"/>
  <c r="G40" i="28"/>
  <c r="N38" i="28"/>
  <c r="L38" i="28"/>
  <c r="K38" i="28"/>
  <c r="G38" i="28"/>
  <c r="N37" i="28"/>
  <c r="L37" i="28"/>
  <c r="M37" i="28" s="1"/>
  <c r="R37" i="28" s="1"/>
  <c r="K37" i="28"/>
  <c r="G37" i="28"/>
  <c r="N36" i="28"/>
  <c r="L36" i="28"/>
  <c r="K36" i="28"/>
  <c r="G36" i="28"/>
  <c r="N35" i="28"/>
  <c r="L35" i="28"/>
  <c r="P35" i="28" s="1"/>
  <c r="S35" i="28" s="1"/>
  <c r="K35" i="28"/>
  <c r="G35" i="28"/>
  <c r="L33" i="28"/>
  <c r="P33" i="28" s="1"/>
  <c r="S33" i="28" s="1"/>
  <c r="K33" i="28"/>
  <c r="G33" i="28"/>
  <c r="L32" i="28"/>
  <c r="P32" i="28" s="1"/>
  <c r="S32" i="28" s="1"/>
  <c r="K32" i="28"/>
  <c r="G32" i="28"/>
  <c r="L31" i="28"/>
  <c r="P31" i="28" s="1"/>
  <c r="S31" i="28" s="1"/>
  <c r="K31" i="28"/>
  <c r="G31" i="28"/>
  <c r="N29" i="28"/>
  <c r="L29" i="28"/>
  <c r="M29" i="28" s="1"/>
  <c r="R29" i="28" s="1"/>
  <c r="K29" i="28"/>
  <c r="G29" i="28"/>
  <c r="N28" i="28"/>
  <c r="L28" i="28"/>
  <c r="M28" i="28" s="1"/>
  <c r="R28" i="28" s="1"/>
  <c r="K28" i="28"/>
  <c r="G28" i="28"/>
  <c r="N26" i="28"/>
  <c r="L26" i="28"/>
  <c r="M26" i="28" s="1"/>
  <c r="R26" i="28" s="1"/>
  <c r="K26" i="28"/>
  <c r="G26" i="28"/>
  <c r="N25" i="28"/>
  <c r="L25" i="28"/>
  <c r="M25" i="28" s="1"/>
  <c r="R25" i="28" s="1"/>
  <c r="K25" i="28"/>
  <c r="G25" i="28"/>
  <c r="N23" i="28"/>
  <c r="L23" i="28"/>
  <c r="K23" i="28"/>
  <c r="G23" i="28"/>
  <c r="N22" i="28"/>
  <c r="L22" i="28"/>
  <c r="M22" i="28" s="1"/>
  <c r="R22" i="28" s="1"/>
  <c r="K22" i="28"/>
  <c r="G22" i="28"/>
  <c r="N21" i="28"/>
  <c r="L21" i="28"/>
  <c r="M21" i="28" s="1"/>
  <c r="R21" i="28" s="1"/>
  <c r="K21" i="28"/>
  <c r="G21" i="28"/>
  <c r="L19" i="28"/>
  <c r="M19" i="28" s="1"/>
  <c r="K19" i="28"/>
  <c r="G19" i="28"/>
  <c r="L18" i="28"/>
  <c r="M18" i="28" s="1"/>
  <c r="K18" i="28"/>
  <c r="G18" i="28"/>
  <c r="L17" i="28"/>
  <c r="M17" i="28" s="1"/>
  <c r="R17" i="28" s="1"/>
  <c r="K17" i="28"/>
  <c r="G17" i="28"/>
  <c r="L16" i="28"/>
  <c r="M16" i="28" s="1"/>
  <c r="R16" i="28" s="1"/>
  <c r="K16" i="28"/>
  <c r="G16" i="28"/>
  <c r="L15" i="28"/>
  <c r="M15" i="28" s="1"/>
  <c r="K15" i="28"/>
  <c r="G15" i="28"/>
  <c r="L14" i="28"/>
  <c r="M14" i="28" s="1"/>
  <c r="K14" i="28"/>
  <c r="G14" i="28"/>
  <c r="L12" i="28"/>
  <c r="M12" i="28" s="1"/>
  <c r="K12" i="28"/>
  <c r="G12" i="28"/>
  <c r="L11" i="28"/>
  <c r="M11" i="28" s="1"/>
  <c r="K11" i="28"/>
  <c r="G11" i="28"/>
  <c r="L9" i="28"/>
  <c r="P9" i="28" s="1"/>
  <c r="S9" i="28" s="1"/>
  <c r="K9" i="28"/>
  <c r="G9" i="28"/>
  <c r="L8" i="28"/>
  <c r="P8" i="28" s="1"/>
  <c r="S8" i="28" s="1"/>
  <c r="K8" i="28"/>
  <c r="G8" i="28"/>
  <c r="P38" i="28" l="1"/>
  <c r="S38" i="28" s="1"/>
  <c r="P52" i="28"/>
  <c r="S52" i="28" s="1"/>
  <c r="P22" i="28"/>
  <c r="S22" i="28" s="1"/>
  <c r="P26" i="28"/>
  <c r="S26" i="28" s="1"/>
  <c r="M71" i="28"/>
  <c r="R71" i="28" s="1"/>
  <c r="P40" i="28"/>
  <c r="S40" i="28" s="1"/>
  <c r="P43" i="28"/>
  <c r="S43" i="28" s="1"/>
  <c r="P36" i="28"/>
  <c r="S36" i="28" s="1"/>
  <c r="O74" i="28"/>
  <c r="P74" i="28" s="1"/>
  <c r="S74" i="28" s="1"/>
  <c r="P51" i="28"/>
  <c r="S51" i="28" s="1"/>
  <c r="P55" i="28"/>
  <c r="S55" i="28" s="1"/>
  <c r="M65" i="28"/>
  <c r="R65" i="28" s="1"/>
  <c r="M32" i="28"/>
  <c r="R32" i="28" s="1"/>
  <c r="M55" i="28"/>
  <c r="R55" i="28" s="1"/>
  <c r="M68" i="28"/>
  <c r="R68" i="28" s="1"/>
  <c r="M31" i="28"/>
  <c r="R31" i="28" s="1"/>
  <c r="P23" i="28"/>
  <c r="S23" i="28" s="1"/>
  <c r="P56" i="28"/>
  <c r="S56" i="28" s="1"/>
  <c r="R11" i="28"/>
  <c r="P11" i="28"/>
  <c r="S11" i="28" s="1"/>
  <c r="R12" i="28"/>
  <c r="P12" i="28"/>
  <c r="S12" i="28" s="1"/>
  <c r="R18" i="28"/>
  <c r="P18" i="28"/>
  <c r="S18" i="28" s="1"/>
  <c r="R15" i="28"/>
  <c r="P15" i="28"/>
  <c r="S15" i="28" s="1"/>
  <c r="P14" i="28"/>
  <c r="S14" i="28" s="1"/>
  <c r="R14" i="28"/>
  <c r="R19" i="28"/>
  <c r="P19" i="28"/>
  <c r="S19" i="28" s="1"/>
  <c r="P37" i="28"/>
  <c r="S37" i="28" s="1"/>
  <c r="P47" i="28"/>
  <c r="S47" i="28" s="1"/>
  <c r="M36" i="28"/>
  <c r="R36" i="28" s="1"/>
  <c r="M40" i="28"/>
  <c r="R40" i="28" s="1"/>
  <c r="M43" i="28"/>
  <c r="R43" i="28" s="1"/>
  <c r="M52" i="28"/>
  <c r="R52" i="28" s="1"/>
  <c r="M56" i="28"/>
  <c r="R56" i="28" s="1"/>
  <c r="M63" i="28"/>
  <c r="R63" i="28" s="1"/>
  <c r="O67" i="28"/>
  <c r="P67" i="28" s="1"/>
  <c r="S67" i="28" s="1"/>
  <c r="O70" i="28"/>
  <c r="P70" i="28" s="1"/>
  <c r="S70" i="28" s="1"/>
  <c r="O73" i="28"/>
  <c r="P73" i="28" s="1"/>
  <c r="S73" i="28" s="1"/>
  <c r="O76" i="28"/>
  <c r="P76" i="28" s="1"/>
  <c r="S76" i="28" s="1"/>
  <c r="M8" i="28"/>
  <c r="R8" i="28" s="1"/>
  <c r="P21" i="28"/>
  <c r="S21" i="28" s="1"/>
  <c r="P25" i="28"/>
  <c r="S25" i="28" s="1"/>
  <c r="P29" i="28"/>
  <c r="S29" i="28" s="1"/>
  <c r="P16" i="28"/>
  <c r="S16" i="28" s="1"/>
  <c r="M58" i="28"/>
  <c r="R58" i="28" s="1"/>
  <c r="M33" i="28"/>
  <c r="R33" i="28" s="1"/>
  <c r="P41" i="28"/>
  <c r="S41" i="28" s="1"/>
  <c r="P44" i="28"/>
  <c r="S44" i="28" s="1"/>
  <c r="P53" i="28"/>
  <c r="S53" i="28" s="1"/>
  <c r="M49" i="28"/>
  <c r="R49" i="28" s="1"/>
  <c r="M23" i="28"/>
  <c r="R23" i="28" s="1"/>
  <c r="M46" i="28"/>
  <c r="R46" i="28" s="1"/>
  <c r="M48" i="28"/>
  <c r="R48" i="28" s="1"/>
  <c r="M59" i="28"/>
  <c r="R59" i="28" s="1"/>
  <c r="M66" i="28"/>
  <c r="R66" i="28" s="1"/>
  <c r="M69" i="28"/>
  <c r="R69" i="28" s="1"/>
  <c r="M72" i="28"/>
  <c r="R72" i="28" s="1"/>
  <c r="M75" i="28"/>
  <c r="R75" i="28" s="1"/>
  <c r="P60" i="28"/>
  <c r="S60" i="28" s="1"/>
  <c r="M51" i="28"/>
  <c r="R51" i="28" s="1"/>
  <c r="O66" i="28"/>
  <c r="P66" i="28" s="1"/>
  <c r="S66" i="28" s="1"/>
  <c r="O69" i="28"/>
  <c r="P69" i="28" s="1"/>
  <c r="S69" i="28" s="1"/>
  <c r="O72" i="28"/>
  <c r="P72" i="28" s="1"/>
  <c r="S72" i="28" s="1"/>
  <c r="O75" i="28"/>
  <c r="P75" i="28" s="1"/>
  <c r="S75" i="28" s="1"/>
  <c r="M9" i="28"/>
  <c r="R9" i="28" s="1"/>
  <c r="P28" i="28"/>
  <c r="S28" i="28" s="1"/>
  <c r="M61" i="28"/>
  <c r="R61" i="28" s="1"/>
  <c r="P17" i="28"/>
  <c r="S17" i="28" s="1"/>
  <c r="M35" i="28"/>
  <c r="R35" i="28" s="1"/>
  <c r="M38" i="28"/>
  <c r="R38" i="28" s="1"/>
  <c r="M42" i="28"/>
  <c r="R42" i="28" s="1"/>
  <c r="S82" i="28" l="1"/>
  <c r="S78" i="28"/>
  <c r="S80" i="28" l="1"/>
  <c r="H10" i="1" l="1"/>
  <c r="H11" i="1" l="1"/>
  <c r="H13" i="1"/>
  <c r="H14" i="1"/>
  <c r="H16" i="1"/>
  <c r="H17" i="1"/>
  <c r="H18" i="1"/>
  <c r="H19" i="1"/>
  <c r="H20" i="1"/>
  <c r="H21" i="1"/>
  <c r="H23" i="1"/>
  <c r="H24" i="1"/>
  <c r="H25" i="1"/>
  <c r="H78" i="1" l="1"/>
  <c r="K78" i="1" s="1"/>
  <c r="H77" i="1"/>
  <c r="I77" i="1" s="1"/>
  <c r="M77" i="1" s="1"/>
  <c r="H76" i="1"/>
  <c r="H75" i="1"/>
  <c r="I75" i="1" s="1"/>
  <c r="M75" i="1" s="1"/>
  <c r="H74" i="1"/>
  <c r="I74" i="1" s="1"/>
  <c r="M74" i="1" s="1"/>
  <c r="H73" i="1"/>
  <c r="H72" i="1"/>
  <c r="K72" i="1" s="1"/>
  <c r="H71" i="1"/>
  <c r="I71" i="1" s="1"/>
  <c r="M71" i="1" s="1"/>
  <c r="H70" i="1"/>
  <c r="H69" i="1"/>
  <c r="H68" i="1"/>
  <c r="I68" i="1" s="1"/>
  <c r="M68" i="1" s="1"/>
  <c r="H67" i="1"/>
  <c r="H65" i="1"/>
  <c r="L65" i="1" s="1"/>
  <c r="N65" i="1" s="1"/>
  <c r="H63" i="1"/>
  <c r="I63" i="1" s="1"/>
  <c r="M63" i="1" s="1"/>
  <c r="H62" i="1"/>
  <c r="L62" i="1" s="1"/>
  <c r="N62" i="1" s="1"/>
  <c r="H61" i="1"/>
  <c r="I61" i="1" s="1"/>
  <c r="M61" i="1" s="1"/>
  <c r="H60" i="1"/>
  <c r="L60" i="1" s="1"/>
  <c r="N60" i="1" s="1"/>
  <c r="J58" i="1"/>
  <c r="H58" i="1"/>
  <c r="J57" i="1"/>
  <c r="H57" i="1"/>
  <c r="I57" i="1" s="1"/>
  <c r="M57" i="1" s="1"/>
  <c r="J55" i="1"/>
  <c r="H55" i="1"/>
  <c r="I55" i="1" s="1"/>
  <c r="M55" i="1" s="1"/>
  <c r="J54" i="1"/>
  <c r="H54" i="1"/>
  <c r="J53" i="1"/>
  <c r="H53" i="1"/>
  <c r="I53" i="1" s="1"/>
  <c r="M53" i="1" s="1"/>
  <c r="K68" i="1" l="1"/>
  <c r="L68" i="1" s="1"/>
  <c r="N68" i="1" s="1"/>
  <c r="L58" i="1"/>
  <c r="N58" i="1" s="1"/>
  <c r="K71" i="1"/>
  <c r="L71" i="1" s="1"/>
  <c r="N71" i="1" s="1"/>
  <c r="K77" i="1"/>
  <c r="L77" i="1" s="1"/>
  <c r="N77" i="1" s="1"/>
  <c r="L53" i="1"/>
  <c r="N53" i="1" s="1"/>
  <c r="L61" i="1"/>
  <c r="N61" i="1" s="1"/>
  <c r="K74" i="1"/>
  <c r="L74" i="1" s="1"/>
  <c r="N74" i="1" s="1"/>
  <c r="L57" i="1"/>
  <c r="N57" i="1" s="1"/>
  <c r="L54" i="1"/>
  <c r="N54" i="1" s="1"/>
  <c r="L63" i="1"/>
  <c r="N63" i="1" s="1"/>
  <c r="I76" i="1"/>
  <c r="M76" i="1" s="1"/>
  <c r="K67" i="1"/>
  <c r="L67" i="1" s="1"/>
  <c r="N67" i="1" s="1"/>
  <c r="K73" i="1"/>
  <c r="L73" i="1" s="1"/>
  <c r="N73" i="1" s="1"/>
  <c r="K76" i="1"/>
  <c r="L76" i="1" s="1"/>
  <c r="N76" i="1" s="1"/>
  <c r="L55" i="1"/>
  <c r="N55" i="1" s="1"/>
  <c r="I62" i="1"/>
  <c r="M62" i="1" s="1"/>
  <c r="I58" i="1"/>
  <c r="M58" i="1" s="1"/>
  <c r="K69" i="1"/>
  <c r="L69" i="1" s="1"/>
  <c r="N69" i="1" s="1"/>
  <c r="K75" i="1"/>
  <c r="L75" i="1" s="1"/>
  <c r="N75" i="1" s="1"/>
  <c r="L72" i="1"/>
  <c r="N72" i="1" s="1"/>
  <c r="L78" i="1"/>
  <c r="N78" i="1" s="1"/>
  <c r="I67" i="1"/>
  <c r="M67" i="1" s="1"/>
  <c r="I70" i="1"/>
  <c r="M70" i="1" s="1"/>
  <c r="I73" i="1"/>
  <c r="M73" i="1" s="1"/>
  <c r="I60" i="1"/>
  <c r="M60" i="1" s="1"/>
  <c r="K70" i="1"/>
  <c r="L70" i="1" s="1"/>
  <c r="N70" i="1" s="1"/>
  <c r="I69" i="1"/>
  <c r="M69" i="1" s="1"/>
  <c r="I72" i="1"/>
  <c r="M72" i="1" s="1"/>
  <c r="I78" i="1"/>
  <c r="M78" i="1" s="1"/>
  <c r="I54" i="1"/>
  <c r="M54" i="1" s="1"/>
  <c r="I65" i="1"/>
  <c r="M65" i="1" s="1"/>
  <c r="H49" i="1" l="1"/>
  <c r="L49" i="1" s="1"/>
  <c r="N49" i="1" s="1"/>
  <c r="H50" i="1"/>
  <c r="L50" i="1" s="1"/>
  <c r="N50" i="1" s="1"/>
  <c r="H51" i="1"/>
  <c r="L51" i="1" s="1"/>
  <c r="N51" i="1" s="1"/>
  <c r="H48" i="1"/>
  <c r="L48" i="1" s="1"/>
  <c r="N48" i="1" s="1"/>
  <c r="H45" i="1"/>
  <c r="H46" i="1"/>
  <c r="I14" i="1"/>
  <c r="M14" i="1" s="1"/>
  <c r="I13" i="1"/>
  <c r="M13" i="1" s="1"/>
  <c r="I49" i="1" l="1"/>
  <c r="M49" i="1" s="1"/>
  <c r="I48" i="1"/>
  <c r="M48" i="1" s="1"/>
  <c r="I50" i="1"/>
  <c r="M50" i="1" s="1"/>
  <c r="I51" i="1"/>
  <c r="M51" i="1" s="1"/>
  <c r="I46" i="1"/>
  <c r="M46" i="1" s="1"/>
  <c r="I45" i="1"/>
  <c r="M45" i="1" s="1"/>
  <c r="L13" i="1"/>
  <c r="N13" i="1" s="1"/>
  <c r="L14" i="1"/>
  <c r="N14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H37" i="1"/>
  <c r="H40" i="1"/>
  <c r="H39" i="1"/>
  <c r="H38" i="1"/>
  <c r="I12" i="10" l="1"/>
  <c r="J12" i="9"/>
  <c r="J4" i="9"/>
  <c r="J14" i="10"/>
  <c r="J14" i="9"/>
  <c r="I28" i="9"/>
  <c r="I12" i="11"/>
  <c r="J27" i="11"/>
  <c r="J3" i="11"/>
  <c r="I19" i="11"/>
  <c r="J14" i="1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I40" i="1"/>
  <c r="M40" i="1" s="1"/>
  <c r="I37" i="1"/>
  <c r="M37" i="1" s="1"/>
  <c r="I39" i="1"/>
  <c r="M39" i="1" s="1"/>
  <c r="I38" i="1"/>
  <c r="M38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H44" i="1"/>
  <c r="H43" i="1"/>
  <c r="H42" i="1"/>
  <c r="H35" i="1"/>
  <c r="H34" i="1"/>
  <c r="H33" i="1"/>
  <c r="H31" i="1"/>
  <c r="H30" i="1"/>
  <c r="H28" i="1"/>
  <c r="H27" i="1"/>
  <c r="J40" i="1" l="1"/>
  <c r="L40" i="1" s="1"/>
  <c r="N40" i="1" s="1"/>
  <c r="J39" i="1"/>
  <c r="L39" i="1" s="1"/>
  <c r="N39" i="1" s="1"/>
  <c r="I28" i="11"/>
  <c r="J38" i="1"/>
  <c r="L38" i="1" s="1"/>
  <c r="N38" i="1" s="1"/>
  <c r="J37" i="1"/>
  <c r="L37" i="1" s="1"/>
  <c r="N37" i="1" s="1"/>
  <c r="I27" i="6"/>
  <c r="J28" i="2"/>
  <c r="I28" i="6"/>
  <c r="I28" i="2"/>
  <c r="J28" i="6"/>
  <c r="J27" i="2"/>
  <c r="I27" i="8" l="1"/>
  <c r="J27" i="8"/>
  <c r="I16" i="1"/>
  <c r="M16" i="1" s="1"/>
  <c r="J27" i="7" l="1"/>
  <c r="I27" i="7"/>
  <c r="J28" i="8"/>
  <c r="I28" i="8"/>
  <c r="I11" i="1"/>
  <c r="M11" i="1" s="1"/>
  <c r="I10" i="1"/>
  <c r="M10" i="1" s="1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J45" i="1" l="1"/>
  <c r="L45" i="1" s="1"/>
  <c r="N45" i="1" s="1"/>
  <c r="J46" i="1"/>
  <c r="L46" i="1" s="1"/>
  <c r="N46" i="1" s="1"/>
  <c r="I20" i="7"/>
  <c r="J3" i="8"/>
  <c r="I14" i="8"/>
  <c r="I5" i="8"/>
  <c r="J19" i="7"/>
  <c r="I12" i="8"/>
  <c r="I20" i="8"/>
  <c r="J43" i="1" s="1"/>
  <c r="J3" i="7"/>
  <c r="J14" i="7"/>
  <c r="I4" i="7"/>
  <c r="I12" i="7"/>
  <c r="I42" i="1"/>
  <c r="M42" i="1" s="1"/>
  <c r="I43" i="1"/>
  <c r="M43" i="1" s="1"/>
  <c r="I44" i="1"/>
  <c r="M44" i="1" s="1"/>
  <c r="J44" i="1" l="1"/>
  <c r="L44" i="1" s="1"/>
  <c r="N44" i="1" s="1"/>
  <c r="J42" i="1"/>
  <c r="L42" i="1" s="1"/>
  <c r="N42" i="1" s="1"/>
  <c r="L43" i="1"/>
  <c r="N43" i="1" s="1"/>
  <c r="I21" i="1"/>
  <c r="M21" i="1" s="1"/>
  <c r="L21" i="1" l="1"/>
  <c r="N21" i="1" s="1"/>
  <c r="L34" i="1"/>
  <c r="N34" i="1" s="1"/>
  <c r="L33" i="1"/>
  <c r="N33" i="1" s="1"/>
  <c r="I31" i="1"/>
  <c r="M31" i="1" s="1"/>
  <c r="I27" i="1"/>
  <c r="M27" i="1" s="1"/>
  <c r="I24" i="1"/>
  <c r="M24" i="1" s="1"/>
  <c r="I19" i="1"/>
  <c r="M19" i="1" s="1"/>
  <c r="I18" i="1"/>
  <c r="M18" i="1" s="1"/>
  <c r="I17" i="1"/>
  <c r="I20" i="1"/>
  <c r="M20" i="1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L17" i="1" l="1"/>
  <c r="N17" i="1" s="1"/>
  <c r="M17" i="1"/>
  <c r="L35" i="1"/>
  <c r="N35" i="1" s="1"/>
  <c r="I35" i="1"/>
  <c r="M35" i="1" s="1"/>
  <c r="L20" i="1"/>
  <c r="N20" i="1" s="1"/>
  <c r="I30" i="1"/>
  <c r="M30" i="1" s="1"/>
  <c r="I28" i="1"/>
  <c r="M28" i="1" s="1"/>
  <c r="I25" i="1"/>
  <c r="M25" i="1" s="1"/>
  <c r="I23" i="1"/>
  <c r="M23" i="1" s="1"/>
  <c r="L18" i="1"/>
  <c r="N18" i="1" s="1"/>
  <c r="L16" i="1"/>
  <c r="N16" i="1" s="1"/>
  <c r="L19" i="1"/>
  <c r="N19" i="1" s="1"/>
  <c r="I34" i="1"/>
  <c r="M34" i="1" s="1"/>
  <c r="I33" i="1"/>
  <c r="M33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N80" i="1" l="1"/>
  <c r="I19" i="6"/>
  <c r="I5" i="6"/>
  <c r="I3" i="6"/>
  <c r="I2" i="6"/>
  <c r="J14" i="6"/>
  <c r="I4" i="6"/>
  <c r="I12" i="6"/>
  <c r="I20" i="6"/>
  <c r="J24" i="1" l="1"/>
  <c r="L24" i="1" s="1"/>
  <c r="N24" i="1" s="1"/>
  <c r="J23" i="1"/>
  <c r="L23" i="1" s="1"/>
  <c r="N23" i="1" s="1"/>
  <c r="J25" i="1"/>
  <c r="L25" i="1" s="1"/>
  <c r="N25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L11" i="1" l="1"/>
  <c r="N11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L10" i="1" l="1"/>
  <c r="N10" i="1" s="1"/>
  <c r="J30" i="1"/>
  <c r="L30" i="1" s="1"/>
  <c r="N30" i="1" s="1"/>
  <c r="J31" i="1"/>
  <c r="L31" i="1" s="1"/>
  <c r="N31" i="1" s="1"/>
  <c r="J28" i="1"/>
  <c r="L28" i="1" s="1"/>
  <c r="N28" i="1" s="1"/>
  <c r="J27" i="1"/>
  <c r="L27" i="1" s="1"/>
  <c r="N27" i="1" s="1"/>
  <c r="N84" i="1" l="1"/>
  <c r="N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<sst xmlns="http://schemas.openxmlformats.org/spreadsheetml/2006/main" count="822" uniqueCount="190">
  <si>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</si>
  <si>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</si>
  <si>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</si>
  <si>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</si>
  <si>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Municipio:</t>
  </si>
  <si>
    <t>UF:</t>
  </si>
  <si>
    <t>PR</t>
  </si>
  <si>
    <t>NÃO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</si>
  <si>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</si>
  <si>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</si>
  <si>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</si>
  <si>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</si>
  <si>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</si>
  <si>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</si>
  <si>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</si>
  <si>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</si>
  <si>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</si>
  <si>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</si>
  <si>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</si>
  <si>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</si>
  <si>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</si>
  <si>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</si>
  <si>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</si>
  <si>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</si>
  <si>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</si>
  <si>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</si>
  <si>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</si>
  <si>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</si>
  <si>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</si>
  <si>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</si>
  <si>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</si>
  <si>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</si>
  <si>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</si>
  <si>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</si>
  <si>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</si>
  <si>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</si>
  <si>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</si>
  <si>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</si>
  <si>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</si>
  <si>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</si>
  <si>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</si>
  <si>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</si>
  <si>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</si>
  <si>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</si>
  <si>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</si>
  <si>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</si>
  <si>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</si>
  <si>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</si>
  <si>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</si>
  <si>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</si>
  <si>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</si>
  <si>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</si>
  <si>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</si>
  <si>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</si>
  <si>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</si>
  <si>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</si>
  <si>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</si>
  <si>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</si>
  <si>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</si>
  <si>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</si>
  <si>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</si>
  <si>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</si>
  <si>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</si>
  <si>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</si>
  <si>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</si>
  <si>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</si>
  <si>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</si>
  <si>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</si>
  <si>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</si>
  <si>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</si>
  <si>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</si>
  <si>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</si>
  <si>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</si>
  <si>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</si>
  <si>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</si>
  <si>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</si>
  <si>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</si>
  <si>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</si>
  <si>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</si>
  <si>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</si>
  <si>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</si>
  <si>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</si>
  <si>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</si>
  <si>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</si>
  <si>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</si>
  <si>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</si>
  <si>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</si>
  <si>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</si>
  <si>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</si>
  <si>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</si>
  <si>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</si>
  <si>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</si>
  <si>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</si>
  <si>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</si>
  <si>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</si>
  <si>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</si>
  <si>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</si>
  <si>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</si>
  <si>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</si>
  <si>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</si>
  <si>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</si>
  <si>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</si>
  <si>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</si>
  <si>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</si>
  <si>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</si>
  <si>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</si>
  <si>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</si>
  <si>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</si>
  <si>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</si>
  <si>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</si>
  <si>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</si>
  <si>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</si>
  <si>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</si>
  <si>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</si>
  <si>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</si>
  <si>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</si>
  <si>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</si>
  <si>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</si>
  <si>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</si>
  <si>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</si>
  <si>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</si>
  <si>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</si>
  <si>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</si>
  <si>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</si>
  <si>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</si>
  <si>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</si>
  <si>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</si>
  <si>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0325E</t>
  </si>
  <si>
    <t>ESPECIAL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</si>
  <si>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</si>
  <si>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</si>
  <si>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</si>
  <si>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</si>
  <si>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</si>
  <si>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</si>
  <si>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</si>
  <si>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</si>
  <si>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</si>
  <si>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</si>
  <si>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</si>
  <si>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</si>
  <si>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</si>
  <si>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Novos Biscotti</t>
  </si>
  <si>
    <t>CONSUMIDOR</t>
  </si>
  <si>
    <t>icms 7%</t>
  </si>
  <si>
    <t>IPI</t>
  </si>
  <si>
    <t>Salgadinho Integral Orgânico Queijo Papapa Era Uma Vez 40g</t>
  </si>
  <si>
    <t>18 x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</si>
  <si>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</si>
  <si>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</si>
  <si>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</si>
  <si>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8x30g</t>
  </si>
  <si>
    <t>Biscoito Recheado de Morango Papapa Era Uma Vez 30g</t>
  </si>
  <si>
    <t>Bebida de Laranja Papapa Era Uma Vez 200ml</t>
  </si>
  <si>
    <t xml:space="preserve">27  x 200 ml </t>
  </si>
  <si>
    <t>8 meses</t>
  </si>
  <si>
    <t>2202.99.00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</si>
  <si>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</si>
  <si>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</si>
  <si>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</si>
  <si>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</si>
  <si>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</si>
  <si>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</si>
  <si>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</si>
  <si>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</si>
  <si>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</si>
  <si>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</si>
  <si>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</si>
  <si>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</si>
  <si>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</si>
  <si>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</si>
  <si>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</si>
  <si>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</si>
  <si>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</si>
  <si>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</si>
  <si>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</si>
  <si>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</si>
  <si>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</si>
  <si>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Salgadinhos</t>
  </si>
  <si>
    <t>Bisc. Recheados</t>
  </si>
  <si>
    <t>Sucos</t>
  </si>
  <si>
    <t>Achocolatado</t>
  </si>
  <si>
    <t>Puer. Talheres</t>
  </si>
  <si>
    <t>Puer. Bolw</t>
  </si>
  <si>
    <t>Puer. Babador</t>
  </si>
  <si>
    <t>Puer. Pratinho</t>
  </si>
  <si>
    <t>UF</t>
  </si>
  <si>
    <t>Preço Sugerido</t>
  </si>
  <si>
    <t>TOTAL Itens</t>
  </si>
  <si>
    <t>0626E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</si>
</sst>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3" fontId="1" fillId="0" borderId="0" applyFont="0" applyFill="0" applyBorder="0" applyAlignment="0" applyProtection="0"/>
  </cellStyleXfs>
  <cellXfs count="187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9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44" fontId="11" fillId="11" borderId="0" xfId="1" applyFont="1" applyFill="1" applyBorder="1"/>
    <xf numFmtId="44" fontId="4" fillId="0" borderId="7" xfId="1" applyFont="1" applyBorder="1" applyProtection="1"/>
    <xf numFmtId="44" fontId="4" fillId="0" borderId="0" xfId="1" applyFont="1" applyBorder="1" applyProtection="1"/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1" fontId="14" fillId="7" borderId="11" xfId="7" applyNumberFormat="1" applyFont="1" applyBorder="1" applyAlignment="1" applyProtection="1">
      <alignment horizontal="center" vertical="center"/>
    </xf>
    <xf numFmtId="0" fontId="14" fillId="7" borderId="4" xfId="7" applyFont="1" applyBorder="1" applyAlignment="1" applyProtection="1">
      <alignment horizontal="center"/>
    </xf>
    <xf numFmtId="1" fontId="14" fillId="7" borderId="4" xfId="7" applyNumberFormat="1" applyFont="1" applyBorder="1" applyAlignment="1" applyProtection="1">
      <alignment horizontal="center" vertical="center"/>
    </xf>
    <xf numFmtId="9" fontId="14" fillId="7" borderId="4" xfId="7" applyNumberFormat="1" applyFont="1" applyBorder="1" applyAlignment="1" applyProtection="1">
      <alignment horizontal="center"/>
    </xf>
    <xf numFmtId="44" fontId="13" fillId="7" borderId="4" xfId="7" applyNumberFormat="1" applyFont="1" applyBorder="1" applyAlignment="1" applyProtection="1">
      <alignment horizontal="center" vertical="center"/>
    </xf>
    <xf numFmtId="44" fontId="13" fillId="7" borderId="4" xfId="7" applyNumberFormat="1" applyFont="1" applyBorder="1" applyAlignment="1" applyProtection="1">
      <alignment horizontal="center"/>
    </xf>
    <xf numFmtId="2" fontId="14" fillId="7" borderId="4" xfId="7" applyNumberFormat="1" applyFont="1" applyBorder="1" applyAlignment="1" applyProtection="1">
      <alignment horizontal="center" vertical="center"/>
    </xf>
    <xf numFmtId="44" fontId="14" fillId="7" borderId="4" xfId="7" applyNumberFormat="1" applyFont="1" applyBorder="1" applyAlignment="1" applyProtection="1">
      <alignment horizontal="center"/>
    </xf>
    <xf numFmtId="0" fontId="13" fillId="4" borderId="4" xfId="0" applyFont="1" applyFill="1" applyBorder="1" applyAlignment="1" applyProtection="1">
      <alignment horizontal="center"/>
      <protection locked="0"/>
    </xf>
    <xf numFmtId="44" fontId="14" fillId="7" borderId="3" xfId="7" applyNumberFormat="1" applyFont="1" applyBorder="1" applyAlignment="1" applyProtection="1">
      <alignment horizontal="center"/>
    </xf>
    <xf numFmtId="44" fontId="14" fillId="7" borderId="11" xfId="7" applyNumberFormat="1" applyFont="1" applyBorder="1" applyAlignment="1" applyProtection="1">
      <alignment horizontal="center"/>
    </xf>
    <xf numFmtId="44" fontId="13" fillId="8" borderId="4" xfId="1" applyFont="1" applyFill="1" applyBorder="1" applyAlignment="1" applyProtection="1">
      <alignment horizontal="center" vertical="center"/>
    </xf>
    <xf numFmtId="44" fontId="13" fillId="8" borderId="4" xfId="1" applyFont="1" applyFill="1" applyBorder="1" applyAlignment="1" applyProtection="1">
      <alignment horizontal="center"/>
    </xf>
    <xf numFmtId="44" fontId="14" fillId="8" borderId="4" xfId="1" applyFont="1" applyFill="1" applyBorder="1" applyAlignment="1" applyProtection="1">
      <alignment horizontal="center"/>
    </xf>
    <xf numFmtId="44" fontId="14" fillId="8" borderId="3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8" borderId="0" xfId="1" applyNumberFormat="1" applyFont="1" applyFill="1" applyBorder="1" applyAlignment="1" applyProtection="1">
      <alignment horizontal="center"/>
    </xf>
    <xf numFmtId="44" fontId="13" fillId="8" borderId="0" xfId="1" applyFont="1" applyFill="1" applyBorder="1" applyAlignment="1" applyProtection="1">
      <alignment horizontal="center" vertical="center"/>
    </xf>
    <xf numFmtId="44" fontId="13" fillId="8" borderId="0" xfId="1" applyFont="1" applyFill="1" applyBorder="1" applyAlignment="1" applyProtection="1">
      <alignment horizontal="center"/>
    </xf>
    <xf numFmtId="44" fontId="14" fillId="8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center" vertical="center" wrapText="1"/>
    </xf>
    <xf numFmtId="1" fontId="14" fillId="8" borderId="4" xfId="0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/>
    </xf>
    <xf numFmtId="9" fontId="14" fillId="8" borderId="4" xfId="0" applyNumberFormat="1" applyFont="1" applyFill="1" applyBorder="1" applyAlignment="1">
      <alignment horizontal="center"/>
    </xf>
    <xf numFmtId="2" fontId="14" fillId="8" borderId="4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3" fillId="8" borderId="0" xfId="0" applyFont="1" applyFill="1" applyAlignment="1">
      <alignment horizontal="left" vertical="center"/>
    </xf>
    <xf numFmtId="0" fontId="13" fillId="0" borderId="0" xfId="0" applyFont="1"/>
    <xf numFmtId="1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9" fontId="14" fillId="8" borderId="0" xfId="0" applyNumberFormat="1" applyFont="1" applyFill="1" applyAlignment="1">
      <alignment horizontal="center"/>
    </xf>
    <xf numFmtId="2" fontId="14" fillId="8" borderId="0" xfId="0" applyNumberFormat="1" applyFont="1" applyFill="1" applyAlignment="1">
      <alignment horizontal="center" vertical="center"/>
    </xf>
    <xf numFmtId="0" fontId="4" fillId="0" borderId="5" xfId="0" applyFont="1" applyBorder="1"/>
    <xf numFmtId="0" fontId="3" fillId="0" borderId="6" xfId="0" applyFont="1" applyBorder="1"/>
    <xf numFmtId="3" fontId="3" fillId="0" borderId="6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2" borderId="0" xfId="1" applyFont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ont="1" applyFill="1" applyAlignment="1">
      <alignment horizontal="center" vertical="center"/>
    </xf>
    <xf numFmtId="164" fontId="1" fillId="13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0" fontId="20" fillId="0" borderId="8" xfId="0" applyFont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44" fontId="22" fillId="10" borderId="0" xfId="1" applyFont="1" applyFill="1" applyBorder="1"/>
    <xf numFmtId="44" fontId="22" fillId="10" borderId="0" xfId="0" applyNumberFormat="1" applyFont="1" applyFill="1"/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10" fillId="15" borderId="4" xfId="5" applyFill="1" applyBorder="1" applyAlignment="1">
      <alignment horizontal="center" vertical="center"/>
    </xf>
    <xf numFmtId="8" fontId="1" fillId="16" borderId="4" xfId="6" applyNumberFormat="1" applyFill="1" applyBorder="1"/>
    <xf numFmtId="44" fontId="1" fillId="16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7" borderId="11" xfId="7" applyFont="1" applyBorder="1" applyAlignment="1" applyProtection="1">
      <alignment horizontal="center"/>
    </xf>
    <xf numFmtId="9" fontId="14" fillId="7" borderId="11" xfId="7" applyNumberFormat="1" applyFont="1" applyBorder="1" applyAlignment="1" applyProtection="1">
      <alignment horizontal="center"/>
    </xf>
    <xf numFmtId="44" fontId="13" fillId="7" borderId="11" xfId="7" applyNumberFormat="1" applyFont="1" applyBorder="1" applyAlignment="1" applyProtection="1">
      <alignment horizontal="center" vertical="center"/>
    </xf>
    <xf numFmtId="44" fontId="13" fillId="7" borderId="11" xfId="7" applyNumberFormat="1" applyFont="1" applyBorder="1" applyAlignment="1" applyProtection="1">
      <alignment horizontal="center"/>
    </xf>
    <xf numFmtId="0" fontId="13" fillId="4" borderId="11" xfId="0" applyFont="1" applyFill="1" applyBorder="1" applyAlignment="1" applyProtection="1">
      <alignment horizontal="center"/>
      <protection locked="0"/>
    </xf>
    <xf numFmtId="44" fontId="14" fillId="7" borderId="9" xfId="7" applyNumberFormat="1" applyFont="1" applyBorder="1" applyAlignment="1" applyProtection="1">
      <alignment horizontal="center"/>
    </xf>
    <xf numFmtId="2" fontId="23" fillId="7" borderId="11" xfId="7" applyNumberFormat="1" applyFont="1" applyBorder="1" applyAlignment="1" applyProtection="1">
      <alignment horizontal="center" vertical="center"/>
    </xf>
    <xf numFmtId="2" fontId="23" fillId="8" borderId="4" xfId="0" applyNumberFormat="1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44" fontId="11" fillId="17" borderId="0" xfId="1" applyFont="1" applyFill="1" applyBorder="1"/>
    <xf numFmtId="44" fontId="22" fillId="18" borderId="0" xfId="1" applyFont="1" applyFill="1" applyBorder="1"/>
    <xf numFmtId="44" fontId="22" fillId="18" borderId="0" xfId="0" applyNumberFormat="1" applyFont="1" applyFill="1"/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1" fillId="14" borderId="0" xfId="0" applyFont="1" applyFill="1"/>
    <xf numFmtId="0" fontId="7" fillId="2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2" fontId="14" fillId="0" borderId="4" xfId="7" applyNumberFormat="1" applyFont="1" applyFill="1" applyBorder="1" applyAlignment="1" applyProtection="1">
      <alignment horizontal="center" vertical="center"/>
    </xf>
    <xf numFmtId="44" fontId="12" fillId="24" borderId="0" xfId="0" applyNumberFormat="1" applyFont="1" applyFill="1"/>
    <xf numFmtId="0" fontId="17" fillId="15" borderId="0" xfId="0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44" fontId="22" fillId="0" borderId="0" xfId="1" applyFont="1" applyFill="1" applyBorder="1"/>
    <xf numFmtId="44" fontId="24" fillId="0" borderId="0" xfId="1" applyFont="1" applyFill="1" applyBorder="1"/>
    <xf numFmtId="0" fontId="11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5" fillId="24" borderId="0" xfId="0" applyNumberFormat="1" applyFont="1" applyFill="1"/>
    <xf numFmtId="0" fontId="0" fillId="14" borderId="0" xfId="0" applyFill="1"/>
    <xf numFmtId="0" fontId="17" fillId="14" borderId="0" xfId="0" applyFont="1" applyFill="1"/>
    <xf numFmtId="1" fontId="14" fillId="7" borderId="3" xfId="7" applyNumberFormat="1" applyFont="1" applyBorder="1" applyAlignment="1" applyProtection="1">
      <alignment horizontal="center" vertical="center"/>
    </xf>
    <xf numFmtId="1" fontId="14" fillId="7" borderId="1" xfId="7" applyNumberFormat="1" applyFont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1" fontId="14" fillId="0" borderId="4" xfId="7" applyNumberFormat="1" applyFont="1" applyFill="1" applyBorder="1" applyAlignment="1" applyProtection="1">
      <alignment horizontal="center" vertical="center"/>
    </xf>
    <xf numFmtId="0" fontId="14" fillId="0" borderId="4" xfId="7" applyFont="1" applyFill="1" applyBorder="1" applyAlignment="1" applyProtection="1">
      <alignment horizontal="center"/>
    </xf>
    <xf numFmtId="44" fontId="13" fillId="0" borderId="4" xfId="7" applyNumberFormat="1" applyFont="1" applyFill="1" applyBorder="1" applyAlignment="1" applyProtection="1">
      <alignment horizontal="center" vertical="center"/>
    </xf>
    <xf numFmtId="9" fontId="14" fillId="0" borderId="4" xfId="7" applyNumberFormat="1" applyFont="1" applyFill="1" applyBorder="1" applyAlignment="1" applyProtection="1">
      <alignment horizontal="center"/>
    </xf>
    <xf numFmtId="44" fontId="13" fillId="0" borderId="4" xfId="7" applyNumberFormat="1" applyFont="1" applyFill="1" applyBorder="1" applyAlignment="1" applyProtection="1">
      <alignment horizontal="center"/>
    </xf>
    <xf numFmtId="44" fontId="14" fillId="0" borderId="4" xfId="7" applyNumberFormat="1" applyFont="1" applyFill="1" applyBorder="1" applyAlignment="1" applyProtection="1">
      <alignment horizontal="center"/>
    </xf>
    <xf numFmtId="44" fontId="14" fillId="0" borderId="3" xfId="7" applyNumberFormat="1" applyFont="1" applyFill="1" applyBorder="1" applyAlignment="1" applyProtection="1">
      <alignment horizontal="center"/>
    </xf>
    <xf numFmtId="0" fontId="13" fillId="0" borderId="3" xfId="7" applyFont="1" applyFill="1" applyBorder="1" applyAlignment="1" applyProtection="1">
      <alignment vertical="center"/>
    </xf>
    <xf numFmtId="0" fontId="13" fillId="0" borderId="2" xfId="7" applyFont="1" applyFill="1" applyBorder="1" applyAlignment="1" applyProtection="1">
      <alignment vertical="center"/>
    </xf>
    <xf numFmtId="1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44" fontId="13" fillId="0" borderId="4" xfId="1" applyFont="1" applyFill="1" applyBorder="1" applyAlignment="1" applyProtection="1">
      <alignment horizontal="center" vertical="center"/>
    </xf>
    <xf numFmtId="9" fontId="14" fillId="0" borderId="4" xfId="0" applyNumberFormat="1" applyFont="1" applyBorder="1" applyAlignment="1">
      <alignment horizontal="center"/>
    </xf>
    <xf numFmtId="2" fontId="14" fillId="0" borderId="4" xfId="0" applyNumberFormat="1" applyFont="1" applyBorder="1" applyAlignment="1">
      <alignment horizontal="center" vertical="center"/>
    </xf>
    <xf numFmtId="44" fontId="14" fillId="0" borderId="3" xfId="1" applyFont="1" applyFill="1" applyBorder="1" applyAlignment="1" applyProtection="1">
      <alignment horizontal="center"/>
    </xf>
    <xf numFmtId="44" fontId="14" fillId="0" borderId="4" xfId="1" applyFont="1" applyFill="1" applyBorder="1" applyAlignment="1" applyProtection="1">
      <alignment horizontal="center"/>
    </xf>
    <xf numFmtId="0" fontId="13" fillId="7" borderId="3" xfId="7" applyFont="1" applyBorder="1" applyAlignment="1" applyProtection="1">
      <alignment vertical="center"/>
    </xf>
    <xf numFmtId="0" fontId="13" fillId="7" borderId="2" xfId="7" applyFont="1" applyBorder="1" applyAlignment="1" applyProtection="1">
      <alignment vertical="center"/>
    </xf>
    <xf numFmtId="1" fontId="14" fillId="26" borderId="4" xfId="0" applyNumberFormat="1" applyFont="1" applyFill="1" applyBorder="1" applyAlignment="1">
      <alignment horizontal="center" vertical="center"/>
    </xf>
    <xf numFmtId="0" fontId="14" fillId="26" borderId="4" xfId="0" applyFont="1" applyFill="1" applyBorder="1" applyAlignment="1">
      <alignment horizontal="center"/>
    </xf>
    <xf numFmtId="44" fontId="13" fillId="26" borderId="4" xfId="1" applyFont="1" applyFill="1" applyBorder="1" applyAlignment="1" applyProtection="1">
      <alignment horizontal="center" vertical="center"/>
    </xf>
    <xf numFmtId="9" fontId="14" fillId="26" borderId="4" xfId="0" applyNumberFormat="1" applyFont="1" applyFill="1" applyBorder="1" applyAlignment="1">
      <alignment horizontal="center"/>
    </xf>
    <xf numFmtId="2" fontId="14" fillId="26" borderId="4" xfId="0" applyNumberFormat="1" applyFont="1" applyFill="1" applyBorder="1" applyAlignment="1">
      <alignment horizontal="center" vertical="center"/>
    </xf>
    <xf numFmtId="44" fontId="14" fillId="26" borderId="3" xfId="1" applyFont="1" applyFill="1" applyBorder="1" applyAlignment="1" applyProtection="1">
      <alignment horizontal="center"/>
    </xf>
    <xf numFmtId="44" fontId="14" fillId="26" borderId="4" xfId="1" applyFont="1" applyFill="1" applyBorder="1" applyAlignment="1" applyProtection="1">
      <alignment horizontal="center"/>
    </xf>
    <xf numFmtId="0" fontId="26" fillId="0" borderId="0" xfId="0" applyFont="1"/>
    <xf numFmtId="0" fontId="27" fillId="0" borderId="8" xfId="0" applyFont="1" applyBorder="1" applyAlignment="1">
      <alignment horizontal="center" vertical="center"/>
    </xf>
    <xf numFmtId="0" fontId="27" fillId="13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4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wrapText="1"/>
    </xf>
    <xf numFmtId="0" fontId="13" fillId="8" borderId="0" xfId="0" applyFont="1" applyFill="1" applyAlignment="1" applyProtection="1">
      <alignment horizontal="center"/>
      <protection locked="0"/>
    </xf>
    <xf numFmtId="1" fontId="14" fillId="8" borderId="4" xfId="1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14" fillId="0" borderId="12" xfId="0" applyNumberFormat="1" applyFont="1" applyBorder="1" applyAlignment="1">
      <alignment wrapText="1"/>
    </xf>
    <xf numFmtId="1" fontId="14" fillId="0" borderId="1" xfId="0" applyNumberFormat="1" applyFont="1" applyBorder="1" applyAlignment="1">
      <alignment wrapText="1"/>
    </xf>
    <xf numFmtId="1" fontId="14" fillId="8" borderId="0" xfId="1" applyNumberFormat="1" applyFont="1" applyFill="1" applyBorder="1" applyAlignment="1" applyProtection="1">
      <alignment horizontal="center"/>
    </xf>
    <xf numFmtId="1" fontId="0" fillId="0" borderId="0" xfId="0" applyNumberFormat="1"/>
    <xf numFmtId="1" fontId="14" fillId="8" borderId="0" xfId="1" applyNumberFormat="1" applyFont="1" applyFill="1" applyBorder="1" applyAlignment="1" applyProtection="1">
      <alignment horizontal="center" vertical="center"/>
    </xf>
    <xf numFmtId="1" fontId="14" fillId="8" borderId="4" xfId="7" applyNumberFormat="1" applyFont="1" applyFill="1" applyBorder="1" applyAlignment="1" applyProtection="1">
      <alignment horizontal="center" vertical="center"/>
    </xf>
    <xf numFmtId="0" fontId="4" fillId="27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vertical="center"/>
    </xf>
    <xf numFmtId="44" fontId="13" fillId="8" borderId="4" xfId="7" applyNumberFormat="1" applyFont="1" applyFill="1" applyBorder="1" applyAlignment="1" applyProtection="1">
      <alignment horizontal="center"/>
    </xf>
    <xf numFmtId="44" fontId="14" fillId="8" borderId="4" xfId="7" applyNumberFormat="1" applyFont="1" applyFill="1" applyBorder="1" applyAlignment="1" applyProtection="1">
      <alignment horizontal="center"/>
    </xf>
    <xf numFmtId="44" fontId="13" fillId="8" borderId="4" xfId="7" applyNumberFormat="1" applyFont="1" applyFill="1" applyBorder="1" applyAlignment="1" applyProtection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3" fillId="7" borderId="3" xfId="7" applyFont="1" applyBorder="1" applyAlignment="1" applyProtection="1">
      <alignment horizontal="left" vertical="center"/>
    </xf>
    <xf numFmtId="0" fontId="13" fillId="7" borderId="2" xfId="7" applyFont="1" applyBorder="1" applyAlignment="1" applyProtection="1">
      <alignment horizontal="left" vertical="center"/>
    </xf>
    <xf numFmtId="0" fontId="13" fillId="0" borderId="2" xfId="0" applyFont="1" applyBorder="1"/>
    <xf numFmtId="0" fontId="13" fillId="0" borderId="3" xfId="7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13" fillId="7" borderId="9" xfId="7" applyFont="1" applyBorder="1" applyAlignment="1" applyProtection="1">
      <alignment horizontal="left" vertical="center"/>
    </xf>
    <xf numFmtId="0" fontId="13" fillId="0" borderId="10" xfId="0" applyFont="1" applyBorder="1"/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0C8D78-B4F5-4D14-9F50-B39F3017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0"/>
          <a:ext cx="1543055" cy="6743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Relationship Id="rId1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https://papapacombr.sharepoint.com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Planilha1"/>
      <sheetName val="ST BISCOITINHOS"/>
      <sheetName val="ST PAPAPASTA"/>
      <sheetName val="ST PALITINHOS"/>
      <sheetName val="ST EXTRUSADOS"/>
      <sheetName val="ST BISCOTTI"/>
      <sheetName val="ST CEREAL"/>
      <sheetName val="ST CEREAL SABOR POUCH 170"/>
      <sheetName val="ST MULTI 170 POUCH"/>
      <sheetName val="ST MULTI 500 POUCH"/>
      <sheetName val="ST RECHEADOS"/>
      <sheetName val="PREÇOS"/>
      <sheetName val="PSC"/>
    </sheetNames>
    <sheetDataSet>
      <sheetData sheetId="0" refreshError="1"/>
      <sheetData sheetId="1" refreshError="1"/>
      <sheetData sheetId="2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0.04</v>
          </cell>
        </row>
        <row r="3">
          <cell r="A3" t="str">
            <v>AL</v>
          </cell>
          <cell r="B3">
            <v>0.04</v>
          </cell>
        </row>
        <row r="4">
          <cell r="A4" t="str">
            <v>AM</v>
          </cell>
          <cell r="B4">
            <v>0.04</v>
          </cell>
        </row>
        <row r="5">
          <cell r="A5" t="str">
            <v>AP</v>
          </cell>
          <cell r="B5">
            <v>0.04</v>
          </cell>
        </row>
        <row r="6">
          <cell r="A6" t="str">
            <v>BA</v>
          </cell>
          <cell r="B6">
            <v>0.04</v>
          </cell>
        </row>
        <row r="7">
          <cell r="A7" t="str">
            <v>CE</v>
          </cell>
          <cell r="B7">
            <v>0.04</v>
          </cell>
        </row>
        <row r="8">
          <cell r="A8" t="str">
            <v>DF</v>
          </cell>
          <cell r="B8">
            <v>0.04</v>
          </cell>
        </row>
        <row r="9">
          <cell r="A9" t="str">
            <v>ES</v>
          </cell>
          <cell r="B9">
            <v>0.04</v>
          </cell>
        </row>
        <row r="10">
          <cell r="A10" t="str">
            <v>GO</v>
          </cell>
          <cell r="B10">
            <v>0.04</v>
          </cell>
        </row>
        <row r="11">
          <cell r="A11" t="str">
            <v>MA</v>
          </cell>
          <cell r="B11">
            <v>0.04</v>
          </cell>
        </row>
        <row r="12">
          <cell r="A12" t="str">
            <v>MG</v>
          </cell>
          <cell r="B12">
            <v>0.04</v>
          </cell>
        </row>
        <row r="13">
          <cell r="A13" t="str">
            <v>MS</v>
          </cell>
          <cell r="B13">
            <v>0.04</v>
          </cell>
        </row>
        <row r="14">
          <cell r="A14" t="str">
            <v>MT</v>
          </cell>
          <cell r="B14">
            <v>0.04</v>
          </cell>
        </row>
        <row r="15">
          <cell r="A15" t="str">
            <v>PA</v>
          </cell>
          <cell r="B15">
            <v>0.04</v>
          </cell>
        </row>
        <row r="16">
          <cell r="A16" t="str">
            <v>PB</v>
          </cell>
          <cell r="B16">
            <v>0.04</v>
          </cell>
        </row>
        <row r="17">
          <cell r="A17" t="str">
            <v>PE</v>
          </cell>
          <cell r="B17">
            <v>0.04</v>
          </cell>
        </row>
        <row r="18">
          <cell r="A18" t="str">
            <v>PI</v>
          </cell>
          <cell r="B18">
            <v>0.04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0.04</v>
          </cell>
        </row>
        <row r="21">
          <cell r="A21" t="str">
            <v>RN</v>
          </cell>
          <cell r="B21">
            <v>0.04</v>
          </cell>
        </row>
        <row r="22">
          <cell r="A22" t="str">
            <v>RO</v>
          </cell>
          <cell r="B22">
            <v>0.04</v>
          </cell>
        </row>
        <row r="23">
          <cell r="A23" t="str">
            <v>RR</v>
          </cell>
          <cell r="B23">
            <v>0.04</v>
          </cell>
        </row>
        <row r="24">
          <cell r="A24" t="str">
            <v>RS</v>
          </cell>
          <cell r="B24">
            <v>0.04</v>
          </cell>
        </row>
        <row r="25">
          <cell r="A25" t="str">
            <v>SC</v>
          </cell>
          <cell r="B25">
            <v>0.04</v>
          </cell>
        </row>
        <row r="26">
          <cell r="A26" t="str">
            <v>SE</v>
          </cell>
          <cell r="B26">
            <v>0.04</v>
          </cell>
        </row>
        <row r="27">
          <cell r="A27" t="str">
            <v>SP</v>
          </cell>
          <cell r="B27">
            <v>0.04</v>
          </cell>
        </row>
        <row r="28">
          <cell r="A28" t="str">
            <v>SP/Atacado</v>
          </cell>
          <cell r="B28">
            <v>0.04</v>
          </cell>
        </row>
        <row r="29">
          <cell r="A29" t="str">
            <v>TO</v>
          </cell>
          <cell r="B29">
            <v>0.04</v>
          </cell>
        </row>
        <row r="30">
          <cell r="A30" t="str">
            <v>EX</v>
          </cell>
        </row>
      </sheetData>
      <sheetData sheetId="3" refreshError="1"/>
      <sheetData sheetId="4" refreshError="1"/>
      <sheetData sheetId="5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7.0000000000000007E-2</v>
          </cell>
          <cell r="D2"/>
          <cell r="E2"/>
          <cell r="F2"/>
          <cell r="G2"/>
          <cell r="H2">
            <v>5.2516129032258059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0.19</v>
          </cell>
          <cell r="D3">
            <v>0.54320000000000002</v>
          </cell>
          <cell r="E3"/>
          <cell r="F3">
            <v>0.79400000000000004</v>
          </cell>
          <cell r="G3"/>
          <cell r="H3">
            <v>5.2516129032258059</v>
          </cell>
          <cell r="I3">
            <v>1.4224518709677418</v>
          </cell>
          <cell r="J3">
            <v>1.4224518709677418</v>
          </cell>
        </row>
        <row r="4">
          <cell r="A4" t="str">
            <v>AM</v>
          </cell>
          <cell r="B4">
            <v>7.0000000000000007E-2</v>
          </cell>
          <cell r="C4">
            <v>0.18</v>
          </cell>
          <cell r="D4"/>
          <cell r="E4"/>
          <cell r="F4"/>
          <cell r="G4"/>
          <cell r="H4">
            <v>5.2516129032258059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>
            <v>0.41</v>
          </cell>
          <cell r="E5"/>
          <cell r="F5">
            <v>0.59909999999999997</v>
          </cell>
          <cell r="G5"/>
          <cell r="H5">
            <v>5.2516129032258059</v>
          </cell>
          <cell r="I5">
            <v>1.1440008516129032</v>
          </cell>
          <cell r="J5">
            <v>1.1440008516129032</v>
          </cell>
        </row>
        <row r="6">
          <cell r="A6" t="str">
            <v>BA</v>
          </cell>
          <cell r="B6">
            <v>7.0000000000000007E-2</v>
          </cell>
          <cell r="C6">
            <v>7.0000000000000007E-2</v>
          </cell>
          <cell r="D6"/>
          <cell r="E6"/>
          <cell r="F6"/>
          <cell r="G6"/>
          <cell r="H6">
            <v>5.2516129032258059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7.0000000000000007E-2</v>
          </cell>
          <cell r="D7"/>
          <cell r="E7"/>
          <cell r="F7"/>
          <cell r="G7"/>
          <cell r="H7">
            <v>5.2516129032258059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7.0000000000000007E-2</v>
          </cell>
          <cell r="D8"/>
          <cell r="E8"/>
          <cell r="F8"/>
          <cell r="G8"/>
          <cell r="H8">
            <v>5.2516129032258059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7.0000000000000007E-2</v>
          </cell>
          <cell r="D9"/>
          <cell r="E9"/>
          <cell r="F9"/>
          <cell r="G9"/>
          <cell r="H9">
            <v>5.2516129032258059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7.0000000000000007E-2</v>
          </cell>
          <cell r="D10"/>
          <cell r="E10"/>
          <cell r="F10"/>
          <cell r="G10"/>
          <cell r="H10">
            <v>5.2516129032258059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7.0000000000000007E-2</v>
          </cell>
          <cell r="D11"/>
          <cell r="E11"/>
          <cell r="F11"/>
          <cell r="G11"/>
          <cell r="H11">
            <v>5.2516129032258059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0.18</v>
          </cell>
          <cell r="D12">
            <v>0.4</v>
          </cell>
          <cell r="E12"/>
          <cell r="F12">
            <v>0.50239999999999996</v>
          </cell>
          <cell r="G12"/>
          <cell r="H12">
            <v>5.55</v>
          </cell>
          <cell r="I12">
            <v>0.83489759999999991</v>
          </cell>
          <cell r="J12">
            <v>0.83489759999999991</v>
          </cell>
        </row>
        <row r="13">
          <cell r="A13" t="str">
            <v>MS</v>
          </cell>
          <cell r="B13">
            <v>7.0000000000000007E-2</v>
          </cell>
          <cell r="C13">
            <v>7.0000000000000007E-2</v>
          </cell>
          <cell r="D13"/>
          <cell r="E13"/>
          <cell r="F13"/>
          <cell r="G13"/>
          <cell r="H13">
            <v>5.2516129032258059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>
            <v>0.45519999999999999</v>
          </cell>
          <cell r="E14"/>
          <cell r="F14">
            <v>0.63049999999999995</v>
          </cell>
          <cell r="G14"/>
          <cell r="H14">
            <v>5.2516129032258059</v>
          </cell>
          <cell r="I14">
            <v>1.0880554193548386</v>
          </cell>
          <cell r="J14">
            <v>1.0880554193548386</v>
          </cell>
        </row>
        <row r="15">
          <cell r="A15" t="str">
            <v>PA</v>
          </cell>
          <cell r="B15">
            <v>7.0000000000000007E-2</v>
          </cell>
          <cell r="C15">
            <v>7.0000000000000007E-2</v>
          </cell>
          <cell r="D15"/>
          <cell r="E15"/>
          <cell r="F15"/>
          <cell r="G15"/>
          <cell r="H15">
            <v>5.2516129032258059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7.0000000000000007E-2</v>
          </cell>
          <cell r="D16"/>
          <cell r="E16"/>
          <cell r="F16"/>
          <cell r="G16"/>
          <cell r="H16">
            <v>5.2516129032258059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7.0000000000000007E-2</v>
          </cell>
          <cell r="D17"/>
          <cell r="E17"/>
          <cell r="F17"/>
          <cell r="G17"/>
          <cell r="H17">
            <v>5.2516129032258059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7.0000000000000007E-2</v>
          </cell>
          <cell r="D18"/>
          <cell r="E18"/>
          <cell r="F18"/>
          <cell r="G18"/>
          <cell r="H18">
            <v>5.2516129032258059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0.19500000000000001</v>
          </cell>
          <cell r="D19">
            <v>0.54320000000000002</v>
          </cell>
          <cell r="E19">
            <v>0.16300000000000001</v>
          </cell>
          <cell r="F19">
            <v>0.68700000000000006</v>
          </cell>
          <cell r="G19">
            <v>0.1968</v>
          </cell>
          <cell r="H19">
            <v>5.55</v>
          </cell>
          <cell r="I19">
            <v>1.1597557500000002</v>
          </cell>
          <cell r="J19">
            <v>0.62923680000000015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>
            <v>0.4698</v>
          </cell>
          <cell r="E20"/>
          <cell r="F20">
            <v>0.65820000000000001</v>
          </cell>
          <cell r="G20"/>
          <cell r="H20">
            <v>5.55</v>
          </cell>
          <cell r="I20">
            <v>1.3586621999999999</v>
          </cell>
          <cell r="J20">
            <v>1.3586621999999999</v>
          </cell>
        </row>
        <row r="21">
          <cell r="A21" t="str">
            <v>RN</v>
          </cell>
          <cell r="B21">
            <v>7.0000000000000007E-2</v>
          </cell>
          <cell r="C21">
            <v>7.0000000000000007E-2</v>
          </cell>
          <cell r="D21"/>
          <cell r="E21"/>
          <cell r="F21"/>
          <cell r="G21"/>
          <cell r="H21">
            <v>5.2516129032258059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7.0000000000000007E-2</v>
          </cell>
          <cell r="D22"/>
          <cell r="E22"/>
          <cell r="F22"/>
          <cell r="G22"/>
          <cell r="H22">
            <v>5.2516129032258059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7.0000000000000007E-2</v>
          </cell>
          <cell r="D23"/>
          <cell r="E23"/>
          <cell r="F23"/>
          <cell r="G23"/>
          <cell r="H23">
            <v>5.2516129032258059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0.12</v>
          </cell>
          <cell r="D24"/>
          <cell r="E24"/>
          <cell r="F24"/>
          <cell r="G24"/>
          <cell r="H24">
            <v>5.55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0.12</v>
          </cell>
          <cell r="D25"/>
          <cell r="E25"/>
          <cell r="F25"/>
          <cell r="G25"/>
          <cell r="H25">
            <v>5.55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7.0000000000000007E-2</v>
          </cell>
          <cell r="D26"/>
          <cell r="E26"/>
          <cell r="F26"/>
          <cell r="G26"/>
          <cell r="H26">
            <v>5.2516129032258059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/>
          <cell r="E27"/>
          <cell r="F27"/>
          <cell r="G27"/>
          <cell r="H27">
            <v>5.55</v>
          </cell>
          <cell r="I27">
            <v>0</v>
          </cell>
          <cell r="J27">
            <v>0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5.55</v>
          </cell>
          <cell r="I28">
            <v>0</v>
          </cell>
          <cell r="J28">
            <v>0</v>
          </cell>
        </row>
        <row r="29">
          <cell r="A29" t="str">
            <v>TO</v>
          </cell>
          <cell r="B29">
            <v>7.0000000000000007E-2</v>
          </cell>
          <cell r="C29">
            <v>7.0000000000000007E-2</v>
          </cell>
          <cell r="D29"/>
          <cell r="E29"/>
          <cell r="F29"/>
          <cell r="G29"/>
          <cell r="H29">
            <v>5.2516129032258059</v>
          </cell>
          <cell r="I29">
            <v>0</v>
          </cell>
          <cell r="J29">
            <v>0</v>
          </cell>
        </row>
        <row r="30">
          <cell r="A30" t="str">
            <v>EX</v>
          </cell>
          <cell r="H30">
            <v>5.2516129032258059</v>
          </cell>
          <cell r="I30">
            <v>0</v>
          </cell>
          <cell r="J30">
            <v>0</v>
          </cell>
        </row>
      </sheetData>
      <sheetData sheetId="6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7.0000000000000007E-2</v>
          </cell>
        </row>
        <row r="3">
          <cell r="A3" t="str">
            <v>AL</v>
          </cell>
          <cell r="B3">
            <v>7.0000000000000007E-2</v>
          </cell>
        </row>
        <row r="4">
          <cell r="A4" t="str">
            <v>AM</v>
          </cell>
          <cell r="B4">
            <v>7.0000000000000007E-2</v>
          </cell>
        </row>
        <row r="5">
          <cell r="A5" t="str">
            <v>AP</v>
          </cell>
          <cell r="B5">
            <v>7.0000000000000007E-2</v>
          </cell>
        </row>
        <row r="6">
          <cell r="A6" t="str">
            <v>BA</v>
          </cell>
          <cell r="B6">
            <v>7.0000000000000007E-2</v>
          </cell>
        </row>
        <row r="7">
          <cell r="A7" t="str">
            <v>CE</v>
          </cell>
          <cell r="B7">
            <v>7.0000000000000007E-2</v>
          </cell>
        </row>
        <row r="8">
          <cell r="A8" t="str">
            <v>DF</v>
          </cell>
          <cell r="B8">
            <v>7.0000000000000007E-2</v>
          </cell>
        </row>
        <row r="9">
          <cell r="A9" t="str">
            <v>ES</v>
          </cell>
          <cell r="B9">
            <v>7.0000000000000007E-2</v>
          </cell>
        </row>
        <row r="10">
          <cell r="A10" t="str">
            <v>GO</v>
          </cell>
          <cell r="B10">
            <v>7.0000000000000007E-2</v>
          </cell>
        </row>
        <row r="11">
          <cell r="A11" t="str">
            <v>MA</v>
          </cell>
          <cell r="B11">
            <v>7.0000000000000007E-2</v>
          </cell>
        </row>
        <row r="12">
          <cell r="A12" t="str">
            <v>MG</v>
          </cell>
          <cell r="B12">
            <v>0.12</v>
          </cell>
        </row>
        <row r="13">
          <cell r="A13" t="str">
            <v>MS</v>
          </cell>
          <cell r="B13">
            <v>7.0000000000000007E-2</v>
          </cell>
        </row>
        <row r="14">
          <cell r="A14" t="str">
            <v>MT</v>
          </cell>
          <cell r="B14">
            <v>7.0000000000000007E-2</v>
          </cell>
        </row>
        <row r="15">
          <cell r="A15" t="str">
            <v>PA</v>
          </cell>
          <cell r="B15">
            <v>7.0000000000000007E-2</v>
          </cell>
        </row>
        <row r="16">
          <cell r="A16" t="str">
            <v>PB</v>
          </cell>
          <cell r="B16">
            <v>7.0000000000000007E-2</v>
          </cell>
        </row>
        <row r="17">
          <cell r="A17" t="str">
            <v>PE</v>
          </cell>
          <cell r="B17">
            <v>7.0000000000000007E-2</v>
          </cell>
        </row>
        <row r="18">
          <cell r="A18" t="str">
            <v>PI</v>
          </cell>
          <cell r="B18">
            <v>7.0000000000000007E-2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0.12</v>
          </cell>
        </row>
        <row r="21">
          <cell r="A21" t="str">
            <v>RN</v>
          </cell>
          <cell r="B21">
            <v>7.0000000000000007E-2</v>
          </cell>
        </row>
        <row r="22">
          <cell r="A22" t="str">
            <v>RO</v>
          </cell>
          <cell r="B22">
            <v>7.0000000000000007E-2</v>
          </cell>
        </row>
        <row r="23">
          <cell r="A23" t="str">
            <v>RR</v>
          </cell>
          <cell r="B23">
            <v>7.0000000000000007E-2</v>
          </cell>
        </row>
        <row r="24">
          <cell r="A24" t="str">
            <v>RS</v>
          </cell>
          <cell r="B24">
            <v>0.12</v>
          </cell>
        </row>
        <row r="25">
          <cell r="A25" t="str">
            <v>SC</v>
          </cell>
          <cell r="B25">
            <v>0.12</v>
          </cell>
        </row>
        <row r="26">
          <cell r="A26" t="str">
            <v>SE</v>
          </cell>
          <cell r="B26">
            <v>7.0000000000000007E-2</v>
          </cell>
        </row>
        <row r="27">
          <cell r="A27" t="str">
            <v>SP</v>
          </cell>
          <cell r="B27">
            <v>0.12</v>
          </cell>
        </row>
        <row r="28">
          <cell r="A28" t="str">
            <v>SP/Atacado</v>
          </cell>
          <cell r="B28">
            <v>0.12</v>
          </cell>
        </row>
        <row r="29">
          <cell r="A29" t="str">
            <v>TO</v>
          </cell>
          <cell r="B29">
            <v>7.0000000000000007E-2</v>
          </cell>
        </row>
        <row r="30">
          <cell r="A30" t="str">
            <v>EX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0.19</v>
          </cell>
          <cell r="D2"/>
          <cell r="E2"/>
          <cell r="F2"/>
          <cell r="G2"/>
          <cell r="H2">
            <v>5.8666666666666671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0.2</v>
          </cell>
          <cell r="D3"/>
          <cell r="E3"/>
          <cell r="F3">
            <v>0.51129999999999998</v>
          </cell>
          <cell r="G3"/>
          <cell r="H3">
            <v>5.8666666666666671</v>
          </cell>
          <cell r="I3">
            <v>1.362592</v>
          </cell>
          <cell r="J3">
            <v>1.362592</v>
          </cell>
        </row>
        <row r="4">
          <cell r="A4" t="str">
            <v>AM</v>
          </cell>
          <cell r="B4">
            <v>7.0000000000000007E-2</v>
          </cell>
          <cell r="C4">
            <v>0.2</v>
          </cell>
          <cell r="D4"/>
          <cell r="E4"/>
          <cell r="F4"/>
          <cell r="G4"/>
          <cell r="H4">
            <v>5.8666666666666671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/>
          <cell r="E5"/>
          <cell r="F5">
            <v>0.51980000000000004</v>
          </cell>
          <cell r="G5"/>
          <cell r="H5">
            <v>5.8666666666666671</v>
          </cell>
          <cell r="I5">
            <v>1.1942421333333335</v>
          </cell>
          <cell r="J5">
            <v>1.1942421333333335</v>
          </cell>
        </row>
        <row r="6">
          <cell r="A6" t="str">
            <v>BA</v>
          </cell>
          <cell r="B6">
            <v>7.0000000000000007E-2</v>
          </cell>
          <cell r="C6">
            <v>0.19</v>
          </cell>
          <cell r="D6"/>
          <cell r="E6"/>
          <cell r="F6"/>
          <cell r="G6"/>
          <cell r="H6">
            <v>5.8666666666666671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0.2</v>
          </cell>
          <cell r="D7"/>
          <cell r="E7"/>
          <cell r="F7"/>
          <cell r="G7"/>
          <cell r="H7">
            <v>5.8666666666666671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0.18</v>
          </cell>
          <cell r="D8"/>
          <cell r="E8"/>
          <cell r="F8"/>
          <cell r="G8"/>
          <cell r="H8">
            <v>5.8666666666666671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0.17</v>
          </cell>
          <cell r="D9"/>
          <cell r="E9"/>
          <cell r="F9"/>
          <cell r="G9"/>
          <cell r="H9">
            <v>5.8666666666666671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0.17</v>
          </cell>
          <cell r="D10"/>
          <cell r="E10"/>
          <cell r="F10"/>
          <cell r="G10"/>
          <cell r="H10">
            <v>5.8666666666666671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0.2</v>
          </cell>
          <cell r="D11"/>
          <cell r="E11"/>
          <cell r="F11"/>
          <cell r="G11"/>
          <cell r="H11">
            <v>5.8666666666666671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0.12</v>
          </cell>
          <cell r="D12"/>
          <cell r="E12"/>
          <cell r="F12">
            <v>0.25</v>
          </cell>
          <cell r="G12"/>
          <cell r="H12">
            <v>6.2</v>
          </cell>
          <cell r="I12">
            <v>0.18599999999999994</v>
          </cell>
          <cell r="J12">
            <v>0.18599999999999994</v>
          </cell>
        </row>
        <row r="13">
          <cell r="A13" t="str">
            <v>MS</v>
          </cell>
          <cell r="B13">
            <v>7.0000000000000007E-2</v>
          </cell>
          <cell r="C13">
            <v>0.17</v>
          </cell>
          <cell r="D13"/>
          <cell r="E13"/>
          <cell r="F13"/>
          <cell r="G13"/>
          <cell r="H13">
            <v>5.8666666666666671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/>
          <cell r="E14"/>
          <cell r="F14">
            <v>0.39779999999999999</v>
          </cell>
          <cell r="G14"/>
          <cell r="H14">
            <v>5.8666666666666671</v>
          </cell>
          <cell r="I14">
            <v>0.98340586666666674</v>
          </cell>
          <cell r="J14">
            <v>0.98340586666666674</v>
          </cell>
        </row>
        <row r="15">
          <cell r="A15" t="str">
            <v>PA</v>
          </cell>
          <cell r="B15">
            <v>7.0000000000000007E-2</v>
          </cell>
          <cell r="C15">
            <v>0.19</v>
          </cell>
          <cell r="D15"/>
          <cell r="E15"/>
          <cell r="F15"/>
          <cell r="G15"/>
          <cell r="H15">
            <v>5.8666666666666671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0.18</v>
          </cell>
          <cell r="D16"/>
          <cell r="E16"/>
          <cell r="F16"/>
          <cell r="G16"/>
          <cell r="H16">
            <v>5.8666666666666671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0.18</v>
          </cell>
          <cell r="D17"/>
          <cell r="E17"/>
          <cell r="F17"/>
          <cell r="G17"/>
          <cell r="H17">
            <v>5.8666666666666671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0.21</v>
          </cell>
          <cell r="D18"/>
          <cell r="E18"/>
          <cell r="F18"/>
          <cell r="G18"/>
          <cell r="H18">
            <v>5.8666666666666671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0.12</v>
          </cell>
          <cell r="D19"/>
          <cell r="E19"/>
          <cell r="F19"/>
          <cell r="G19"/>
          <cell r="H19">
            <v>6.2</v>
          </cell>
          <cell r="I19">
            <v>0</v>
          </cell>
          <cell r="J19">
            <v>0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/>
          <cell r="E20"/>
          <cell r="F20">
            <v>0.52529999999999999</v>
          </cell>
          <cell r="G20"/>
          <cell r="H20">
            <v>6.2</v>
          </cell>
          <cell r="I20">
            <v>1.3365092000000003</v>
          </cell>
          <cell r="J20">
            <v>1.3365092000000003</v>
          </cell>
        </row>
        <row r="21">
          <cell r="A21" t="str">
            <v>RN</v>
          </cell>
          <cell r="B21">
            <v>7.0000000000000007E-2</v>
          </cell>
          <cell r="C21">
            <v>0.2</v>
          </cell>
          <cell r="D21"/>
          <cell r="E21"/>
          <cell r="F21"/>
          <cell r="G21"/>
          <cell r="H21">
            <v>5.8666666666666671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0.17499999999999999</v>
          </cell>
          <cell r="D22"/>
          <cell r="E22"/>
          <cell r="F22"/>
          <cell r="G22"/>
          <cell r="H22">
            <v>5.8666666666666671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0.2</v>
          </cell>
          <cell r="D23"/>
          <cell r="E23"/>
          <cell r="F23"/>
          <cell r="G23"/>
          <cell r="H23">
            <v>5.8666666666666671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0.17</v>
          </cell>
          <cell r="D24"/>
          <cell r="E24"/>
          <cell r="F24"/>
          <cell r="G24"/>
          <cell r="H24">
            <v>6.2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0.17</v>
          </cell>
          <cell r="D25"/>
          <cell r="E25"/>
          <cell r="F25"/>
          <cell r="G25"/>
          <cell r="H25">
            <v>6.2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0.2</v>
          </cell>
          <cell r="D26"/>
          <cell r="E26"/>
          <cell r="F26"/>
          <cell r="G26"/>
          <cell r="H26">
            <v>5.8666666666666671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>
            <v>0.5917</v>
          </cell>
          <cell r="E27"/>
          <cell r="F27">
            <v>0.5917</v>
          </cell>
          <cell r="G27"/>
          <cell r="H27">
            <v>6.2</v>
          </cell>
          <cell r="I27">
            <v>1.0323371999999997</v>
          </cell>
          <cell r="J27">
            <v>1.0323371999999997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0.48320000000000002</v>
          </cell>
          <cell r="E28">
            <v>0</v>
          </cell>
          <cell r="F28">
            <v>0.48320000000000002</v>
          </cell>
          <cell r="G28">
            <v>0</v>
          </cell>
          <cell r="H28">
            <v>6.2</v>
          </cell>
          <cell r="I28">
            <v>0.91125119999999993</v>
          </cell>
          <cell r="J28">
            <v>0.91125119999999993</v>
          </cell>
        </row>
        <row r="29">
          <cell r="A29" t="str">
            <v>TO</v>
          </cell>
          <cell r="B29">
            <v>7.0000000000000007E-2</v>
          </cell>
          <cell r="C29">
            <v>0.2</v>
          </cell>
          <cell r="D29"/>
          <cell r="E29"/>
          <cell r="F29"/>
          <cell r="G29"/>
          <cell r="H29">
            <v>5.8666666666666671</v>
          </cell>
          <cell r="I29">
            <v>0</v>
          </cell>
          <cell r="J29">
            <v>0</v>
          </cell>
        </row>
        <row r="30">
          <cell r="A30" t="str">
            <v>EX</v>
          </cell>
        </row>
      </sheetData>
      <sheetData sheetId="12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Babador</v>
          </cell>
          <cell r="U2" t="str">
            <v>Puer. Bolw</v>
          </cell>
          <cell r="V2" t="str">
            <v>Puer. Pratinho</v>
          </cell>
        </row>
        <row r="3">
          <cell r="A3" t="str">
            <v>AC</v>
          </cell>
          <cell r="B3">
            <v>5.17</v>
          </cell>
          <cell r="C3">
            <v>3.2</v>
          </cell>
          <cell r="D3">
            <v>10.876800000000001</v>
          </cell>
          <cell r="E3">
            <v>7.19</v>
          </cell>
          <cell r="F3">
            <v>9.9499999999999993</v>
          </cell>
          <cell r="G3">
            <v>7.05</v>
          </cell>
          <cell r="H3">
            <v>6.88</v>
          </cell>
          <cell r="I3">
            <v>7.3370000000000006</v>
          </cell>
          <cell r="J3">
            <v>5.7</v>
          </cell>
          <cell r="K3">
            <v>4.7</v>
          </cell>
          <cell r="L3">
            <v>12</v>
          </cell>
          <cell r="M3">
            <v>5.17</v>
          </cell>
          <cell r="N3">
            <v>11.025</v>
          </cell>
          <cell r="O3">
            <v>5.2516129032258059</v>
          </cell>
          <cell r="P3">
            <v>5.8666666666666671</v>
          </cell>
          <cell r="Q3">
            <v>3.3591397849462359</v>
          </cell>
          <cell r="R3">
            <v>3.9268817204301074</v>
          </cell>
          <cell r="S3">
            <v>16</v>
          </cell>
          <cell r="T3">
            <v>14</v>
          </cell>
          <cell r="U3">
            <v>18</v>
          </cell>
          <cell r="V3">
            <v>27.29</v>
          </cell>
        </row>
        <row r="4">
          <cell r="A4" t="str">
            <v>AL</v>
          </cell>
          <cell r="B4">
            <v>5.17</v>
          </cell>
          <cell r="C4">
            <v>3.2</v>
          </cell>
          <cell r="D4">
            <v>10.876800000000001</v>
          </cell>
          <cell r="E4">
            <v>7.19</v>
          </cell>
          <cell r="F4">
            <v>9.9499999999999993</v>
          </cell>
          <cell r="G4">
            <v>7.05</v>
          </cell>
          <cell r="H4">
            <v>6.88</v>
          </cell>
          <cell r="I4">
            <v>7.3370000000000006</v>
          </cell>
          <cell r="J4">
            <v>5.7</v>
          </cell>
          <cell r="K4">
            <v>4.7</v>
          </cell>
          <cell r="L4">
            <v>12</v>
          </cell>
          <cell r="M4">
            <v>5.17</v>
          </cell>
          <cell r="N4">
            <v>11.025</v>
          </cell>
          <cell r="O4">
            <v>5.2516129032258059</v>
          </cell>
          <cell r="P4">
            <v>5.8666666666666671</v>
          </cell>
          <cell r="Q4">
            <v>3.3591397849462359</v>
          </cell>
          <cell r="R4">
            <v>3.9268817204301074</v>
          </cell>
          <cell r="S4">
            <v>16</v>
          </cell>
          <cell r="T4">
            <v>14</v>
          </cell>
          <cell r="U4">
            <v>18</v>
          </cell>
          <cell r="V4">
            <v>27.29</v>
          </cell>
        </row>
        <row r="5">
          <cell r="A5" t="str">
            <v>AM</v>
          </cell>
          <cell r="B5">
            <v>5.17</v>
          </cell>
          <cell r="C5">
            <v>3.2</v>
          </cell>
          <cell r="D5">
            <v>10.876800000000001</v>
          </cell>
          <cell r="E5">
            <v>7.19</v>
          </cell>
          <cell r="F5">
            <v>9.9499999999999993</v>
          </cell>
          <cell r="G5">
            <v>7.05</v>
          </cell>
          <cell r="H5">
            <v>6.88</v>
          </cell>
          <cell r="I5">
            <v>7.3370000000000006</v>
          </cell>
          <cell r="J5">
            <v>5.7</v>
          </cell>
          <cell r="K5">
            <v>4.7</v>
          </cell>
          <cell r="L5">
            <v>12</v>
          </cell>
          <cell r="M5">
            <v>5.17</v>
          </cell>
          <cell r="N5">
            <v>11.025</v>
          </cell>
          <cell r="O5">
            <v>5.2516129032258059</v>
          </cell>
          <cell r="P5">
            <v>5.8666666666666671</v>
          </cell>
          <cell r="Q5">
            <v>3.3591397849462359</v>
          </cell>
          <cell r="R5">
            <v>3.9268817204301074</v>
          </cell>
          <cell r="S5">
            <v>16</v>
          </cell>
          <cell r="T5">
            <v>14</v>
          </cell>
          <cell r="U5">
            <v>18</v>
          </cell>
          <cell r="V5">
            <v>27.29</v>
          </cell>
        </row>
        <row r="6">
          <cell r="A6" t="str">
            <v>AP</v>
          </cell>
          <cell r="B6">
            <v>5.17</v>
          </cell>
          <cell r="C6">
            <v>3.2</v>
          </cell>
          <cell r="D6">
            <v>10.876800000000001</v>
          </cell>
          <cell r="E6">
            <v>7.19</v>
          </cell>
          <cell r="F6">
            <v>9.9499999999999993</v>
          </cell>
          <cell r="G6">
            <v>7.05</v>
          </cell>
          <cell r="H6">
            <v>6.88</v>
          </cell>
          <cell r="I6">
            <v>7.3370000000000006</v>
          </cell>
          <cell r="J6">
            <v>5.7</v>
          </cell>
          <cell r="K6">
            <v>4.7</v>
          </cell>
          <cell r="L6">
            <v>12</v>
          </cell>
          <cell r="M6">
            <v>5.17</v>
          </cell>
          <cell r="N6">
            <v>11.025</v>
          </cell>
          <cell r="O6">
            <v>5.2516129032258059</v>
          </cell>
          <cell r="P6">
            <v>5.8666666666666671</v>
          </cell>
          <cell r="Q6">
            <v>3.3591397849462359</v>
          </cell>
          <cell r="R6">
            <v>3.9268817204301074</v>
          </cell>
          <cell r="S6">
            <v>16</v>
          </cell>
          <cell r="T6">
            <v>14</v>
          </cell>
          <cell r="U6">
            <v>18</v>
          </cell>
          <cell r="V6">
            <v>27.29</v>
          </cell>
        </row>
        <row r="7">
          <cell r="A7" t="str">
            <v>BA</v>
          </cell>
          <cell r="B7">
            <v>5.17</v>
          </cell>
          <cell r="C7">
            <v>3.2</v>
          </cell>
          <cell r="D7">
            <v>10.876800000000001</v>
          </cell>
          <cell r="E7">
            <v>7.19</v>
          </cell>
          <cell r="F7">
            <v>9.9499999999999993</v>
          </cell>
          <cell r="G7">
            <v>7.05</v>
          </cell>
          <cell r="H7">
            <v>6.88</v>
          </cell>
          <cell r="I7">
            <v>7.3370000000000006</v>
          </cell>
          <cell r="J7">
            <v>5.7</v>
          </cell>
          <cell r="K7">
            <v>4.7</v>
          </cell>
          <cell r="L7">
            <v>12</v>
          </cell>
          <cell r="M7">
            <v>5.17</v>
          </cell>
          <cell r="N7">
            <v>11.025</v>
          </cell>
          <cell r="O7">
            <v>5.2516129032258059</v>
          </cell>
          <cell r="P7">
            <v>5.8666666666666671</v>
          </cell>
          <cell r="Q7">
            <v>3.3591397849462359</v>
          </cell>
          <cell r="R7">
            <v>3.9268817204301074</v>
          </cell>
          <cell r="S7">
            <v>16</v>
          </cell>
          <cell r="T7">
            <v>14</v>
          </cell>
          <cell r="U7">
            <v>18</v>
          </cell>
          <cell r="V7">
            <v>27.29</v>
          </cell>
        </row>
        <row r="8">
          <cell r="A8" t="str">
            <v>CE</v>
          </cell>
          <cell r="B8">
            <v>5.17</v>
          </cell>
          <cell r="C8">
            <v>3.2</v>
          </cell>
          <cell r="D8">
            <v>10.876800000000001</v>
          </cell>
          <cell r="E8">
            <v>7.19</v>
          </cell>
          <cell r="F8">
            <v>9.9499999999999993</v>
          </cell>
          <cell r="G8">
            <v>7.05</v>
          </cell>
          <cell r="H8">
            <v>6.88</v>
          </cell>
          <cell r="I8">
            <v>7.3370000000000006</v>
          </cell>
          <cell r="J8">
            <v>5.7</v>
          </cell>
          <cell r="K8">
            <v>4.7</v>
          </cell>
          <cell r="L8">
            <v>12</v>
          </cell>
          <cell r="M8">
            <v>5.17</v>
          </cell>
          <cell r="N8">
            <v>11.025</v>
          </cell>
          <cell r="O8">
            <v>5.2516129032258059</v>
          </cell>
          <cell r="P8">
            <v>5.8666666666666671</v>
          </cell>
          <cell r="Q8">
            <v>3.3591397849462359</v>
          </cell>
          <cell r="R8">
            <v>3.9268817204301074</v>
          </cell>
          <cell r="S8">
            <v>16</v>
          </cell>
          <cell r="T8">
            <v>14</v>
          </cell>
          <cell r="U8">
            <v>18</v>
          </cell>
          <cell r="V8">
            <v>27.29</v>
          </cell>
        </row>
        <row r="9">
          <cell r="A9" t="str">
            <v>DF</v>
          </cell>
          <cell r="B9">
            <v>5.17</v>
          </cell>
          <cell r="C9">
            <v>3.2</v>
          </cell>
          <cell r="D9">
            <v>10.876800000000001</v>
          </cell>
          <cell r="E9">
            <v>7.19</v>
          </cell>
          <cell r="F9">
            <v>9.9499999999999993</v>
          </cell>
          <cell r="G9">
            <v>7.05</v>
          </cell>
          <cell r="H9">
            <v>6.88</v>
          </cell>
          <cell r="I9">
            <v>7.3370000000000006</v>
          </cell>
          <cell r="J9">
            <v>5.7</v>
          </cell>
          <cell r="K9">
            <v>4.7</v>
          </cell>
          <cell r="L9">
            <v>12</v>
          </cell>
          <cell r="M9">
            <v>5.17</v>
          </cell>
          <cell r="N9">
            <v>11.025</v>
          </cell>
          <cell r="O9">
            <v>5.2516129032258059</v>
          </cell>
          <cell r="P9">
            <v>5.8666666666666671</v>
          </cell>
          <cell r="Q9">
            <v>3.3591397849462359</v>
          </cell>
          <cell r="R9">
            <v>3.9268817204301074</v>
          </cell>
          <cell r="S9">
            <v>16</v>
          </cell>
          <cell r="T9">
            <v>14</v>
          </cell>
          <cell r="U9">
            <v>18</v>
          </cell>
          <cell r="V9">
            <v>27.29</v>
          </cell>
        </row>
        <row r="10">
          <cell r="A10" t="str">
            <v>ES</v>
          </cell>
          <cell r="B10">
            <v>5.17</v>
          </cell>
          <cell r="C10">
            <v>3.2</v>
          </cell>
          <cell r="D10">
            <v>10.876800000000001</v>
          </cell>
          <cell r="E10">
            <v>7.19</v>
          </cell>
          <cell r="F10">
            <v>9.9499999999999993</v>
          </cell>
          <cell r="G10">
            <v>7.05</v>
          </cell>
          <cell r="H10">
            <v>6.88</v>
          </cell>
          <cell r="I10">
            <v>7.3370000000000006</v>
          </cell>
          <cell r="J10">
            <v>5.2</v>
          </cell>
          <cell r="K10">
            <v>5.2</v>
          </cell>
          <cell r="L10">
            <v>12.78</v>
          </cell>
          <cell r="M10">
            <v>5.17</v>
          </cell>
          <cell r="N10">
            <v>11.025</v>
          </cell>
          <cell r="O10">
            <v>5.2516129032258059</v>
          </cell>
          <cell r="P10">
            <v>5.8666666666666671</v>
          </cell>
          <cell r="Q10">
            <v>3.3591397849462359</v>
          </cell>
          <cell r="R10">
            <v>3.9268817204301074</v>
          </cell>
          <cell r="S10">
            <v>16</v>
          </cell>
          <cell r="T10">
            <v>14</v>
          </cell>
          <cell r="U10">
            <v>18</v>
          </cell>
          <cell r="V10">
            <v>27.29</v>
          </cell>
        </row>
        <row r="11">
          <cell r="A11" t="str">
            <v>GO</v>
          </cell>
          <cell r="B11">
            <v>5.17</v>
          </cell>
          <cell r="C11">
            <v>3.2</v>
          </cell>
          <cell r="D11">
            <v>10.876800000000001</v>
          </cell>
          <cell r="E11">
            <v>7.19</v>
          </cell>
          <cell r="F11">
            <v>9.9499999999999993</v>
          </cell>
          <cell r="G11">
            <v>7.05</v>
          </cell>
          <cell r="H11">
            <v>6.88</v>
          </cell>
          <cell r="I11">
            <v>7.3370000000000006</v>
          </cell>
          <cell r="J11">
            <v>5.7</v>
          </cell>
          <cell r="K11">
            <v>4.7</v>
          </cell>
          <cell r="L11">
            <v>12</v>
          </cell>
          <cell r="M11">
            <v>5.17</v>
          </cell>
          <cell r="N11">
            <v>11.025</v>
          </cell>
          <cell r="O11">
            <v>5.2516129032258059</v>
          </cell>
          <cell r="P11">
            <v>5.8666666666666671</v>
          </cell>
          <cell r="Q11">
            <v>3.3591397849462359</v>
          </cell>
          <cell r="R11">
            <v>3.9268817204301074</v>
          </cell>
          <cell r="S11">
            <v>16</v>
          </cell>
          <cell r="T11">
            <v>14</v>
          </cell>
          <cell r="U11">
            <v>18</v>
          </cell>
          <cell r="V11">
            <v>27.29</v>
          </cell>
        </row>
        <row r="12">
          <cell r="A12" t="str">
            <v>MA</v>
          </cell>
          <cell r="B12">
            <v>5.17</v>
          </cell>
          <cell r="C12">
            <v>3.2</v>
          </cell>
          <cell r="D12">
            <v>10.876800000000001</v>
          </cell>
          <cell r="E12">
            <v>7.19</v>
          </cell>
          <cell r="F12">
            <v>9.9499999999999993</v>
          </cell>
          <cell r="G12">
            <v>7.05</v>
          </cell>
          <cell r="H12">
            <v>6.88</v>
          </cell>
          <cell r="I12">
            <v>7.3370000000000006</v>
          </cell>
          <cell r="J12">
            <v>5.7</v>
          </cell>
          <cell r="K12">
            <v>4.7</v>
          </cell>
          <cell r="L12">
            <v>12</v>
          </cell>
          <cell r="M12">
            <v>5.17</v>
          </cell>
          <cell r="N12">
            <v>11.025</v>
          </cell>
          <cell r="O12">
            <v>5.2516129032258059</v>
          </cell>
          <cell r="P12">
            <v>5.8666666666666671</v>
          </cell>
          <cell r="Q12">
            <v>3.3591397849462359</v>
          </cell>
          <cell r="R12">
            <v>3.9268817204301074</v>
          </cell>
          <cell r="S12">
            <v>16</v>
          </cell>
          <cell r="T12">
            <v>14</v>
          </cell>
          <cell r="U12">
            <v>18</v>
          </cell>
          <cell r="V12">
            <v>27.29</v>
          </cell>
        </row>
        <row r="13">
          <cell r="A13" t="str">
            <v>MG</v>
          </cell>
          <cell r="B13">
            <v>5.17</v>
          </cell>
          <cell r="C13">
            <v>3.41</v>
          </cell>
          <cell r="D13">
            <v>10.876800000000001</v>
          </cell>
          <cell r="E13">
            <v>7.67</v>
          </cell>
          <cell r="F13">
            <v>10.6</v>
          </cell>
          <cell r="G13">
            <v>7.5</v>
          </cell>
          <cell r="H13">
            <v>7.35</v>
          </cell>
          <cell r="I13">
            <v>7.3370000000000006</v>
          </cell>
          <cell r="J13">
            <v>5.5</v>
          </cell>
          <cell r="K13">
            <v>5.5</v>
          </cell>
          <cell r="L13">
            <v>13.5</v>
          </cell>
          <cell r="M13">
            <v>5.17</v>
          </cell>
          <cell r="N13">
            <v>11.76</v>
          </cell>
          <cell r="O13">
            <v>5.55</v>
          </cell>
          <cell r="P13">
            <v>6.2</v>
          </cell>
          <cell r="Q13">
            <v>3.55</v>
          </cell>
          <cell r="R13">
            <v>4.1500000000000004</v>
          </cell>
          <cell r="S13">
            <v>16</v>
          </cell>
          <cell r="T13">
            <v>14</v>
          </cell>
          <cell r="U13">
            <v>18</v>
          </cell>
          <cell r="V13">
            <v>27.29</v>
          </cell>
        </row>
        <row r="14">
          <cell r="A14" t="str">
            <v>MS</v>
          </cell>
          <cell r="B14">
            <v>5.17</v>
          </cell>
          <cell r="C14">
            <v>3.2</v>
          </cell>
          <cell r="D14">
            <v>10.876800000000001</v>
          </cell>
          <cell r="E14">
            <v>7.19</v>
          </cell>
          <cell r="F14">
            <v>9.9499999999999993</v>
          </cell>
          <cell r="G14">
            <v>7.05</v>
          </cell>
          <cell r="H14">
            <v>6.88</v>
          </cell>
          <cell r="I14">
            <v>7.3370000000000006</v>
          </cell>
          <cell r="J14">
            <v>5.7</v>
          </cell>
          <cell r="K14">
            <v>4.7</v>
          </cell>
          <cell r="L14">
            <v>12</v>
          </cell>
          <cell r="M14">
            <v>5.17</v>
          </cell>
          <cell r="N14">
            <v>11.025</v>
          </cell>
          <cell r="O14">
            <v>5.2516129032258059</v>
          </cell>
          <cell r="P14">
            <v>5.8666666666666671</v>
          </cell>
          <cell r="Q14">
            <v>3.3591397849462359</v>
          </cell>
          <cell r="R14">
            <v>3.9268817204301074</v>
          </cell>
          <cell r="S14">
            <v>16</v>
          </cell>
          <cell r="T14">
            <v>14</v>
          </cell>
          <cell r="U14">
            <v>18</v>
          </cell>
          <cell r="V14">
            <v>27.29</v>
          </cell>
        </row>
        <row r="15">
          <cell r="A15" t="str">
            <v>MT</v>
          </cell>
          <cell r="B15">
            <v>5.17</v>
          </cell>
          <cell r="C15">
            <v>3.2</v>
          </cell>
          <cell r="D15">
            <v>10.876800000000001</v>
          </cell>
          <cell r="E15">
            <v>7.19</v>
          </cell>
          <cell r="F15">
            <v>9.9499999999999993</v>
          </cell>
          <cell r="G15">
            <v>7.05</v>
          </cell>
          <cell r="H15">
            <v>6.88</v>
          </cell>
          <cell r="I15">
            <v>7.3370000000000006</v>
          </cell>
          <cell r="J15">
            <v>5.7</v>
          </cell>
          <cell r="K15">
            <v>4.7</v>
          </cell>
          <cell r="L15">
            <v>12</v>
          </cell>
          <cell r="M15">
            <v>5.17</v>
          </cell>
          <cell r="N15">
            <v>11.025</v>
          </cell>
          <cell r="O15">
            <v>5.2516129032258059</v>
          </cell>
          <cell r="P15">
            <v>5.8666666666666671</v>
          </cell>
          <cell r="Q15">
            <v>3.3591397849462359</v>
          </cell>
          <cell r="R15">
            <v>3.9268817204301074</v>
          </cell>
          <cell r="S15">
            <v>16</v>
          </cell>
          <cell r="T15">
            <v>14</v>
          </cell>
          <cell r="U15">
            <v>18</v>
          </cell>
          <cell r="V15">
            <v>27.29</v>
          </cell>
        </row>
        <row r="16">
          <cell r="A16" t="str">
            <v>PA</v>
          </cell>
          <cell r="B16">
            <v>5.17</v>
          </cell>
          <cell r="C16">
            <v>3.2</v>
          </cell>
          <cell r="D16">
            <v>10.876800000000001</v>
          </cell>
          <cell r="E16">
            <v>7.19</v>
          </cell>
          <cell r="F16">
            <v>9.9499999999999993</v>
          </cell>
          <cell r="G16">
            <v>7.05</v>
          </cell>
          <cell r="H16">
            <v>6.88</v>
          </cell>
          <cell r="I16">
            <v>7.3370000000000006</v>
          </cell>
          <cell r="J16">
            <v>5.7</v>
          </cell>
          <cell r="K16">
            <v>4.7</v>
          </cell>
          <cell r="L16">
            <v>12</v>
          </cell>
          <cell r="M16">
            <v>5.17</v>
          </cell>
          <cell r="N16">
            <v>11.025</v>
          </cell>
          <cell r="O16">
            <v>5.2516129032258059</v>
          </cell>
          <cell r="P16">
            <v>5.8666666666666671</v>
          </cell>
          <cell r="Q16">
            <v>3.3591397849462359</v>
          </cell>
          <cell r="R16">
            <v>3.9268817204301074</v>
          </cell>
          <cell r="S16">
            <v>16</v>
          </cell>
          <cell r="T16">
            <v>14</v>
          </cell>
          <cell r="U16">
            <v>18</v>
          </cell>
          <cell r="V16">
            <v>27.29</v>
          </cell>
        </row>
        <row r="17">
          <cell r="A17" t="str">
            <v>PB</v>
          </cell>
          <cell r="B17">
            <v>5.17</v>
          </cell>
          <cell r="C17">
            <v>3.2</v>
          </cell>
          <cell r="D17">
            <v>10.876800000000001</v>
          </cell>
          <cell r="E17">
            <v>7.19</v>
          </cell>
          <cell r="F17">
            <v>9.9499999999999993</v>
          </cell>
          <cell r="G17">
            <v>7.05</v>
          </cell>
          <cell r="H17">
            <v>6.88</v>
          </cell>
          <cell r="I17">
            <v>7.3370000000000006</v>
          </cell>
          <cell r="J17">
            <v>5.7</v>
          </cell>
          <cell r="K17">
            <v>4.7</v>
          </cell>
          <cell r="L17">
            <v>12</v>
          </cell>
          <cell r="M17">
            <v>5.17</v>
          </cell>
          <cell r="N17">
            <v>11.025</v>
          </cell>
          <cell r="O17">
            <v>5.2516129032258059</v>
          </cell>
          <cell r="P17">
            <v>5.8666666666666671</v>
          </cell>
          <cell r="Q17">
            <v>3.3591397849462359</v>
          </cell>
          <cell r="R17">
            <v>3.9268817204301074</v>
          </cell>
          <cell r="S17">
            <v>16</v>
          </cell>
          <cell r="T17">
            <v>14</v>
          </cell>
          <cell r="U17">
            <v>18</v>
          </cell>
          <cell r="V17">
            <v>27.29</v>
          </cell>
        </row>
        <row r="18">
          <cell r="A18" t="str">
            <v>PE</v>
          </cell>
          <cell r="B18">
            <v>5.17</v>
          </cell>
          <cell r="C18">
            <v>3.2</v>
          </cell>
          <cell r="D18">
            <v>10.876800000000001</v>
          </cell>
          <cell r="E18">
            <v>7.19</v>
          </cell>
          <cell r="F18">
            <v>9.9499999999999993</v>
          </cell>
          <cell r="G18">
            <v>7.05</v>
          </cell>
          <cell r="H18">
            <v>6.88</v>
          </cell>
          <cell r="I18">
            <v>7.3370000000000006</v>
          </cell>
          <cell r="J18">
            <v>5.7</v>
          </cell>
          <cell r="K18">
            <v>4.7</v>
          </cell>
          <cell r="L18">
            <v>12</v>
          </cell>
          <cell r="M18">
            <v>5.17</v>
          </cell>
          <cell r="N18">
            <v>11.025</v>
          </cell>
          <cell r="O18">
            <v>5.2516129032258059</v>
          </cell>
          <cell r="P18">
            <v>5.8666666666666671</v>
          </cell>
          <cell r="Q18">
            <v>3.3591397849462359</v>
          </cell>
          <cell r="R18">
            <v>3.9268817204301074</v>
          </cell>
          <cell r="S18">
            <v>16</v>
          </cell>
          <cell r="T18">
            <v>14</v>
          </cell>
          <cell r="U18">
            <v>18</v>
          </cell>
          <cell r="V18">
            <v>27.29</v>
          </cell>
        </row>
        <row r="19">
          <cell r="A19" t="str">
            <v>PI</v>
          </cell>
          <cell r="B19">
            <v>5.17</v>
          </cell>
          <cell r="C19">
            <v>3.2</v>
          </cell>
          <cell r="D19">
            <v>10.876800000000001</v>
          </cell>
          <cell r="E19">
            <v>7.19</v>
          </cell>
          <cell r="F19">
            <v>9.9499999999999993</v>
          </cell>
          <cell r="G19">
            <v>7.05</v>
          </cell>
          <cell r="H19">
            <v>6.88</v>
          </cell>
          <cell r="I19">
            <v>7.3370000000000006</v>
          </cell>
          <cell r="J19">
            <v>5.7</v>
          </cell>
          <cell r="K19">
            <v>4.7</v>
          </cell>
          <cell r="L19">
            <v>12</v>
          </cell>
          <cell r="M19">
            <v>5.17</v>
          </cell>
          <cell r="N19">
            <v>11.025</v>
          </cell>
          <cell r="O19">
            <v>5.2516129032258059</v>
          </cell>
          <cell r="P19">
            <v>5.8666666666666671</v>
          </cell>
          <cell r="Q19">
            <v>3.3591397849462359</v>
          </cell>
          <cell r="R19">
            <v>3.9268817204301074</v>
          </cell>
          <cell r="S19">
            <v>16</v>
          </cell>
          <cell r="T19">
            <v>14</v>
          </cell>
          <cell r="U19">
            <v>18</v>
          </cell>
          <cell r="V19">
            <v>27.29</v>
          </cell>
        </row>
        <row r="20">
          <cell r="A20" t="str">
            <v>PR</v>
          </cell>
          <cell r="B20">
            <v>5.62</v>
          </cell>
          <cell r="C20">
            <v>3.41</v>
          </cell>
          <cell r="D20">
            <v>11.917100000000001</v>
          </cell>
          <cell r="E20">
            <v>7.67</v>
          </cell>
          <cell r="F20">
            <v>10.6</v>
          </cell>
          <cell r="G20">
            <v>7.5</v>
          </cell>
          <cell r="H20">
            <v>7.35</v>
          </cell>
          <cell r="I20">
            <v>7.9750000000000005</v>
          </cell>
          <cell r="J20">
            <v>5.5</v>
          </cell>
          <cell r="K20">
            <v>5.5</v>
          </cell>
          <cell r="L20">
            <v>13.5</v>
          </cell>
          <cell r="M20">
            <v>5.62</v>
          </cell>
          <cell r="N20">
            <v>11.76</v>
          </cell>
          <cell r="O20">
            <v>5.55</v>
          </cell>
          <cell r="P20">
            <v>6.2</v>
          </cell>
          <cell r="Q20">
            <v>3.55</v>
          </cell>
          <cell r="R20">
            <v>4.1500000000000004</v>
          </cell>
          <cell r="S20">
            <v>17.09090909090909</v>
          </cell>
          <cell r="T20">
            <v>14.954545454545455</v>
          </cell>
          <cell r="U20">
            <v>19.227272727272727</v>
          </cell>
          <cell r="V20">
            <v>29.150681818181813</v>
          </cell>
        </row>
        <row r="21">
          <cell r="A21" t="str">
            <v>RJ</v>
          </cell>
          <cell r="B21">
            <v>5.17</v>
          </cell>
          <cell r="C21">
            <v>3.41</v>
          </cell>
          <cell r="D21">
            <v>10.876800000000001</v>
          </cell>
          <cell r="E21">
            <v>7.67</v>
          </cell>
          <cell r="F21">
            <v>10.6</v>
          </cell>
          <cell r="G21">
            <v>7.5</v>
          </cell>
          <cell r="H21">
            <v>7.35</v>
          </cell>
          <cell r="I21">
            <v>7.3370000000000006</v>
          </cell>
          <cell r="J21">
            <v>5.5</v>
          </cell>
          <cell r="K21">
            <v>5.5</v>
          </cell>
          <cell r="L21">
            <v>13.5</v>
          </cell>
          <cell r="M21">
            <v>5.17</v>
          </cell>
          <cell r="N21">
            <v>11.76</v>
          </cell>
          <cell r="O21">
            <v>5.55</v>
          </cell>
          <cell r="P21">
            <v>6.2</v>
          </cell>
          <cell r="Q21">
            <v>3.55</v>
          </cell>
          <cell r="R21">
            <v>4.1500000000000004</v>
          </cell>
          <cell r="S21">
            <v>16</v>
          </cell>
          <cell r="T21">
            <v>14</v>
          </cell>
          <cell r="U21">
            <v>18</v>
          </cell>
          <cell r="V21">
            <v>27.29</v>
          </cell>
        </row>
        <row r="22">
          <cell r="A22" t="str">
            <v>RN</v>
          </cell>
          <cell r="B22">
            <v>5.17</v>
          </cell>
          <cell r="C22">
            <v>3.2</v>
          </cell>
          <cell r="D22">
            <v>10.876800000000001</v>
          </cell>
          <cell r="E22">
            <v>7.19</v>
          </cell>
          <cell r="F22">
            <v>9.9499999999999993</v>
          </cell>
          <cell r="G22">
            <v>7.05</v>
          </cell>
          <cell r="H22">
            <v>6.88</v>
          </cell>
          <cell r="I22">
            <v>7.3370000000000006</v>
          </cell>
          <cell r="J22">
            <v>5.7</v>
          </cell>
          <cell r="K22">
            <v>4.7</v>
          </cell>
          <cell r="L22">
            <v>12</v>
          </cell>
          <cell r="M22">
            <v>5.17</v>
          </cell>
          <cell r="N22">
            <v>11.025</v>
          </cell>
          <cell r="O22">
            <v>5.2516129032258059</v>
          </cell>
          <cell r="P22">
            <v>5.8666666666666671</v>
          </cell>
          <cell r="Q22">
            <v>3.3591397849462359</v>
          </cell>
          <cell r="R22">
            <v>3.9268817204301074</v>
          </cell>
          <cell r="S22">
            <v>16</v>
          </cell>
          <cell r="T22">
            <v>14</v>
          </cell>
          <cell r="U22">
            <v>18</v>
          </cell>
          <cell r="V22">
            <v>27.29</v>
          </cell>
        </row>
        <row r="23">
          <cell r="A23" t="str">
            <v>RO</v>
          </cell>
          <cell r="B23">
            <v>5.17</v>
          </cell>
          <cell r="C23">
            <v>3.2</v>
          </cell>
          <cell r="D23">
            <v>10.876800000000001</v>
          </cell>
          <cell r="E23">
            <v>7.19</v>
          </cell>
          <cell r="F23">
            <v>9.9499999999999993</v>
          </cell>
          <cell r="G23">
            <v>7.05</v>
          </cell>
          <cell r="H23">
            <v>6.88</v>
          </cell>
          <cell r="I23">
            <v>7.3370000000000006</v>
          </cell>
          <cell r="J23">
            <v>5.7</v>
          </cell>
          <cell r="K23">
            <v>4.7</v>
          </cell>
          <cell r="L23">
            <v>12</v>
          </cell>
          <cell r="M23">
            <v>5.17</v>
          </cell>
          <cell r="N23">
            <v>11.025</v>
          </cell>
          <cell r="O23">
            <v>5.2516129032258059</v>
          </cell>
          <cell r="P23">
            <v>5.8666666666666671</v>
          </cell>
          <cell r="Q23">
            <v>3.3591397849462359</v>
          </cell>
          <cell r="R23">
            <v>3.9268817204301074</v>
          </cell>
          <cell r="S23">
            <v>16</v>
          </cell>
          <cell r="T23">
            <v>14</v>
          </cell>
          <cell r="U23">
            <v>18</v>
          </cell>
          <cell r="V23">
            <v>27.29</v>
          </cell>
        </row>
        <row r="24">
          <cell r="A24" t="str">
            <v>RR</v>
          </cell>
          <cell r="B24">
            <v>5.17</v>
          </cell>
          <cell r="C24">
            <v>3.2</v>
          </cell>
          <cell r="D24">
            <v>10.876800000000001</v>
          </cell>
          <cell r="E24">
            <v>7.19</v>
          </cell>
          <cell r="F24">
            <v>9.9499999999999993</v>
          </cell>
          <cell r="G24">
            <v>7.05</v>
          </cell>
          <cell r="H24">
            <v>6.88</v>
          </cell>
          <cell r="I24">
            <v>7.3370000000000006</v>
          </cell>
          <cell r="J24">
            <v>5.7</v>
          </cell>
          <cell r="K24">
            <v>4.7</v>
          </cell>
          <cell r="L24">
            <v>12</v>
          </cell>
          <cell r="M24">
            <v>5.17</v>
          </cell>
          <cell r="N24">
            <v>11.025</v>
          </cell>
          <cell r="O24">
            <v>5.2516129032258059</v>
          </cell>
          <cell r="P24">
            <v>5.8666666666666671</v>
          </cell>
          <cell r="Q24">
            <v>3.3591397849462359</v>
          </cell>
          <cell r="R24">
            <v>3.9268817204301074</v>
          </cell>
          <cell r="S24">
            <v>16</v>
          </cell>
          <cell r="T24">
            <v>14</v>
          </cell>
          <cell r="U24">
            <v>18</v>
          </cell>
          <cell r="V24">
            <v>27.29</v>
          </cell>
        </row>
        <row r="25">
          <cell r="A25" t="str">
            <v>RS</v>
          </cell>
          <cell r="B25">
            <v>5.17</v>
          </cell>
          <cell r="C25">
            <v>3.41</v>
          </cell>
          <cell r="D25">
            <v>10.876800000000001</v>
          </cell>
          <cell r="E25">
            <v>7.67</v>
          </cell>
          <cell r="F25">
            <v>10.6</v>
          </cell>
          <cell r="G25">
            <v>7.5</v>
          </cell>
          <cell r="H25">
            <v>7.35</v>
          </cell>
          <cell r="I25">
            <v>7.3370000000000006</v>
          </cell>
          <cell r="J25">
            <v>5.5</v>
          </cell>
          <cell r="K25">
            <v>5.5</v>
          </cell>
          <cell r="L25">
            <v>13.5</v>
          </cell>
          <cell r="M25">
            <v>5.17</v>
          </cell>
          <cell r="N25">
            <v>11.76</v>
          </cell>
          <cell r="O25">
            <v>5.55</v>
          </cell>
          <cell r="P25">
            <v>6.2</v>
          </cell>
          <cell r="Q25">
            <v>3.55</v>
          </cell>
          <cell r="R25">
            <v>4.1500000000000004</v>
          </cell>
          <cell r="S25">
            <v>16</v>
          </cell>
          <cell r="T25">
            <v>14</v>
          </cell>
          <cell r="U25">
            <v>18</v>
          </cell>
          <cell r="V25">
            <v>27.29</v>
          </cell>
        </row>
        <row r="26">
          <cell r="A26" t="str">
            <v>SC</v>
          </cell>
          <cell r="B26">
            <v>5.17</v>
          </cell>
          <cell r="C26">
            <v>3.41</v>
          </cell>
          <cell r="D26">
            <v>10.876800000000001</v>
          </cell>
          <cell r="E26">
            <v>7.67</v>
          </cell>
          <cell r="F26">
            <v>10.6</v>
          </cell>
          <cell r="G26">
            <v>7.5</v>
          </cell>
          <cell r="H26">
            <v>7.35</v>
          </cell>
          <cell r="I26">
            <v>7.3370000000000006</v>
          </cell>
          <cell r="J26">
            <v>5.5</v>
          </cell>
          <cell r="K26">
            <v>5.5</v>
          </cell>
          <cell r="L26">
            <v>13.5</v>
          </cell>
          <cell r="M26">
            <v>5.17</v>
          </cell>
          <cell r="N26">
            <v>11.76</v>
          </cell>
          <cell r="O26">
            <v>5.55</v>
          </cell>
          <cell r="P26">
            <v>6.2</v>
          </cell>
          <cell r="Q26">
            <v>3.55</v>
          </cell>
          <cell r="R26">
            <v>4.1500000000000004</v>
          </cell>
          <cell r="S26">
            <v>16</v>
          </cell>
          <cell r="T26">
            <v>14</v>
          </cell>
          <cell r="U26">
            <v>18</v>
          </cell>
          <cell r="V26">
            <v>27.29</v>
          </cell>
        </row>
        <row r="27">
          <cell r="A27" t="str">
            <v>SE</v>
          </cell>
          <cell r="B27">
            <v>5.17</v>
          </cell>
          <cell r="C27">
            <v>3.2</v>
          </cell>
          <cell r="D27">
            <v>10.876800000000001</v>
          </cell>
          <cell r="E27">
            <v>7.19</v>
          </cell>
          <cell r="F27">
            <v>9.9499999999999993</v>
          </cell>
          <cell r="G27">
            <v>7.05</v>
          </cell>
          <cell r="H27">
            <v>6.88</v>
          </cell>
          <cell r="I27">
            <v>7.3370000000000006</v>
          </cell>
          <cell r="J27">
            <v>5.7</v>
          </cell>
          <cell r="K27">
            <v>4.7</v>
          </cell>
          <cell r="L27">
            <v>12</v>
          </cell>
          <cell r="M27">
            <v>5.17</v>
          </cell>
          <cell r="N27">
            <v>11.025</v>
          </cell>
          <cell r="O27">
            <v>5.2516129032258059</v>
          </cell>
          <cell r="P27">
            <v>5.8666666666666671</v>
          </cell>
          <cell r="Q27">
            <v>3.3591397849462359</v>
          </cell>
          <cell r="R27">
            <v>3.9268817204301074</v>
          </cell>
          <cell r="S27">
            <v>16</v>
          </cell>
          <cell r="T27">
            <v>14</v>
          </cell>
          <cell r="U27">
            <v>18</v>
          </cell>
          <cell r="V27">
            <v>27.29</v>
          </cell>
        </row>
        <row r="28">
          <cell r="A28" t="str">
            <v>SP</v>
          </cell>
          <cell r="B28">
            <v>5.17</v>
          </cell>
          <cell r="C28">
            <v>3.41</v>
          </cell>
          <cell r="D28">
            <v>10.876800000000001</v>
          </cell>
          <cell r="E28">
            <v>7.67</v>
          </cell>
          <cell r="F28">
            <v>10.6</v>
          </cell>
          <cell r="G28">
            <v>7.5</v>
          </cell>
          <cell r="H28">
            <v>7.35</v>
          </cell>
          <cell r="I28">
            <v>7.3370000000000006</v>
          </cell>
          <cell r="J28">
            <v>5.5</v>
          </cell>
          <cell r="K28">
            <v>5.5</v>
          </cell>
          <cell r="L28">
            <v>13.5</v>
          </cell>
          <cell r="M28">
            <v>5.17</v>
          </cell>
          <cell r="N28">
            <v>11.76</v>
          </cell>
          <cell r="O28">
            <v>5.55</v>
          </cell>
          <cell r="P28">
            <v>6.2</v>
          </cell>
          <cell r="Q28">
            <v>3.55</v>
          </cell>
          <cell r="R28">
            <v>4.1500000000000004</v>
          </cell>
          <cell r="S28">
            <v>16</v>
          </cell>
          <cell r="T28">
            <v>14</v>
          </cell>
          <cell r="U28">
            <v>18</v>
          </cell>
          <cell r="V28">
            <v>27.29</v>
          </cell>
        </row>
        <row r="29">
          <cell r="A29" t="str">
            <v>SP/Atacado</v>
          </cell>
          <cell r="B29">
            <v>5.17</v>
          </cell>
          <cell r="C29">
            <v>3.41</v>
          </cell>
          <cell r="D29">
            <v>10.876800000000001</v>
          </cell>
          <cell r="E29">
            <v>7.67</v>
          </cell>
          <cell r="F29">
            <v>10.6</v>
          </cell>
          <cell r="G29">
            <v>7.5</v>
          </cell>
          <cell r="H29">
            <v>7.35</v>
          </cell>
          <cell r="I29">
            <v>7.3370000000000006</v>
          </cell>
          <cell r="J29">
            <v>5.5</v>
          </cell>
          <cell r="K29">
            <v>5.5</v>
          </cell>
          <cell r="L29">
            <v>13.5</v>
          </cell>
          <cell r="M29">
            <v>5.17</v>
          </cell>
          <cell r="N29">
            <v>11.76</v>
          </cell>
          <cell r="O29">
            <v>5.55</v>
          </cell>
          <cell r="P29">
            <v>6.2</v>
          </cell>
          <cell r="Q29">
            <v>3.55</v>
          </cell>
          <cell r="R29">
            <v>4.1500000000000004</v>
          </cell>
          <cell r="S29">
            <v>16</v>
          </cell>
          <cell r="T29">
            <v>14</v>
          </cell>
          <cell r="U29">
            <v>18</v>
          </cell>
          <cell r="V29">
            <v>27.29</v>
          </cell>
        </row>
        <row r="30">
          <cell r="A30" t="str">
            <v>TO</v>
          </cell>
          <cell r="B30">
            <v>5.17</v>
          </cell>
          <cell r="C30">
            <v>3.2</v>
          </cell>
          <cell r="D30">
            <v>10.876800000000001</v>
          </cell>
          <cell r="E30">
            <v>7.19</v>
          </cell>
          <cell r="F30">
            <v>9.9499999999999993</v>
          </cell>
          <cell r="G30">
            <v>7.05</v>
          </cell>
          <cell r="H30">
            <v>6.88</v>
          </cell>
          <cell r="I30">
            <v>7.3370000000000006</v>
          </cell>
          <cell r="J30">
            <v>5.7</v>
          </cell>
          <cell r="K30">
            <v>4.7</v>
          </cell>
          <cell r="L30">
            <v>12</v>
          </cell>
          <cell r="M30">
            <v>5.17</v>
          </cell>
          <cell r="N30">
            <v>11.025</v>
          </cell>
          <cell r="O30">
            <v>5.2516129032258059</v>
          </cell>
          <cell r="P30">
            <v>5.8666666666666671</v>
          </cell>
          <cell r="Q30">
            <v>3.3591397849462359</v>
          </cell>
          <cell r="R30">
            <v>3.9268817204301074</v>
          </cell>
          <cell r="S30">
            <v>16</v>
          </cell>
          <cell r="T30">
            <v>14</v>
          </cell>
          <cell r="U30">
            <v>18</v>
          </cell>
          <cell r="V30">
            <v>27.29</v>
          </cell>
        </row>
        <row r="31">
          <cell r="A31" t="str">
            <v>EX</v>
          </cell>
          <cell r="B31">
            <v>4.47</v>
          </cell>
          <cell r="C31">
            <v>2.68</v>
          </cell>
          <cell r="D31">
            <v>9.434800000000001</v>
          </cell>
          <cell r="E31">
            <v>6.03</v>
          </cell>
          <cell r="F31">
            <v>8.34</v>
          </cell>
          <cell r="G31">
            <v>5.9</v>
          </cell>
          <cell r="H31">
            <v>5.79</v>
          </cell>
          <cell r="I31">
            <v>6.3580000000000005</v>
          </cell>
          <cell r="J31">
            <v>4.33</v>
          </cell>
          <cell r="K31">
            <v>4.33</v>
          </cell>
          <cell r="L31">
            <v>10.63</v>
          </cell>
          <cell r="M31">
            <v>4.47</v>
          </cell>
          <cell r="N31"/>
          <cell r="O31">
            <v>5.2516129032258059</v>
          </cell>
          <cell r="P31">
            <v>5.8666666666666671</v>
          </cell>
          <cell r="Q31">
            <v>3.3591397849462359</v>
          </cell>
          <cell r="R31">
            <v>3.9268817204301074</v>
          </cell>
          <cell r="S31">
            <v>16</v>
          </cell>
          <cell r="T31">
            <v>14</v>
          </cell>
          <cell r="U31">
            <v>18</v>
          </cell>
          <cell r="V31">
            <v>27.29</v>
          </cell>
        </row>
      </sheetData>
      <sheetData sheetId="13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Bolw</v>
          </cell>
          <cell r="U2" t="str">
            <v>Puer. Babador</v>
          </cell>
          <cell r="V2" t="str">
            <v>Puer. Pratinho</v>
          </cell>
        </row>
        <row r="3">
          <cell r="A3" t="str">
            <v>AC</v>
          </cell>
          <cell r="B3">
            <v>9.49</v>
          </cell>
          <cell r="C3">
            <v>5.79</v>
          </cell>
          <cell r="D3">
            <v>19.989999999999998</v>
          </cell>
          <cell r="E3">
            <v>13.69</v>
          </cell>
          <cell r="F3">
            <v>18.989999999999998</v>
          </cell>
          <cell r="G3">
            <v>13.89</v>
          </cell>
          <cell r="H3">
            <v>13.49</v>
          </cell>
          <cell r="I3">
            <v>13.49</v>
          </cell>
          <cell r="J3">
            <v>8.99</v>
          </cell>
          <cell r="K3">
            <v>7.99</v>
          </cell>
          <cell r="L3">
            <v>19.989999999999998</v>
          </cell>
          <cell r="M3">
            <v>9.49</v>
          </cell>
          <cell r="N3">
            <v>18.989999999999998</v>
          </cell>
          <cell r="O3">
            <v>7.99</v>
          </cell>
          <cell r="P3">
            <v>8.6</v>
          </cell>
          <cell r="Q3">
            <v>4.99</v>
          </cell>
          <cell r="R3">
            <v>5.99</v>
          </cell>
          <cell r="S3">
            <v>36</v>
          </cell>
          <cell r="T3">
            <v>36</v>
          </cell>
          <cell r="U3">
            <v>27</v>
          </cell>
          <cell r="V3">
            <v>48</v>
          </cell>
        </row>
        <row r="4">
          <cell r="A4" t="str">
            <v>AL</v>
          </cell>
          <cell r="B4">
            <v>9.49</v>
          </cell>
          <cell r="C4">
            <v>5.79</v>
          </cell>
          <cell r="D4">
            <v>19.989999999999998</v>
          </cell>
          <cell r="E4">
            <v>13.69</v>
          </cell>
          <cell r="F4">
            <v>18.989999999999998</v>
          </cell>
          <cell r="G4">
            <v>13.89</v>
          </cell>
          <cell r="H4">
            <v>13.49</v>
          </cell>
          <cell r="I4">
            <v>13.49</v>
          </cell>
          <cell r="J4">
            <v>8.99</v>
          </cell>
          <cell r="K4">
            <v>7.99</v>
          </cell>
          <cell r="L4">
            <v>19.989999999999998</v>
          </cell>
          <cell r="M4">
            <v>9.49</v>
          </cell>
          <cell r="N4">
            <v>18.989999999999998</v>
          </cell>
          <cell r="O4">
            <v>7.99</v>
          </cell>
          <cell r="P4">
            <v>8.6</v>
          </cell>
          <cell r="Q4">
            <v>4.99</v>
          </cell>
          <cell r="R4">
            <v>5.99</v>
          </cell>
          <cell r="S4">
            <v>36</v>
          </cell>
          <cell r="T4">
            <v>36</v>
          </cell>
          <cell r="U4">
            <v>27</v>
          </cell>
          <cell r="V4">
            <v>48</v>
          </cell>
        </row>
        <row r="5">
          <cell r="A5" t="str">
            <v>AM</v>
          </cell>
          <cell r="B5">
            <v>9.49</v>
          </cell>
          <cell r="C5">
            <v>5.79</v>
          </cell>
          <cell r="D5">
            <v>19.989999999999998</v>
          </cell>
          <cell r="E5">
            <v>13.69</v>
          </cell>
          <cell r="F5">
            <v>18.989999999999998</v>
          </cell>
          <cell r="G5">
            <v>13.89</v>
          </cell>
          <cell r="H5">
            <v>13.49</v>
          </cell>
          <cell r="I5">
            <v>13.49</v>
          </cell>
          <cell r="J5">
            <v>8.99</v>
          </cell>
          <cell r="K5">
            <v>7.99</v>
          </cell>
          <cell r="L5">
            <v>19.989999999999998</v>
          </cell>
          <cell r="M5">
            <v>9.49</v>
          </cell>
          <cell r="N5">
            <v>18.989999999999998</v>
          </cell>
          <cell r="O5">
            <v>7.99</v>
          </cell>
          <cell r="P5">
            <v>8.6</v>
          </cell>
          <cell r="Q5">
            <v>4.99</v>
          </cell>
          <cell r="R5">
            <v>5.99</v>
          </cell>
          <cell r="S5">
            <v>36</v>
          </cell>
          <cell r="T5">
            <v>36</v>
          </cell>
          <cell r="U5">
            <v>27</v>
          </cell>
          <cell r="V5">
            <v>48</v>
          </cell>
        </row>
        <row r="6">
          <cell r="A6" t="str">
            <v>AP</v>
          </cell>
          <cell r="B6">
            <v>9.49</v>
          </cell>
          <cell r="C6">
            <v>5.79</v>
          </cell>
          <cell r="D6">
            <v>19.989999999999998</v>
          </cell>
          <cell r="E6">
            <v>13.69</v>
          </cell>
          <cell r="F6">
            <v>18.989999999999998</v>
          </cell>
          <cell r="G6">
            <v>13.89</v>
          </cell>
          <cell r="H6">
            <v>13.49</v>
          </cell>
          <cell r="I6">
            <v>13.49</v>
          </cell>
          <cell r="J6">
            <v>8.99</v>
          </cell>
          <cell r="K6">
            <v>7.99</v>
          </cell>
          <cell r="L6">
            <v>19.989999999999998</v>
          </cell>
          <cell r="M6">
            <v>9.49</v>
          </cell>
          <cell r="N6">
            <v>18.989999999999998</v>
          </cell>
          <cell r="O6">
            <v>7.99</v>
          </cell>
          <cell r="P6">
            <v>8.6</v>
          </cell>
          <cell r="Q6">
            <v>4.99</v>
          </cell>
          <cell r="R6">
            <v>5.99</v>
          </cell>
          <cell r="S6">
            <v>36</v>
          </cell>
          <cell r="T6">
            <v>36</v>
          </cell>
          <cell r="U6">
            <v>27</v>
          </cell>
          <cell r="V6">
            <v>48</v>
          </cell>
        </row>
        <row r="7">
          <cell r="A7" t="str">
            <v>BA</v>
          </cell>
          <cell r="B7">
            <v>9.49</v>
          </cell>
          <cell r="C7">
            <v>5.79</v>
          </cell>
          <cell r="D7">
            <v>19.989999999999998</v>
          </cell>
          <cell r="E7">
            <v>13.69</v>
          </cell>
          <cell r="F7">
            <v>18.989999999999998</v>
          </cell>
          <cell r="G7">
            <v>13.89</v>
          </cell>
          <cell r="H7">
            <v>13.49</v>
          </cell>
          <cell r="I7">
            <v>13.49</v>
          </cell>
          <cell r="J7">
            <v>8.99</v>
          </cell>
          <cell r="K7">
            <v>7.99</v>
          </cell>
          <cell r="L7">
            <v>19.989999999999998</v>
          </cell>
          <cell r="M7">
            <v>9.49</v>
          </cell>
          <cell r="N7">
            <v>18.989999999999998</v>
          </cell>
          <cell r="O7">
            <v>7.99</v>
          </cell>
          <cell r="P7">
            <v>8.6</v>
          </cell>
          <cell r="Q7">
            <v>4.99</v>
          </cell>
          <cell r="R7">
            <v>5.99</v>
          </cell>
          <cell r="S7">
            <v>36</v>
          </cell>
          <cell r="T7">
            <v>36</v>
          </cell>
          <cell r="U7">
            <v>27</v>
          </cell>
          <cell r="V7">
            <v>48</v>
          </cell>
        </row>
        <row r="8">
          <cell r="A8" t="str">
            <v>CE</v>
          </cell>
          <cell r="B8">
            <v>9.49</v>
          </cell>
          <cell r="C8">
            <v>5.79</v>
          </cell>
          <cell r="D8">
            <v>19.989999999999998</v>
          </cell>
          <cell r="E8">
            <v>13.69</v>
          </cell>
          <cell r="F8">
            <v>18.989999999999998</v>
          </cell>
          <cell r="G8">
            <v>13.89</v>
          </cell>
          <cell r="H8">
            <v>13.49</v>
          </cell>
          <cell r="I8">
            <v>13.49</v>
          </cell>
          <cell r="J8">
            <v>8.99</v>
          </cell>
          <cell r="K8">
            <v>7.99</v>
          </cell>
          <cell r="L8">
            <v>19.989999999999998</v>
          </cell>
          <cell r="M8">
            <v>9.49</v>
          </cell>
          <cell r="N8">
            <v>18.989999999999998</v>
          </cell>
          <cell r="O8">
            <v>7.99</v>
          </cell>
          <cell r="P8">
            <v>8.6</v>
          </cell>
          <cell r="Q8">
            <v>4.99</v>
          </cell>
          <cell r="R8">
            <v>5.99</v>
          </cell>
          <cell r="S8">
            <v>36</v>
          </cell>
          <cell r="T8">
            <v>36</v>
          </cell>
          <cell r="U8">
            <v>27</v>
          </cell>
          <cell r="V8">
            <v>48</v>
          </cell>
        </row>
        <row r="9">
          <cell r="A9" t="str">
            <v>DF</v>
          </cell>
          <cell r="B9">
            <v>9.49</v>
          </cell>
          <cell r="C9">
            <v>5.79</v>
          </cell>
          <cell r="D9">
            <v>19.989999999999998</v>
          </cell>
          <cell r="E9">
            <v>13.69</v>
          </cell>
          <cell r="F9">
            <v>18.989999999999998</v>
          </cell>
          <cell r="G9">
            <v>13.89</v>
          </cell>
          <cell r="H9">
            <v>13.49</v>
          </cell>
          <cell r="I9">
            <v>13.49</v>
          </cell>
          <cell r="J9">
            <v>8.99</v>
          </cell>
          <cell r="K9">
            <v>7.99</v>
          </cell>
          <cell r="L9">
            <v>19.989999999999998</v>
          </cell>
          <cell r="M9">
            <v>9.49</v>
          </cell>
          <cell r="N9">
            <v>18.989999999999998</v>
          </cell>
          <cell r="O9">
            <v>7.99</v>
          </cell>
          <cell r="P9">
            <v>8.6</v>
          </cell>
          <cell r="Q9">
            <v>4.99</v>
          </cell>
          <cell r="R9">
            <v>5.99</v>
          </cell>
          <cell r="S9">
            <v>36</v>
          </cell>
          <cell r="T9">
            <v>36</v>
          </cell>
          <cell r="U9">
            <v>27</v>
          </cell>
          <cell r="V9">
            <v>48</v>
          </cell>
        </row>
        <row r="10">
          <cell r="A10" t="str">
            <v>ES</v>
          </cell>
          <cell r="B10">
            <v>9.49</v>
          </cell>
          <cell r="C10">
            <v>5.79</v>
          </cell>
          <cell r="D10">
            <v>19.989999999999998</v>
          </cell>
          <cell r="E10">
            <v>13.69</v>
          </cell>
          <cell r="F10">
            <v>18.989999999999998</v>
          </cell>
          <cell r="G10">
            <v>13.89</v>
          </cell>
          <cell r="H10">
            <v>13.49</v>
          </cell>
          <cell r="I10">
            <v>13.49</v>
          </cell>
          <cell r="J10">
            <v>9.99</v>
          </cell>
          <cell r="K10">
            <v>9.99</v>
          </cell>
          <cell r="L10">
            <v>24.99</v>
          </cell>
          <cell r="M10">
            <v>9.49</v>
          </cell>
          <cell r="N10">
            <v>18.989999999999998</v>
          </cell>
          <cell r="O10">
            <v>7.99</v>
          </cell>
          <cell r="P10">
            <v>8.6</v>
          </cell>
          <cell r="Q10">
            <v>4.99</v>
          </cell>
          <cell r="R10">
            <v>5.99</v>
          </cell>
          <cell r="S10">
            <v>36</v>
          </cell>
          <cell r="T10">
            <v>36</v>
          </cell>
          <cell r="U10">
            <v>27</v>
          </cell>
          <cell r="V10">
            <v>48</v>
          </cell>
        </row>
        <row r="11">
          <cell r="A11" t="str">
            <v>GO</v>
          </cell>
          <cell r="B11">
            <v>9.49</v>
          </cell>
          <cell r="C11">
            <v>5.79</v>
          </cell>
          <cell r="D11">
            <v>19.989999999999998</v>
          </cell>
          <cell r="E11">
            <v>13.69</v>
          </cell>
          <cell r="F11">
            <v>18.989999999999998</v>
          </cell>
          <cell r="G11">
            <v>13.89</v>
          </cell>
          <cell r="H11">
            <v>13.49</v>
          </cell>
          <cell r="I11">
            <v>13.49</v>
          </cell>
          <cell r="J11">
            <v>8.99</v>
          </cell>
          <cell r="K11">
            <v>7.99</v>
          </cell>
          <cell r="L11">
            <v>19.989999999999998</v>
          </cell>
          <cell r="M11">
            <v>9.49</v>
          </cell>
          <cell r="N11">
            <v>18.989999999999998</v>
          </cell>
          <cell r="O11">
            <v>7.99</v>
          </cell>
          <cell r="P11">
            <v>8.6</v>
          </cell>
          <cell r="Q11">
            <v>4.99</v>
          </cell>
          <cell r="R11">
            <v>5.99</v>
          </cell>
          <cell r="S11">
            <v>36</v>
          </cell>
          <cell r="T11">
            <v>36</v>
          </cell>
          <cell r="U11">
            <v>27</v>
          </cell>
          <cell r="V11">
            <v>48</v>
          </cell>
        </row>
        <row r="12">
          <cell r="A12" t="str">
            <v>MA</v>
          </cell>
          <cell r="B12">
            <v>9.49</v>
          </cell>
          <cell r="C12">
            <v>5.79</v>
          </cell>
          <cell r="D12">
            <v>19.989999999999998</v>
          </cell>
          <cell r="E12">
            <v>13.69</v>
          </cell>
          <cell r="F12">
            <v>18.989999999999998</v>
          </cell>
          <cell r="G12">
            <v>13.89</v>
          </cell>
          <cell r="H12">
            <v>13.49</v>
          </cell>
          <cell r="I12">
            <v>13.49</v>
          </cell>
          <cell r="J12">
            <v>8.99</v>
          </cell>
          <cell r="K12">
            <v>7.99</v>
          </cell>
          <cell r="L12">
            <v>19.989999999999998</v>
          </cell>
          <cell r="M12">
            <v>9.49</v>
          </cell>
          <cell r="N12">
            <v>18.989999999999998</v>
          </cell>
          <cell r="O12">
            <v>7.99</v>
          </cell>
          <cell r="P12">
            <v>8.6</v>
          </cell>
          <cell r="Q12">
            <v>4.99</v>
          </cell>
          <cell r="R12">
            <v>5.99</v>
          </cell>
          <cell r="S12">
            <v>36</v>
          </cell>
          <cell r="T12">
            <v>36</v>
          </cell>
          <cell r="U12">
            <v>27</v>
          </cell>
          <cell r="V12">
            <v>48</v>
          </cell>
        </row>
        <row r="13">
          <cell r="A13" t="str">
            <v>MG</v>
          </cell>
          <cell r="B13">
            <v>9.49</v>
          </cell>
          <cell r="C13">
            <v>5.79</v>
          </cell>
          <cell r="D13">
            <v>19.989999999999998</v>
          </cell>
          <cell r="E13">
            <v>13.69</v>
          </cell>
          <cell r="F13">
            <v>18.989999999999998</v>
          </cell>
          <cell r="G13">
            <v>13.89</v>
          </cell>
          <cell r="H13">
            <v>13.49</v>
          </cell>
          <cell r="I13">
            <v>13.49</v>
          </cell>
          <cell r="J13">
            <v>9.99</v>
          </cell>
          <cell r="K13">
            <v>9.99</v>
          </cell>
          <cell r="L13">
            <v>24.99</v>
          </cell>
          <cell r="M13">
            <v>9.49</v>
          </cell>
          <cell r="N13">
            <v>18.989999999999998</v>
          </cell>
          <cell r="O13">
            <v>7.99</v>
          </cell>
          <cell r="P13">
            <v>8.6</v>
          </cell>
          <cell r="Q13">
            <v>4.99</v>
          </cell>
          <cell r="R13">
            <v>5.99</v>
          </cell>
          <cell r="S13">
            <v>36</v>
          </cell>
          <cell r="T13">
            <v>36</v>
          </cell>
          <cell r="U13">
            <v>27</v>
          </cell>
          <cell r="V13">
            <v>48</v>
          </cell>
        </row>
        <row r="14">
          <cell r="A14" t="str">
            <v>MS</v>
          </cell>
          <cell r="B14">
            <v>9.49</v>
          </cell>
          <cell r="C14">
            <v>5.79</v>
          </cell>
          <cell r="D14">
            <v>19.989999999999998</v>
          </cell>
          <cell r="E14">
            <v>13.69</v>
          </cell>
          <cell r="F14">
            <v>18.989999999999998</v>
          </cell>
          <cell r="G14">
            <v>13.89</v>
          </cell>
          <cell r="H14">
            <v>13.49</v>
          </cell>
          <cell r="I14">
            <v>13.49</v>
          </cell>
          <cell r="J14">
            <v>8.99</v>
          </cell>
          <cell r="K14">
            <v>7.99</v>
          </cell>
          <cell r="L14">
            <v>19.989999999999998</v>
          </cell>
          <cell r="M14">
            <v>9.49</v>
          </cell>
          <cell r="N14">
            <v>18.989999999999998</v>
          </cell>
          <cell r="O14">
            <v>7.99</v>
          </cell>
          <cell r="P14">
            <v>8.6</v>
          </cell>
          <cell r="Q14">
            <v>4.99</v>
          </cell>
          <cell r="R14">
            <v>5.99</v>
          </cell>
          <cell r="S14">
            <v>36</v>
          </cell>
          <cell r="T14">
            <v>36</v>
          </cell>
          <cell r="U14">
            <v>27</v>
          </cell>
          <cell r="V14">
            <v>48</v>
          </cell>
        </row>
        <row r="15">
          <cell r="A15" t="str">
            <v>MT</v>
          </cell>
          <cell r="B15">
            <v>9.49</v>
          </cell>
          <cell r="C15">
            <v>5.79</v>
          </cell>
          <cell r="D15">
            <v>19.989999999999998</v>
          </cell>
          <cell r="E15">
            <v>13.69</v>
          </cell>
          <cell r="F15">
            <v>18.989999999999998</v>
          </cell>
          <cell r="G15">
            <v>13.89</v>
          </cell>
          <cell r="H15">
            <v>13.49</v>
          </cell>
          <cell r="I15">
            <v>13.49</v>
          </cell>
          <cell r="J15">
            <v>8.99</v>
          </cell>
          <cell r="K15">
            <v>7.99</v>
          </cell>
          <cell r="L15">
            <v>19.989999999999998</v>
          </cell>
          <cell r="M15">
            <v>9.49</v>
          </cell>
          <cell r="N15">
            <v>18.989999999999998</v>
          </cell>
          <cell r="O15">
            <v>7.99</v>
          </cell>
          <cell r="P15">
            <v>8.6</v>
          </cell>
          <cell r="Q15">
            <v>4.99</v>
          </cell>
          <cell r="R15">
            <v>5.99</v>
          </cell>
          <cell r="S15">
            <v>36</v>
          </cell>
          <cell r="T15">
            <v>36</v>
          </cell>
          <cell r="U15">
            <v>27</v>
          </cell>
          <cell r="V15">
            <v>48</v>
          </cell>
        </row>
        <row r="16">
          <cell r="A16" t="str">
            <v>PA</v>
          </cell>
          <cell r="B16">
            <v>9.49</v>
          </cell>
          <cell r="C16">
            <v>5.79</v>
          </cell>
          <cell r="D16">
            <v>19.989999999999998</v>
          </cell>
          <cell r="E16">
            <v>13.69</v>
          </cell>
          <cell r="F16">
            <v>18.989999999999998</v>
          </cell>
          <cell r="G16">
            <v>13.89</v>
          </cell>
          <cell r="H16">
            <v>13.49</v>
          </cell>
          <cell r="I16">
            <v>13.49</v>
          </cell>
          <cell r="J16">
            <v>8.99</v>
          </cell>
          <cell r="K16">
            <v>7.99</v>
          </cell>
          <cell r="L16">
            <v>19.989999999999998</v>
          </cell>
          <cell r="M16">
            <v>9.49</v>
          </cell>
          <cell r="N16">
            <v>18.989999999999998</v>
          </cell>
          <cell r="O16">
            <v>7.99</v>
          </cell>
          <cell r="P16">
            <v>8.6</v>
          </cell>
          <cell r="Q16">
            <v>4.99</v>
          </cell>
          <cell r="R16">
            <v>5.99</v>
          </cell>
          <cell r="S16">
            <v>36</v>
          </cell>
          <cell r="T16">
            <v>36</v>
          </cell>
          <cell r="U16">
            <v>27</v>
          </cell>
          <cell r="V16">
            <v>48</v>
          </cell>
        </row>
        <row r="17">
          <cell r="A17" t="str">
            <v>PB</v>
          </cell>
          <cell r="B17">
            <v>9.49</v>
          </cell>
          <cell r="C17">
            <v>5.79</v>
          </cell>
          <cell r="D17">
            <v>19.989999999999998</v>
          </cell>
          <cell r="E17">
            <v>13.69</v>
          </cell>
          <cell r="F17">
            <v>18.989999999999998</v>
          </cell>
          <cell r="G17">
            <v>13.89</v>
          </cell>
          <cell r="H17">
            <v>13.49</v>
          </cell>
          <cell r="I17">
            <v>13.49</v>
          </cell>
          <cell r="J17">
            <v>8.99</v>
          </cell>
          <cell r="K17">
            <v>7.99</v>
          </cell>
          <cell r="L17">
            <v>19.989999999999998</v>
          </cell>
          <cell r="M17">
            <v>9.49</v>
          </cell>
          <cell r="N17">
            <v>18.989999999999998</v>
          </cell>
          <cell r="O17">
            <v>7.99</v>
          </cell>
          <cell r="P17">
            <v>8.6</v>
          </cell>
          <cell r="Q17">
            <v>4.99</v>
          </cell>
          <cell r="R17">
            <v>5.99</v>
          </cell>
          <cell r="S17">
            <v>36</v>
          </cell>
          <cell r="T17">
            <v>36</v>
          </cell>
          <cell r="U17">
            <v>27</v>
          </cell>
          <cell r="V17">
            <v>48</v>
          </cell>
        </row>
        <row r="18">
          <cell r="A18" t="str">
            <v>PE</v>
          </cell>
          <cell r="B18">
            <v>9.49</v>
          </cell>
          <cell r="C18">
            <v>5.79</v>
          </cell>
          <cell r="D18">
            <v>19.989999999999998</v>
          </cell>
          <cell r="E18">
            <v>13.69</v>
          </cell>
          <cell r="F18">
            <v>18.989999999999998</v>
          </cell>
          <cell r="G18">
            <v>13.89</v>
          </cell>
          <cell r="H18">
            <v>13.49</v>
          </cell>
          <cell r="I18">
            <v>13.49</v>
          </cell>
          <cell r="J18">
            <v>8.99</v>
          </cell>
          <cell r="K18">
            <v>7.99</v>
          </cell>
          <cell r="L18">
            <v>19.989999999999998</v>
          </cell>
          <cell r="M18">
            <v>9.49</v>
          </cell>
          <cell r="N18">
            <v>18.989999999999998</v>
          </cell>
          <cell r="O18">
            <v>7.99</v>
          </cell>
          <cell r="P18">
            <v>8.6</v>
          </cell>
          <cell r="Q18">
            <v>4.99</v>
          </cell>
          <cell r="R18">
            <v>5.99</v>
          </cell>
          <cell r="S18">
            <v>36</v>
          </cell>
          <cell r="T18">
            <v>36</v>
          </cell>
          <cell r="U18">
            <v>27</v>
          </cell>
          <cell r="V18">
            <v>48</v>
          </cell>
        </row>
        <row r="19">
          <cell r="A19" t="str">
            <v>PI</v>
          </cell>
          <cell r="B19">
            <v>9.49</v>
          </cell>
          <cell r="C19">
            <v>5.79</v>
          </cell>
          <cell r="D19">
            <v>19.989999999999998</v>
          </cell>
          <cell r="E19">
            <v>13.69</v>
          </cell>
          <cell r="F19">
            <v>18.989999999999998</v>
          </cell>
          <cell r="G19">
            <v>13.89</v>
          </cell>
          <cell r="H19">
            <v>13.49</v>
          </cell>
          <cell r="I19">
            <v>13.49</v>
          </cell>
          <cell r="J19">
            <v>8.99</v>
          </cell>
          <cell r="K19">
            <v>7.99</v>
          </cell>
          <cell r="L19">
            <v>19.989999999999998</v>
          </cell>
          <cell r="M19">
            <v>9.49</v>
          </cell>
          <cell r="N19">
            <v>18.989999999999998</v>
          </cell>
          <cell r="O19">
            <v>7.99</v>
          </cell>
          <cell r="P19">
            <v>8.6</v>
          </cell>
          <cell r="Q19">
            <v>4.99</v>
          </cell>
          <cell r="R19">
            <v>5.99</v>
          </cell>
          <cell r="S19">
            <v>36</v>
          </cell>
          <cell r="T19">
            <v>36</v>
          </cell>
          <cell r="U19">
            <v>27</v>
          </cell>
          <cell r="V19">
            <v>48</v>
          </cell>
        </row>
        <row r="20">
          <cell r="A20" t="str">
            <v>PR</v>
          </cell>
          <cell r="B20">
            <v>9.49</v>
          </cell>
          <cell r="C20">
            <v>5.79</v>
          </cell>
          <cell r="D20">
            <v>19.989999999999998</v>
          </cell>
          <cell r="E20">
            <v>13.69</v>
          </cell>
          <cell r="F20">
            <v>18.989999999999998</v>
          </cell>
          <cell r="G20">
            <v>13.89</v>
          </cell>
          <cell r="H20">
            <v>13.49</v>
          </cell>
          <cell r="I20">
            <v>13.49</v>
          </cell>
          <cell r="J20">
            <v>9.99</v>
          </cell>
          <cell r="K20">
            <v>9.99</v>
          </cell>
          <cell r="L20">
            <v>24.99</v>
          </cell>
          <cell r="M20">
            <v>9.49</v>
          </cell>
          <cell r="N20">
            <v>18.989999999999998</v>
          </cell>
          <cell r="O20">
            <v>7.99</v>
          </cell>
          <cell r="P20">
            <v>8.6</v>
          </cell>
          <cell r="Q20">
            <v>4.99</v>
          </cell>
          <cell r="R20">
            <v>5.99</v>
          </cell>
          <cell r="S20">
            <v>36</v>
          </cell>
          <cell r="T20">
            <v>36</v>
          </cell>
          <cell r="U20">
            <v>27</v>
          </cell>
          <cell r="V20">
            <v>48</v>
          </cell>
        </row>
        <row r="21">
          <cell r="A21" t="str">
            <v>RJ</v>
          </cell>
          <cell r="B21">
            <v>9.49</v>
          </cell>
          <cell r="C21">
            <v>5.79</v>
          </cell>
          <cell r="D21">
            <v>19.989999999999998</v>
          </cell>
          <cell r="E21">
            <v>13.69</v>
          </cell>
          <cell r="F21">
            <v>18.989999999999998</v>
          </cell>
          <cell r="G21">
            <v>13.89</v>
          </cell>
          <cell r="H21">
            <v>13.49</v>
          </cell>
          <cell r="I21">
            <v>13.49</v>
          </cell>
          <cell r="J21">
            <v>9.99</v>
          </cell>
          <cell r="K21">
            <v>9.99</v>
          </cell>
          <cell r="L21">
            <v>24.99</v>
          </cell>
          <cell r="M21">
            <v>9.49</v>
          </cell>
          <cell r="N21">
            <v>18.989999999999998</v>
          </cell>
          <cell r="O21">
            <v>7.99</v>
          </cell>
          <cell r="P21">
            <v>8.6</v>
          </cell>
          <cell r="Q21">
            <v>4.99</v>
          </cell>
          <cell r="R21">
            <v>5.99</v>
          </cell>
          <cell r="S21">
            <v>36</v>
          </cell>
          <cell r="T21">
            <v>36</v>
          </cell>
          <cell r="U21">
            <v>27</v>
          </cell>
          <cell r="V21">
            <v>48</v>
          </cell>
        </row>
        <row r="22">
          <cell r="A22" t="str">
            <v>RN</v>
          </cell>
          <cell r="B22">
            <v>9.49</v>
          </cell>
          <cell r="C22">
            <v>5.79</v>
          </cell>
          <cell r="D22">
            <v>19.989999999999998</v>
          </cell>
          <cell r="E22">
            <v>13.69</v>
          </cell>
          <cell r="F22">
            <v>18.989999999999998</v>
          </cell>
          <cell r="G22">
            <v>13.89</v>
          </cell>
          <cell r="H22">
            <v>13.49</v>
          </cell>
          <cell r="I22">
            <v>13.49</v>
          </cell>
          <cell r="J22">
            <v>8.99</v>
          </cell>
          <cell r="K22">
            <v>7.99</v>
          </cell>
          <cell r="L22">
            <v>19.989999999999998</v>
          </cell>
          <cell r="M22">
            <v>9.49</v>
          </cell>
          <cell r="N22">
            <v>18.989999999999998</v>
          </cell>
          <cell r="O22">
            <v>7.99</v>
          </cell>
          <cell r="P22">
            <v>8.6</v>
          </cell>
          <cell r="Q22">
            <v>4.99</v>
          </cell>
          <cell r="R22">
            <v>5.99</v>
          </cell>
          <cell r="S22">
            <v>36</v>
          </cell>
          <cell r="T22">
            <v>36</v>
          </cell>
          <cell r="U22">
            <v>27</v>
          </cell>
          <cell r="V22">
            <v>48</v>
          </cell>
        </row>
        <row r="23">
          <cell r="A23" t="str">
            <v>RO</v>
          </cell>
          <cell r="B23">
            <v>9.49</v>
          </cell>
          <cell r="C23">
            <v>5.79</v>
          </cell>
          <cell r="D23">
            <v>19.989999999999998</v>
          </cell>
          <cell r="E23">
            <v>13.69</v>
          </cell>
          <cell r="F23">
            <v>18.989999999999998</v>
          </cell>
          <cell r="G23">
            <v>13.89</v>
          </cell>
          <cell r="H23">
            <v>13.49</v>
          </cell>
          <cell r="I23">
            <v>13.49</v>
          </cell>
          <cell r="J23">
            <v>8.99</v>
          </cell>
          <cell r="K23">
            <v>7.99</v>
          </cell>
          <cell r="L23">
            <v>19.989999999999998</v>
          </cell>
          <cell r="M23">
            <v>9.49</v>
          </cell>
          <cell r="N23">
            <v>18.989999999999998</v>
          </cell>
          <cell r="O23">
            <v>7.99</v>
          </cell>
          <cell r="P23">
            <v>8.6</v>
          </cell>
          <cell r="Q23">
            <v>4.99</v>
          </cell>
          <cell r="R23">
            <v>5.99</v>
          </cell>
          <cell r="S23">
            <v>36</v>
          </cell>
          <cell r="T23">
            <v>36</v>
          </cell>
          <cell r="U23">
            <v>27</v>
          </cell>
          <cell r="V23">
            <v>48</v>
          </cell>
        </row>
        <row r="24">
          <cell r="A24" t="str">
            <v>RR</v>
          </cell>
          <cell r="B24">
            <v>9.49</v>
          </cell>
          <cell r="C24">
            <v>5.79</v>
          </cell>
          <cell r="D24">
            <v>19.989999999999998</v>
          </cell>
          <cell r="E24">
            <v>13.69</v>
          </cell>
          <cell r="F24">
            <v>18.989999999999998</v>
          </cell>
          <cell r="G24">
            <v>13.89</v>
          </cell>
          <cell r="H24">
            <v>13.49</v>
          </cell>
          <cell r="I24">
            <v>13.49</v>
          </cell>
          <cell r="J24">
            <v>8.99</v>
          </cell>
          <cell r="K24">
            <v>7.99</v>
          </cell>
          <cell r="L24">
            <v>19.989999999999998</v>
          </cell>
          <cell r="M24">
            <v>9.49</v>
          </cell>
          <cell r="N24">
            <v>18.989999999999998</v>
          </cell>
          <cell r="O24">
            <v>7.99</v>
          </cell>
          <cell r="P24">
            <v>8.6</v>
          </cell>
          <cell r="Q24">
            <v>4.99</v>
          </cell>
          <cell r="R24">
            <v>5.99</v>
          </cell>
          <cell r="S24">
            <v>36</v>
          </cell>
          <cell r="T24">
            <v>36</v>
          </cell>
          <cell r="U24">
            <v>27</v>
          </cell>
          <cell r="V24">
            <v>48</v>
          </cell>
        </row>
        <row r="25">
          <cell r="A25" t="str">
            <v>RS</v>
          </cell>
          <cell r="B25">
            <v>9.49</v>
          </cell>
          <cell r="C25">
            <v>5.79</v>
          </cell>
          <cell r="D25">
            <v>19.989999999999998</v>
          </cell>
          <cell r="E25">
            <v>13.69</v>
          </cell>
          <cell r="F25">
            <v>18.989999999999998</v>
          </cell>
          <cell r="G25">
            <v>13.89</v>
          </cell>
          <cell r="H25">
            <v>13.49</v>
          </cell>
          <cell r="I25">
            <v>13.49</v>
          </cell>
          <cell r="J25">
            <v>9.99</v>
          </cell>
          <cell r="K25">
            <v>9.99</v>
          </cell>
          <cell r="L25">
            <v>24.99</v>
          </cell>
          <cell r="M25">
            <v>9.49</v>
          </cell>
          <cell r="N25">
            <v>18.989999999999998</v>
          </cell>
          <cell r="O25">
            <v>7.99</v>
          </cell>
          <cell r="P25">
            <v>8.6</v>
          </cell>
          <cell r="Q25">
            <v>4.99</v>
          </cell>
          <cell r="R25">
            <v>5.99</v>
          </cell>
          <cell r="S25">
            <v>36</v>
          </cell>
          <cell r="T25">
            <v>36</v>
          </cell>
          <cell r="U25">
            <v>27</v>
          </cell>
          <cell r="V25">
            <v>48</v>
          </cell>
        </row>
        <row r="26">
          <cell r="A26" t="str">
            <v>SC</v>
          </cell>
          <cell r="B26">
            <v>9.49</v>
          </cell>
          <cell r="C26">
            <v>5.79</v>
          </cell>
          <cell r="D26">
            <v>19.989999999999998</v>
          </cell>
          <cell r="E26">
            <v>13.69</v>
          </cell>
          <cell r="F26">
            <v>18.989999999999998</v>
          </cell>
          <cell r="G26">
            <v>13.89</v>
          </cell>
          <cell r="H26">
            <v>13.49</v>
          </cell>
          <cell r="I26">
            <v>13.49</v>
          </cell>
          <cell r="J26">
            <v>9.99</v>
          </cell>
          <cell r="K26">
            <v>9.99</v>
          </cell>
          <cell r="L26">
            <v>24.99</v>
          </cell>
          <cell r="M26">
            <v>9.49</v>
          </cell>
          <cell r="N26">
            <v>18.989999999999998</v>
          </cell>
          <cell r="O26">
            <v>7.99</v>
          </cell>
          <cell r="P26">
            <v>8.6</v>
          </cell>
          <cell r="Q26">
            <v>4.99</v>
          </cell>
          <cell r="R26">
            <v>5.99</v>
          </cell>
          <cell r="S26">
            <v>36</v>
          </cell>
          <cell r="T26">
            <v>36</v>
          </cell>
          <cell r="U26">
            <v>27</v>
          </cell>
          <cell r="V26">
            <v>48</v>
          </cell>
        </row>
        <row r="27">
          <cell r="A27" t="str">
            <v>SE</v>
          </cell>
          <cell r="B27">
            <v>9.49</v>
          </cell>
          <cell r="C27">
            <v>5.79</v>
          </cell>
          <cell r="D27">
            <v>19.989999999999998</v>
          </cell>
          <cell r="E27">
            <v>13.69</v>
          </cell>
          <cell r="F27">
            <v>18.989999999999998</v>
          </cell>
          <cell r="G27">
            <v>13.89</v>
          </cell>
          <cell r="H27">
            <v>13.49</v>
          </cell>
          <cell r="I27">
            <v>13.49</v>
          </cell>
          <cell r="J27">
            <v>8.99</v>
          </cell>
          <cell r="K27">
            <v>7.99</v>
          </cell>
          <cell r="L27">
            <v>19.989999999999998</v>
          </cell>
          <cell r="M27">
            <v>9.49</v>
          </cell>
          <cell r="N27">
            <v>18.989999999999998</v>
          </cell>
          <cell r="O27">
            <v>7.99</v>
          </cell>
          <cell r="P27">
            <v>8.6</v>
          </cell>
          <cell r="Q27">
            <v>4.99</v>
          </cell>
          <cell r="R27">
            <v>5.99</v>
          </cell>
          <cell r="S27">
            <v>36</v>
          </cell>
          <cell r="T27">
            <v>36</v>
          </cell>
          <cell r="U27">
            <v>27</v>
          </cell>
          <cell r="V27">
            <v>48</v>
          </cell>
        </row>
        <row r="28">
          <cell r="A28" t="str">
            <v>SP</v>
          </cell>
          <cell r="B28">
            <v>9.49</v>
          </cell>
          <cell r="C28">
            <v>5.79</v>
          </cell>
          <cell r="D28">
            <v>19.989999999999998</v>
          </cell>
          <cell r="E28">
            <v>13.69</v>
          </cell>
          <cell r="F28">
            <v>18.989999999999998</v>
          </cell>
          <cell r="G28">
            <v>13.89</v>
          </cell>
          <cell r="H28">
            <v>13.49</v>
          </cell>
          <cell r="I28">
            <v>13.49</v>
          </cell>
          <cell r="J28">
            <v>9.99</v>
          </cell>
          <cell r="K28">
            <v>9.99</v>
          </cell>
          <cell r="L28">
            <v>24.99</v>
          </cell>
          <cell r="M28">
            <v>9.49</v>
          </cell>
          <cell r="N28">
            <v>18.989999999999998</v>
          </cell>
          <cell r="O28">
            <v>7.99</v>
          </cell>
          <cell r="P28">
            <v>8.6</v>
          </cell>
          <cell r="Q28">
            <v>4.99</v>
          </cell>
          <cell r="R28">
            <v>5.99</v>
          </cell>
          <cell r="S28">
            <v>36</v>
          </cell>
          <cell r="T28">
            <v>36</v>
          </cell>
          <cell r="U28">
            <v>27</v>
          </cell>
          <cell r="V28">
            <v>48</v>
          </cell>
        </row>
        <row r="29">
          <cell r="A29" t="str">
            <v>SP/Atacado</v>
          </cell>
          <cell r="B29">
            <v>9.49</v>
          </cell>
          <cell r="C29">
            <v>5.79</v>
          </cell>
          <cell r="D29">
            <v>19.989999999999998</v>
          </cell>
          <cell r="E29">
            <v>13.69</v>
          </cell>
          <cell r="F29">
            <v>18.989999999999998</v>
          </cell>
          <cell r="G29">
            <v>13.89</v>
          </cell>
          <cell r="H29">
            <v>13.49</v>
          </cell>
          <cell r="I29">
            <v>13.49</v>
          </cell>
          <cell r="J29">
            <v>9.99</v>
          </cell>
          <cell r="K29">
            <v>9.99</v>
          </cell>
          <cell r="L29">
            <v>24.99</v>
          </cell>
          <cell r="M29">
            <v>9.49</v>
          </cell>
          <cell r="N29">
            <v>18.989999999999998</v>
          </cell>
          <cell r="O29">
            <v>7.99</v>
          </cell>
          <cell r="P29">
            <v>8.6</v>
          </cell>
          <cell r="Q29">
            <v>4.99</v>
          </cell>
          <cell r="R29">
            <v>5.99</v>
          </cell>
          <cell r="S29">
            <v>36</v>
          </cell>
          <cell r="T29">
            <v>36</v>
          </cell>
          <cell r="U29">
            <v>27</v>
          </cell>
          <cell r="V29">
            <v>48</v>
          </cell>
        </row>
        <row r="30">
          <cell r="A30" t="str">
            <v>TO</v>
          </cell>
          <cell r="B30">
            <v>9.49</v>
          </cell>
          <cell r="C30">
            <v>5.79</v>
          </cell>
          <cell r="D30">
            <v>19.989999999999998</v>
          </cell>
          <cell r="E30">
            <v>13.69</v>
          </cell>
          <cell r="F30">
            <v>18.989999999999998</v>
          </cell>
          <cell r="G30">
            <v>13.89</v>
          </cell>
          <cell r="H30">
            <v>13.49</v>
          </cell>
          <cell r="I30">
            <v>13.49</v>
          </cell>
          <cell r="J30">
            <v>8.99</v>
          </cell>
          <cell r="K30">
            <v>7.99</v>
          </cell>
          <cell r="L30">
            <v>19.989999999999998</v>
          </cell>
          <cell r="M30">
            <v>9.49</v>
          </cell>
          <cell r="N30">
            <v>18.989999999999998</v>
          </cell>
          <cell r="O30">
            <v>7.99</v>
          </cell>
          <cell r="P30">
            <v>8.6</v>
          </cell>
          <cell r="Q30">
            <v>4.99</v>
          </cell>
          <cell r="R30">
            <v>5.99</v>
          </cell>
          <cell r="S30">
            <v>36</v>
          </cell>
          <cell r="T30">
            <v>36</v>
          </cell>
          <cell r="U30">
            <v>27</v>
          </cell>
          <cell r="V30">
            <v>48</v>
          </cell>
        </row>
        <row r="31">
          <cell r="A31" t="str">
            <v>EX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O84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E38" sqref="E38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6" width="9.5546875" customWidth="1"/>
    <col min="7" max="8" width="15" customWidth="1"/>
    <col min="9" max="9" width="13.5546875" customWidth="1"/>
    <col min="10" max="11" width="16.33203125" customWidth="1"/>
    <col min="12" max="12" width="14.33203125" customWidth="1"/>
    <col min="13" max="13" width="14.33203125" bestFit="1" customWidth="1"/>
    <col min="14" max="14" width="17.6640625" bestFit="1" customWidth="1"/>
    <col min="15" max="15" width="14.33203125" customWidth="1"/>
    <col min="18" max="18" width="19.33203125" customWidth="1"/>
  </cols>
  <sheetData>
    <row r="1" spans="1:15" x14ac:dyDescent="0.3">
      <c r="A1" s="35"/>
      <c r="B1" s="35"/>
      <c r="C1" s="42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x14ac:dyDescent="0.3">
      <c r="A2" s="35"/>
      <c r="B2" s="35"/>
      <c r="C2" s="42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x14ac:dyDescent="0.3">
      <c r="A3" s="35"/>
      <c r="B3" s="35"/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x14ac:dyDescent="0.3">
      <c r="A4" s="35"/>
      <c r="B4" s="35"/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22.5" customHeight="1" x14ac:dyDescent="0.3">
      <c r="A6" s="35"/>
      <c r="B6" s="156"/>
      <c r="C6" s="155"/>
      <c r="D6" s="155"/>
      <c r="E6" s="156"/>
      <c r="F6" s="156"/>
      <c r="G6" s="155"/>
      <c r="H6" s="156"/>
      <c r="I6" s="155"/>
      <c r="J6" s="155"/>
      <c r="K6" s="155"/>
      <c r="L6" s="170" t="s">
        <v>186</v>
      </c>
      <c r="M6" s="181" t="s">
        <v>6</v>
      </c>
      <c r="N6" s="182"/>
      <c r="O6" s="155"/>
    </row>
    <row r="7" spans="1:15" x14ac:dyDescent="0.3">
      <c r="A7" s="35"/>
      <c r="B7" s="156"/>
      <c r="C7" s="155"/>
      <c r="D7" s="155"/>
      <c r="E7" s="156"/>
      <c r="F7" s="156"/>
      <c r="G7" s="157"/>
      <c r="H7" s="160"/>
      <c r="I7" s="155"/>
      <c r="J7" s="155"/>
      <c r="K7" s="155"/>
      <c r="L7" s="155"/>
      <c r="M7" s="155"/>
      <c r="N7" s="158"/>
      <c r="O7" s="159"/>
    </row>
    <row r="8" spans="1:15" s="36" customFormat="1" ht="17.399999999999999" x14ac:dyDescent="0.3">
      <c r="A8" s="44"/>
      <c r="B8" s="45" t="s">
        <v>189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28.2" thickBot="1" x14ac:dyDescent="0.35">
      <c r="A9" s="35"/>
      <c r="B9" s="83" t="s">
        <v>8</v>
      </c>
      <c r="C9" s="83"/>
      <c r="D9" s="47" t="s">
        <v>9</v>
      </c>
      <c r="E9" s="47" t="s">
        <v>21</v>
      </c>
      <c r="F9" s="47" t="s">
        <v>188</v>
      </c>
      <c r="G9" s="47" t="s">
        <v>16</v>
      </c>
      <c r="H9" s="47" t="s">
        <v>17</v>
      </c>
      <c r="I9" s="47" t="s">
        <v>18</v>
      </c>
      <c r="J9" s="47" t="s">
        <v>19</v>
      </c>
      <c r="K9" s="47" t="s">
        <v>145</v>
      </c>
      <c r="L9" s="47" t="s">
        <v>20</v>
      </c>
      <c r="M9" s="47" t="s">
        <v>22</v>
      </c>
      <c r="N9" s="47" t="s">
        <v>23</v>
      </c>
      <c r="O9" s="47" t="s">
        <v>187</v>
      </c>
    </row>
    <row r="10" spans="1:15" ht="15" thickTop="1" x14ac:dyDescent="0.3">
      <c r="A10" s="35"/>
      <c r="B10" s="183" t="s">
        <v>24</v>
      </c>
      <c r="C10" s="184"/>
      <c r="D10" s="84">
        <v>5313</v>
      </c>
      <c r="E10" s="88"/>
      <c r="F10" s="19">
        <f>E10*12</f>
        <v>0</v>
      </c>
      <c r="G10" s="85">
        <f>VLOOKUP($M$6,'ST BISCOITINHOS'!A:B,2,FALSE)</f>
        <v>0.12</v>
      </c>
      <c r="H10" s="86">
        <f>VLOOKUP($M$6,PREÇOS!$A$2:$L$31,9,FALSE)</f>
        <v>8.8990000000000009</v>
      </c>
      <c r="I10" s="87">
        <f>H10*12</f>
        <v>106.78800000000001</v>
      </c>
      <c r="J10" s="90">
        <v>0</v>
      </c>
      <c r="K10" s="90">
        <v>0</v>
      </c>
      <c r="L10" s="29">
        <f>(H10+J10)*12</f>
        <v>106.78800000000001</v>
      </c>
      <c r="M10" s="89">
        <f>E10*I10</f>
        <v>0</v>
      </c>
      <c r="N10" s="29">
        <f>E10*L10</f>
        <v>0</v>
      </c>
      <c r="O10" s="86">
        <f>VLOOKUP($M$6,'PSC PAPAPA'!$A$2:$L$31,9,FALSE)</f>
        <v>13.49</v>
      </c>
    </row>
    <row r="11" spans="1:15" x14ac:dyDescent="0.3">
      <c r="A11" s="35"/>
      <c r="B11" s="175" t="s">
        <v>28</v>
      </c>
      <c r="C11" s="179"/>
      <c r="D11" s="48">
        <v>5320</v>
      </c>
      <c r="E11" s="27"/>
      <c r="F11" s="162">
        <f>E11*12</f>
        <v>0</v>
      </c>
      <c r="G11" s="50">
        <f>VLOOKUP($M$6,'ST BISCOITINHOS'!A:B,2,FALSE)</f>
        <v>0.12</v>
      </c>
      <c r="H11" s="30">
        <f>VLOOKUP($M$6,PREÇOS!$A$2:$L$31,9,FALSE)</f>
        <v>8.8990000000000009</v>
      </c>
      <c r="I11" s="31">
        <f>H11*12</f>
        <v>106.78800000000001</v>
      </c>
      <c r="J11" s="91">
        <v>0</v>
      </c>
      <c r="K11" s="91">
        <v>0</v>
      </c>
      <c r="L11" s="32">
        <f>(H11+J11)*12</f>
        <v>106.78800000000001</v>
      </c>
      <c r="M11" s="33">
        <f>E11*I11</f>
        <v>0</v>
      </c>
      <c r="N11" s="32">
        <f>E11*L11</f>
        <v>0</v>
      </c>
      <c r="O11" s="30">
        <f>VLOOKUP($M$6,'PSC PAPAPA'!$A$2:$L$31,9,FALSE)</f>
        <v>13.49</v>
      </c>
    </row>
    <row r="12" spans="1:15" x14ac:dyDescent="0.3">
      <c r="A12" s="35"/>
      <c r="B12" s="83"/>
      <c r="C12" s="83"/>
      <c r="D12" s="47"/>
      <c r="E12" s="47"/>
      <c r="F12" s="163"/>
      <c r="G12" s="47"/>
      <c r="H12" s="47"/>
      <c r="I12" s="47"/>
      <c r="J12" s="47"/>
      <c r="K12" s="47"/>
      <c r="L12" s="47"/>
      <c r="M12" s="47"/>
      <c r="N12" s="47"/>
      <c r="O12" s="47"/>
    </row>
    <row r="13" spans="1:15" x14ac:dyDescent="0.3">
      <c r="A13" s="35"/>
      <c r="B13" s="177" t="s">
        <v>29</v>
      </c>
      <c r="C13" s="179"/>
      <c r="D13" s="21">
        <v>5563</v>
      </c>
      <c r="E13" s="27"/>
      <c r="F13" s="21">
        <f>E13*16</f>
        <v>0</v>
      </c>
      <c r="G13" s="22">
        <f>VLOOKUP($M$6,'ST BISCOITINHOS'!A:B,2,FALSE)</f>
        <v>0.12</v>
      </c>
      <c r="H13" s="23">
        <f>VLOOKUP($M$6,PREÇOS!$A$2:$M$31,13,FALSE)</f>
        <v>5.67</v>
      </c>
      <c r="I13" s="24">
        <f>H13*16</f>
        <v>90.72</v>
      </c>
      <c r="J13" s="25">
        <v>0</v>
      </c>
      <c r="K13" s="25">
        <v>0</v>
      </c>
      <c r="L13" s="26">
        <f>I13</f>
        <v>90.72</v>
      </c>
      <c r="M13" s="28">
        <f>E13*I13</f>
        <v>0</v>
      </c>
      <c r="N13" s="26">
        <f>E13*L13</f>
        <v>0</v>
      </c>
      <c r="O13" s="23">
        <f>VLOOKUP($M$6,'PSC PAPAPA'!$A$2:$M$31,13,FALSE)</f>
        <v>9.49</v>
      </c>
    </row>
    <row r="14" spans="1:15" x14ac:dyDescent="0.3">
      <c r="A14" s="35"/>
      <c r="B14" s="175" t="s">
        <v>32</v>
      </c>
      <c r="C14" s="179"/>
      <c r="D14" s="48">
        <v>5570</v>
      </c>
      <c r="E14" s="27"/>
      <c r="F14" s="162">
        <f>E14*16</f>
        <v>0</v>
      </c>
      <c r="G14" s="50">
        <f>VLOOKUP($M$6,'ST BISCOITINHOS'!A:B,2,FALSE)</f>
        <v>0.12</v>
      </c>
      <c r="H14" s="30">
        <f>VLOOKUP($M$6,PREÇOS!$A$2:$M$31,13,FALSE)</f>
        <v>5.67</v>
      </c>
      <c r="I14" s="31">
        <f>H14*16</f>
        <v>90.72</v>
      </c>
      <c r="J14" s="51">
        <v>0</v>
      </c>
      <c r="K14" s="51">
        <v>0</v>
      </c>
      <c r="L14" s="32">
        <f>I14</f>
        <v>90.72</v>
      </c>
      <c r="M14" s="33">
        <f>E14*I14</f>
        <v>0</v>
      </c>
      <c r="N14" s="32">
        <f>E14*L14</f>
        <v>0</v>
      </c>
      <c r="O14" s="30">
        <f>VLOOKUP($M$6,'PSC PAPAPA'!$A$2:$M$31,13,FALSE)</f>
        <v>9.49</v>
      </c>
    </row>
    <row r="15" spans="1:15" x14ac:dyDescent="0.3">
      <c r="A15" s="35"/>
      <c r="B15" s="83"/>
      <c r="C15" s="83"/>
      <c r="D15" s="47"/>
      <c r="E15" s="47"/>
      <c r="F15" s="163"/>
      <c r="G15" s="47"/>
      <c r="H15" s="47"/>
      <c r="I15" s="47"/>
      <c r="J15" s="47"/>
      <c r="K15" s="47"/>
      <c r="L15" s="47"/>
      <c r="M15" s="47"/>
      <c r="N15" s="47"/>
      <c r="O15" s="47"/>
    </row>
    <row r="16" spans="1:15" x14ac:dyDescent="0.3">
      <c r="A16" s="35"/>
      <c r="B16" s="177" t="s">
        <v>33</v>
      </c>
      <c r="C16" s="179"/>
      <c r="D16" s="21">
        <v>17898994908729</v>
      </c>
      <c r="E16" s="27"/>
      <c r="F16" s="21">
        <f t="shared" ref="F16:F21" si="0">E16*12</f>
        <v>0</v>
      </c>
      <c r="G16" s="22">
        <f>VLOOKUP($M$6,'ST BISCOITINHOS'!A:B,2,FALSE)</f>
        <v>0.12</v>
      </c>
      <c r="H16" s="23">
        <f>VLOOKUP($M$6,PREÇOS!$A$2:$L$31,2,FALSE)</f>
        <v>6.24</v>
      </c>
      <c r="I16" s="24">
        <f>H16*12</f>
        <v>74.88</v>
      </c>
      <c r="J16" s="25">
        <v>0</v>
      </c>
      <c r="K16" s="25">
        <v>0</v>
      </c>
      <c r="L16" s="26">
        <f>I16</f>
        <v>74.88</v>
      </c>
      <c r="M16" s="28">
        <f t="shared" ref="M16:M21" si="1">E16*I16</f>
        <v>0</v>
      </c>
      <c r="N16" s="26">
        <f t="shared" ref="N16:N21" si="2">E16*L16</f>
        <v>0</v>
      </c>
      <c r="O16" s="23">
        <f>VLOOKUP($M$6,'PSC PAPAPA'!$A$2:$L$31,2,FALSE)</f>
        <v>9.49</v>
      </c>
    </row>
    <row r="17" spans="1:15" x14ac:dyDescent="0.3">
      <c r="A17" s="35"/>
      <c r="B17" s="175" t="s">
        <v>37</v>
      </c>
      <c r="C17" s="179"/>
      <c r="D17" s="48">
        <v>17898994908736</v>
      </c>
      <c r="E17" s="27"/>
      <c r="F17" s="162">
        <f t="shared" si="0"/>
        <v>0</v>
      </c>
      <c r="G17" s="50">
        <f>VLOOKUP($M$6,'ST BISCOITINHOS'!A:B,2,FALSE)</f>
        <v>0.12</v>
      </c>
      <c r="H17" s="30">
        <f>VLOOKUP($M$6,PREÇOS!$A$2:$L$31,2,FALSE)</f>
        <v>6.24</v>
      </c>
      <c r="I17" s="31">
        <f t="shared" ref="I17:I21" si="3">H17*12</f>
        <v>74.88</v>
      </c>
      <c r="J17" s="51">
        <v>0</v>
      </c>
      <c r="K17" s="51">
        <v>0</v>
      </c>
      <c r="L17" s="32">
        <f>I17</f>
        <v>74.88</v>
      </c>
      <c r="M17" s="33">
        <f t="shared" si="1"/>
        <v>0</v>
      </c>
      <c r="N17" s="32">
        <f t="shared" si="2"/>
        <v>0</v>
      </c>
      <c r="O17" s="30">
        <f>VLOOKUP($M$6,'PSC PAPAPA'!$A$2:$L$31,2,FALSE)</f>
        <v>9.49</v>
      </c>
    </row>
    <row r="18" spans="1:15" x14ac:dyDescent="0.3">
      <c r="A18" s="35"/>
      <c r="B18" s="177" t="s">
        <v>39</v>
      </c>
      <c r="C18" s="179"/>
      <c r="D18" s="21">
        <v>17898994908712</v>
      </c>
      <c r="E18" s="27"/>
      <c r="F18" s="21">
        <f t="shared" si="0"/>
        <v>0</v>
      </c>
      <c r="G18" s="22">
        <f>VLOOKUP($M$6,'ST BISCOITINHOS'!A:B,2,FALSE)</f>
        <v>0.12</v>
      </c>
      <c r="H18" s="23">
        <f>VLOOKUP($M$6,PREÇOS!$A$2:$L$31,2,FALSE)</f>
        <v>6.24</v>
      </c>
      <c r="I18" s="24">
        <f t="shared" si="3"/>
        <v>74.88</v>
      </c>
      <c r="J18" s="25">
        <v>0</v>
      </c>
      <c r="K18" s="25">
        <v>0</v>
      </c>
      <c r="L18" s="26">
        <f>I18</f>
        <v>74.88</v>
      </c>
      <c r="M18" s="28">
        <f t="shared" si="1"/>
        <v>0</v>
      </c>
      <c r="N18" s="26">
        <f t="shared" si="2"/>
        <v>0</v>
      </c>
      <c r="O18" s="23">
        <f>VLOOKUP($M$6,'PSC PAPAPA'!$A$2:$L$31,2,FALSE)</f>
        <v>9.49</v>
      </c>
    </row>
    <row r="19" spans="1:15" x14ac:dyDescent="0.3">
      <c r="A19" s="35"/>
      <c r="B19" s="175" t="s">
        <v>41</v>
      </c>
      <c r="C19" s="179"/>
      <c r="D19" s="48">
        <v>17898994908750</v>
      </c>
      <c r="E19" s="27"/>
      <c r="F19" s="162">
        <f t="shared" si="0"/>
        <v>0</v>
      </c>
      <c r="G19" s="50">
        <f>VLOOKUP($M$6,'ST BISCOITINHOS'!A:B,2,FALSE)</f>
        <v>0.12</v>
      </c>
      <c r="H19" s="30">
        <f>VLOOKUP($M$6,PREÇOS!$A$2:$L$31,2,FALSE)</f>
        <v>6.24</v>
      </c>
      <c r="I19" s="31">
        <f t="shared" si="3"/>
        <v>74.88</v>
      </c>
      <c r="J19" s="51">
        <v>0</v>
      </c>
      <c r="K19" s="51">
        <v>0</v>
      </c>
      <c r="L19" s="32">
        <f>I19</f>
        <v>74.88</v>
      </c>
      <c r="M19" s="33">
        <f t="shared" si="1"/>
        <v>0</v>
      </c>
      <c r="N19" s="32">
        <f t="shared" si="2"/>
        <v>0</v>
      </c>
      <c r="O19" s="30">
        <f>VLOOKUP($M$6,'PSC PAPAPA'!$A$2:$L$31,2,FALSE)</f>
        <v>9.49</v>
      </c>
    </row>
    <row r="20" spans="1:15" x14ac:dyDescent="0.3">
      <c r="A20" s="35"/>
      <c r="B20" s="177" t="s">
        <v>43</v>
      </c>
      <c r="C20" s="179"/>
      <c r="D20" s="21">
        <v>27898994908757</v>
      </c>
      <c r="E20" s="27"/>
      <c r="F20" s="21">
        <f t="shared" si="0"/>
        <v>0</v>
      </c>
      <c r="G20" s="22">
        <f>VLOOKUP($M$6,'ST BISCOITINHOS'!A:B,2,FALSE)</f>
        <v>0.12</v>
      </c>
      <c r="H20" s="23">
        <f>VLOOKUP($M$6,PREÇOS!$A$2:$L$31,2,FALSE)</f>
        <v>6.24</v>
      </c>
      <c r="I20" s="24">
        <f t="shared" si="3"/>
        <v>74.88</v>
      </c>
      <c r="J20" s="25">
        <v>0</v>
      </c>
      <c r="K20" s="25">
        <v>0</v>
      </c>
      <c r="L20" s="26">
        <f>I20</f>
        <v>74.88</v>
      </c>
      <c r="M20" s="28">
        <f t="shared" si="1"/>
        <v>0</v>
      </c>
      <c r="N20" s="26">
        <f t="shared" si="2"/>
        <v>0</v>
      </c>
      <c r="O20" s="23">
        <f>VLOOKUP($M$6,'PSC PAPAPA'!$A$2:$L$31,2,FALSE)</f>
        <v>9.49</v>
      </c>
    </row>
    <row r="21" spans="1:15" x14ac:dyDescent="0.3">
      <c r="A21" s="35"/>
      <c r="B21" s="175" t="s">
        <v>45</v>
      </c>
      <c r="C21" s="176"/>
      <c r="D21" s="48">
        <v>5306</v>
      </c>
      <c r="E21" s="27"/>
      <c r="F21" s="162">
        <f t="shared" si="0"/>
        <v>0</v>
      </c>
      <c r="G21" s="50">
        <f>VLOOKUP($M$6,'ST BISCOITINHOS'!A:B,2,FALSE)</f>
        <v>0.12</v>
      </c>
      <c r="H21" s="30">
        <f>VLOOKUP($M$6,PREÇOS!$A$2:$L$31,2,FALSE)</f>
        <v>6.24</v>
      </c>
      <c r="I21" s="31">
        <f t="shared" si="3"/>
        <v>74.88</v>
      </c>
      <c r="J21" s="51">
        <v>0</v>
      </c>
      <c r="K21" s="51">
        <v>0</v>
      </c>
      <c r="L21" s="32">
        <f t="shared" ref="L21" si="4">I21</f>
        <v>74.88</v>
      </c>
      <c r="M21" s="33">
        <f t="shared" si="1"/>
        <v>0</v>
      </c>
      <c r="N21" s="32">
        <f t="shared" si="2"/>
        <v>0</v>
      </c>
      <c r="O21" s="30">
        <f>VLOOKUP($M$6,'PSC PAPAPA'!$A$2:$L$31,2,FALSE)</f>
        <v>9.49</v>
      </c>
    </row>
    <row r="22" spans="1:15" x14ac:dyDescent="0.3">
      <c r="A22" s="35"/>
      <c r="B22" s="52"/>
      <c r="C22" s="52"/>
      <c r="D22" s="52"/>
      <c r="E22" s="52"/>
      <c r="F22" s="164"/>
      <c r="G22" s="52"/>
      <c r="H22" s="52"/>
      <c r="I22" s="52"/>
      <c r="J22" s="52"/>
      <c r="K22" s="52"/>
      <c r="L22" s="52"/>
      <c r="M22" s="52"/>
      <c r="N22" s="52"/>
      <c r="O22" s="52"/>
    </row>
    <row r="23" spans="1:15" x14ac:dyDescent="0.3">
      <c r="A23" s="35"/>
      <c r="B23" s="177" t="s">
        <v>46</v>
      </c>
      <c r="C23" s="179"/>
      <c r="D23" s="21">
        <v>5085</v>
      </c>
      <c r="E23" s="27"/>
      <c r="F23" s="21">
        <f>E23*16</f>
        <v>0</v>
      </c>
      <c r="G23" s="22">
        <f>VLOOKUP($M$6,'ST PALITINHOS'!A:B,2,FALSE)</f>
        <v>0.12</v>
      </c>
      <c r="H23" s="23">
        <f>VLOOKUP($M$6,PREÇOS!$A$2:$L$31,3,FALSE)</f>
        <v>3.78</v>
      </c>
      <c r="I23" s="24">
        <f>H23*16</f>
        <v>60.48</v>
      </c>
      <c r="J23" s="25">
        <f>IF($G$7="SIM",VLOOKUP($M$6,'ST PALITINHOS'!$A$1:$J$31,10,FALSE),VLOOKUP($M$6,'ST PALITINHOS'!$A$1:$J$31,9,FALSE))</f>
        <v>0.78988769999999997</v>
      </c>
      <c r="K23" s="25">
        <v>0</v>
      </c>
      <c r="L23" s="26">
        <f>(H23+J23)*16</f>
        <v>73.118203199999996</v>
      </c>
      <c r="M23" s="28">
        <f>E23*I23</f>
        <v>0</v>
      </c>
      <c r="N23" s="26">
        <f>E23*L23</f>
        <v>0</v>
      </c>
      <c r="O23" s="23">
        <f>VLOOKUP($M$6,'PSC PAPAPA'!$A$2:$L$31,3,FALSE)</f>
        <v>5.79</v>
      </c>
    </row>
    <row r="24" spans="1:15" x14ac:dyDescent="0.3">
      <c r="A24" s="35"/>
      <c r="B24" s="175" t="s">
        <v>50</v>
      </c>
      <c r="C24" s="179"/>
      <c r="D24" s="48">
        <v>5078</v>
      </c>
      <c r="E24" s="27"/>
      <c r="F24" s="162">
        <f>E24*16</f>
        <v>0</v>
      </c>
      <c r="G24" s="50">
        <f>VLOOKUP($M$6,'ST PALITINHOS'!A:B,2,FALSE)</f>
        <v>0.12</v>
      </c>
      <c r="H24" s="30">
        <f>VLOOKUP($M$6,PREÇOS!$A$2:$L$31,3,FALSE)</f>
        <v>3.78</v>
      </c>
      <c r="I24" s="31">
        <f>H24*16</f>
        <v>60.48</v>
      </c>
      <c r="J24" s="51">
        <f>IF($G$7="SIM",VLOOKUP($M$6,'ST PALITINHOS'!$A$1:$J$31,10,FALSE),VLOOKUP($M$6,'ST PALITINHOS'!$A$1:$J$31,9,FALSE))</f>
        <v>0.78988769999999997</v>
      </c>
      <c r="K24" s="51">
        <v>0</v>
      </c>
      <c r="L24" s="32">
        <f>(H24+J24)*16</f>
        <v>73.118203199999996</v>
      </c>
      <c r="M24" s="33">
        <f>E24*I24</f>
        <v>0</v>
      </c>
      <c r="N24" s="32">
        <f>E24*L24</f>
        <v>0</v>
      </c>
      <c r="O24" s="30">
        <f>VLOOKUP($M$6,'PSC PAPAPA'!$A$2:$L$31,3,FALSE)</f>
        <v>5.79</v>
      </c>
    </row>
    <row r="25" spans="1:15" x14ac:dyDescent="0.3">
      <c r="A25" s="35"/>
      <c r="B25" s="177" t="s">
        <v>51</v>
      </c>
      <c r="C25" s="179"/>
      <c r="D25" s="21">
        <v>5061</v>
      </c>
      <c r="E25" s="27"/>
      <c r="F25" s="21">
        <f>E25*16</f>
        <v>0</v>
      </c>
      <c r="G25" s="22">
        <f>VLOOKUP($M$6,'ST PALITINHOS'!A:B,2,FALSE)</f>
        <v>0.12</v>
      </c>
      <c r="H25" s="23">
        <f>VLOOKUP($M$6,PREÇOS!$A$2:$L$31,3,FALSE)</f>
        <v>3.78</v>
      </c>
      <c r="I25" s="24">
        <f>H25*16</f>
        <v>60.48</v>
      </c>
      <c r="J25" s="25">
        <f>IF($G$7="SIM",VLOOKUP($M$6,'ST PALITINHOS'!$A$1:$J$31,10,FALSE),VLOOKUP($M$6,'ST PALITINHOS'!$A$1:$J$31,9,FALSE))</f>
        <v>0.78988769999999997</v>
      </c>
      <c r="K25" s="25">
        <v>0</v>
      </c>
      <c r="L25" s="26">
        <f>(H25+J25)*16</f>
        <v>73.118203199999996</v>
      </c>
      <c r="M25" s="28">
        <f>E25*I25</f>
        <v>0</v>
      </c>
      <c r="N25" s="26">
        <f>E25*L25</f>
        <v>0</v>
      </c>
      <c r="O25" s="23">
        <f>VLOOKUP($M$6,'PSC PAPAPA'!$A$2:$L$31,3,FALSE)</f>
        <v>5.79</v>
      </c>
    </row>
    <row r="26" spans="1:15" x14ac:dyDescent="0.3">
      <c r="A26" s="35"/>
      <c r="B26" s="53"/>
      <c r="C26" s="53"/>
      <c r="D26" s="53"/>
      <c r="E26" s="53"/>
      <c r="F26" s="165"/>
      <c r="G26" s="53"/>
      <c r="H26" s="53"/>
      <c r="I26" s="53"/>
      <c r="J26" s="53"/>
      <c r="K26" s="53"/>
      <c r="L26" s="53"/>
      <c r="M26" s="53"/>
      <c r="N26" s="53"/>
      <c r="O26" s="53"/>
    </row>
    <row r="27" spans="1:15" x14ac:dyDescent="0.3">
      <c r="A27" s="35"/>
      <c r="B27" s="177" t="s">
        <v>52</v>
      </c>
      <c r="C27" s="179"/>
      <c r="D27" s="21">
        <v>8774</v>
      </c>
      <c r="E27" s="27"/>
      <c r="F27" s="21">
        <f>E27*12</f>
        <v>0</v>
      </c>
      <c r="G27" s="22">
        <f>VLOOKUP($M$6,'ST BISCOITINHOS'!A:B,2,FALSE)</f>
        <v>0.12</v>
      </c>
      <c r="H27" s="23">
        <f>VLOOKUP($M$6,PREÇOS!$A$2:$L$31,4,FALSE)</f>
        <v>12.9574</v>
      </c>
      <c r="I27" s="24">
        <f>H27*12</f>
        <v>155.4888</v>
      </c>
      <c r="J27" s="25">
        <f>IF($G$7="SIM",VLOOKUP($M$6,'ST BISCOITINHOS'!$A$1:$J$31,10,FALSE),VLOOKUP($M$6,'ST BISCOITINHOS'!$A$1:$J$31,9,FALSE))</f>
        <v>0</v>
      </c>
      <c r="K27" s="25">
        <v>0</v>
      </c>
      <c r="L27" s="26">
        <f>(H27+J27)*12</f>
        <v>155.4888</v>
      </c>
      <c r="M27" s="28">
        <f>E27*I27</f>
        <v>0</v>
      </c>
      <c r="N27" s="26">
        <f>E27*L27</f>
        <v>0</v>
      </c>
      <c r="O27" s="23">
        <f>VLOOKUP($M$6,'PSC PAPAPA'!$A$2:$L$31,4,FALSE)</f>
        <v>19.989999999999998</v>
      </c>
    </row>
    <row r="28" spans="1:15" x14ac:dyDescent="0.3">
      <c r="A28" s="35"/>
      <c r="B28" s="175" t="s">
        <v>55</v>
      </c>
      <c r="C28" s="179"/>
      <c r="D28" s="48">
        <v>8767</v>
      </c>
      <c r="E28" s="27"/>
      <c r="F28" s="162">
        <f>E28*12</f>
        <v>0</v>
      </c>
      <c r="G28" s="50">
        <f>VLOOKUP($M$6,'ST BISCOITINHOS'!A:B,2,FALSE)</f>
        <v>0.12</v>
      </c>
      <c r="H28" s="30">
        <f>VLOOKUP($M$6,PREÇOS!$A$2:$L$31,4,FALSE)</f>
        <v>12.9574</v>
      </c>
      <c r="I28" s="31">
        <f>H28*12</f>
        <v>155.4888</v>
      </c>
      <c r="J28" s="51">
        <f>IF($G$7="SIM",VLOOKUP($M$6,'ST BISCOITINHOS'!$A$1:$J$31,10,FALSE),VLOOKUP($M$6,'ST BISCOITINHOS'!$A$1:$J$31,9,FALSE))</f>
        <v>0</v>
      </c>
      <c r="K28" s="51">
        <v>0</v>
      </c>
      <c r="L28" s="32">
        <f>(H28+J28)*12</f>
        <v>155.4888</v>
      </c>
      <c r="M28" s="33">
        <f>E28*I28</f>
        <v>0</v>
      </c>
      <c r="N28" s="32">
        <f>E28*L28</f>
        <v>0</v>
      </c>
      <c r="O28" s="30">
        <f>VLOOKUP($M$6,'PSC PAPAPA'!$A$2:$L$31,4,FALSE)</f>
        <v>19.989999999999998</v>
      </c>
    </row>
    <row r="29" spans="1:15" x14ac:dyDescent="0.3">
      <c r="A29" s="35"/>
      <c r="B29" s="53"/>
      <c r="C29" s="53"/>
      <c r="D29" s="53"/>
      <c r="E29" s="53"/>
      <c r="F29" s="165"/>
      <c r="G29" s="53"/>
      <c r="H29" s="53"/>
      <c r="I29" s="53"/>
      <c r="J29" s="53"/>
      <c r="K29" s="53"/>
      <c r="L29" s="53"/>
      <c r="M29" s="53"/>
      <c r="N29" s="53"/>
      <c r="O29" s="53"/>
    </row>
    <row r="30" spans="1:15" x14ac:dyDescent="0.3">
      <c r="A30" s="35"/>
      <c r="B30" s="177" t="s">
        <v>56</v>
      </c>
      <c r="C30" s="179"/>
      <c r="D30" s="21">
        <v>5290</v>
      </c>
      <c r="E30" s="27"/>
      <c r="F30" s="21">
        <f>E30*12</f>
        <v>0</v>
      </c>
      <c r="G30" s="22">
        <f>VLOOKUP($M$6,'ST PAPAPASTA'!A:B,2,FALSE)</f>
        <v>0.12</v>
      </c>
      <c r="H30" s="23">
        <f>VLOOKUP($M$6,PREÇOS!$A$2:$L$31,5,FALSE)</f>
        <v>8.4499999999999993</v>
      </c>
      <c r="I30" s="24">
        <f>H30*12</f>
        <v>101.39999999999999</v>
      </c>
      <c r="J30" s="25">
        <f>IF($G$7="SIM",VLOOKUP($M$6,'ST PAPAPASTA'!$A$1:$J$31,10,FALSE),VLOOKUP($M$6,'ST PAPAPASTA'!$A$1:$J$31,9,FALSE))</f>
        <v>0</v>
      </c>
      <c r="K30" s="25">
        <v>0</v>
      </c>
      <c r="L30" s="26">
        <f>(H30+J30)*12</f>
        <v>101.39999999999999</v>
      </c>
      <c r="M30" s="28">
        <f>E30*I30</f>
        <v>0</v>
      </c>
      <c r="N30" s="26">
        <f>E30*L30</f>
        <v>0</v>
      </c>
      <c r="O30" s="23">
        <f>VLOOKUP($M$6,'PSC PAPAPA'!$A$2:$L$31,5,FALSE)</f>
        <v>13.69</v>
      </c>
    </row>
    <row r="31" spans="1:15" x14ac:dyDescent="0.3">
      <c r="A31" s="35"/>
      <c r="B31" s="175" t="s">
        <v>60</v>
      </c>
      <c r="C31" s="179"/>
      <c r="D31" s="48">
        <v>5283</v>
      </c>
      <c r="E31" s="27"/>
      <c r="F31" s="162">
        <f>E31*12</f>
        <v>0</v>
      </c>
      <c r="G31" s="50">
        <f>VLOOKUP($M$6,'ST PAPAPASTA'!A:B,2,FALSE)</f>
        <v>0.12</v>
      </c>
      <c r="H31" s="30">
        <f>VLOOKUP($M$6,PREÇOS!$A$2:$L$31,5,FALSE)</f>
        <v>8.4499999999999993</v>
      </c>
      <c r="I31" s="31">
        <f>H31*12</f>
        <v>101.39999999999999</v>
      </c>
      <c r="J31" s="51">
        <f>IF($G$7="SIM",VLOOKUP($M$6,'ST PAPAPASTA'!$A$1:$J$31,10,FALSE),VLOOKUP($M$6,'ST PAPAPASTA'!$A$1:$J$31,9,FALSE))</f>
        <v>0</v>
      </c>
      <c r="K31" s="51">
        <v>0</v>
      </c>
      <c r="L31" s="32">
        <f>(H31+J31)*12</f>
        <v>101.39999999999999</v>
      </c>
      <c r="M31" s="33">
        <f>E31*I31</f>
        <v>0</v>
      </c>
      <c r="N31" s="32">
        <f>E31*L31</f>
        <v>0</v>
      </c>
      <c r="O31" s="30">
        <f>VLOOKUP($M$6,'PSC PAPAPA'!$A$2:$L$31,5,FALSE)</f>
        <v>13.69</v>
      </c>
    </row>
    <row r="32" spans="1:15" x14ac:dyDescent="0.3">
      <c r="A32" s="35"/>
      <c r="B32" s="53"/>
      <c r="C32" s="53"/>
      <c r="D32" s="53"/>
      <c r="E32" s="53"/>
      <c r="F32" s="165"/>
      <c r="G32" s="53"/>
      <c r="H32" s="53"/>
      <c r="I32" s="53"/>
      <c r="J32" s="53"/>
      <c r="K32" s="53"/>
      <c r="L32" s="53"/>
      <c r="M32" s="53"/>
      <c r="N32" s="53"/>
      <c r="O32" s="53"/>
    </row>
    <row r="33" spans="2:15" x14ac:dyDescent="0.3">
      <c r="B33" s="177" t="s">
        <v>61</v>
      </c>
      <c r="C33" s="179"/>
      <c r="D33" s="21">
        <v>5276</v>
      </c>
      <c r="E33" s="27"/>
      <c r="F33" s="21">
        <f>E33*6</f>
        <v>0</v>
      </c>
      <c r="G33" s="22">
        <f>VLOOKUP($M$6,'ST PAPAPASTA'!A:B,2,FALSE)</f>
        <v>0.12</v>
      </c>
      <c r="H33" s="23">
        <f>VLOOKUP($M$6,PREÇOS!$A$2:$L$31,6,FALSE)</f>
        <v>11.8</v>
      </c>
      <c r="I33" s="24">
        <f>H33*6</f>
        <v>70.800000000000011</v>
      </c>
      <c r="J33" s="25">
        <v>0</v>
      </c>
      <c r="K33" s="25">
        <v>0</v>
      </c>
      <c r="L33" s="26">
        <f>(H33+J33)*6</f>
        <v>70.800000000000011</v>
      </c>
      <c r="M33" s="28">
        <f>E33*I33</f>
        <v>0</v>
      </c>
      <c r="N33" s="26">
        <f>E33*L33</f>
        <v>0</v>
      </c>
      <c r="O33" s="23">
        <f>VLOOKUP($M$6,'PSC PAPAPA'!$A$2:$L$31,6,FALSE)</f>
        <v>17.989999999999998</v>
      </c>
    </row>
    <row r="34" spans="2:15" x14ac:dyDescent="0.3">
      <c r="B34" s="175" t="s">
        <v>63</v>
      </c>
      <c r="C34" s="179"/>
      <c r="D34" s="48">
        <v>5269</v>
      </c>
      <c r="E34" s="27"/>
      <c r="F34" s="162">
        <f>E34*6</f>
        <v>0</v>
      </c>
      <c r="G34" s="50">
        <f>VLOOKUP($M$6,'ST PAPAPASTA'!A:B,2,FALSE)</f>
        <v>0.12</v>
      </c>
      <c r="H34" s="30">
        <f>VLOOKUP($M$6,PREÇOS!$A$2:$L$31,6,FALSE)</f>
        <v>11.8</v>
      </c>
      <c r="I34" s="31">
        <f>H34*6</f>
        <v>70.800000000000011</v>
      </c>
      <c r="J34" s="51">
        <v>0</v>
      </c>
      <c r="K34" s="51">
        <v>0</v>
      </c>
      <c r="L34" s="32">
        <f>(H34+J34)*6</f>
        <v>70.800000000000011</v>
      </c>
      <c r="M34" s="33">
        <f>E34*I34</f>
        <v>0</v>
      </c>
      <c r="N34" s="32">
        <f>E34*L34</f>
        <v>0</v>
      </c>
      <c r="O34" s="30">
        <f>VLOOKUP($M$6,'PSC PAPAPA'!$A$2:$L$31,6,FALSE)</f>
        <v>17.989999999999998</v>
      </c>
    </row>
    <row r="35" spans="2:15" x14ac:dyDescent="0.3">
      <c r="B35" s="177" t="s">
        <v>64</v>
      </c>
      <c r="C35" s="179"/>
      <c r="D35" s="21">
        <v>5252</v>
      </c>
      <c r="E35" s="27"/>
      <c r="F35" s="21">
        <f>E35*6</f>
        <v>0</v>
      </c>
      <c r="G35" s="22">
        <f>VLOOKUP($M$6,'ST PAPAPASTA'!A:B,2,FALSE)</f>
        <v>0.12</v>
      </c>
      <c r="H35" s="23">
        <f>VLOOKUP($M$6,PREÇOS!$A$2:$L$31,6,FALSE)</f>
        <v>11.8</v>
      </c>
      <c r="I35" s="24">
        <f>H35*6</f>
        <v>70.800000000000011</v>
      </c>
      <c r="J35" s="25">
        <v>0</v>
      </c>
      <c r="K35" s="25">
        <v>0</v>
      </c>
      <c r="L35" s="26">
        <f>(H35+J35)*6</f>
        <v>70.800000000000011</v>
      </c>
      <c r="M35" s="28">
        <f>E35*I35</f>
        <v>0</v>
      </c>
      <c r="N35" s="26">
        <f>E35*L35</f>
        <v>0</v>
      </c>
      <c r="O35" s="23">
        <f>VLOOKUP($M$6,'PSC PAPAPA'!$A$2:$L$31,6,FALSE)</f>
        <v>17.989999999999998</v>
      </c>
    </row>
    <row r="36" spans="2:15" x14ac:dyDescent="0.3">
      <c r="B36" s="53"/>
      <c r="C36" s="53"/>
      <c r="D36" s="53"/>
      <c r="E36" s="53"/>
      <c r="F36" s="165"/>
      <c r="G36" s="53"/>
      <c r="H36" s="53"/>
      <c r="I36" s="53"/>
      <c r="J36" s="53"/>
      <c r="K36" s="53"/>
      <c r="L36" s="53"/>
      <c r="M36" s="53"/>
      <c r="N36" s="53"/>
      <c r="O36" s="53"/>
    </row>
    <row r="37" spans="2:15" x14ac:dyDescent="0.3">
      <c r="B37" s="175" t="s">
        <v>65</v>
      </c>
      <c r="C37" s="176"/>
      <c r="D37" s="48">
        <v>5402</v>
      </c>
      <c r="E37" s="27"/>
      <c r="F37" s="162">
        <f>E37*12</f>
        <v>0</v>
      </c>
      <c r="G37" s="50">
        <f>VLOOKUP($M$6,'ST CEREAL SABOR POUCH 170'!A:B,2,FALSE)</f>
        <v>0.12</v>
      </c>
      <c r="H37" s="30">
        <f>VLOOKUP($M$6,PREÇOS!$A$2:$L$31,10,FALSE)</f>
        <v>6.15</v>
      </c>
      <c r="I37" s="31">
        <f t="shared" ref="I37:I40" si="5">H37*12</f>
        <v>73.800000000000011</v>
      </c>
      <c r="J37" s="112">
        <f>IF($G$7="SIM",VLOOKUP($M$6,'ST CEREAL SABOR POUCH 170'!$A$1:$J$31,10,FALSE),VLOOKUP($M$6,'ST CEREAL SABOR POUCH 170'!$A$1:$J$31,9,FALSE))</f>
        <v>1.1903940000000002</v>
      </c>
      <c r="K37" s="112">
        <v>0</v>
      </c>
      <c r="L37" s="32">
        <f t="shared" ref="L37:L40" si="6">(H37+J37)*12</f>
        <v>88.084728000000013</v>
      </c>
      <c r="M37" s="33">
        <f>E37*I37</f>
        <v>0</v>
      </c>
      <c r="N37" s="32">
        <f>E37*L37</f>
        <v>0</v>
      </c>
      <c r="O37" s="30">
        <f>VLOOKUP($M$6,'PSC PAPAPA'!$A$2:$L$31,10,FALSE)</f>
        <v>9.99</v>
      </c>
    </row>
    <row r="38" spans="2:15" x14ac:dyDescent="0.3">
      <c r="B38" s="177" t="s">
        <v>68</v>
      </c>
      <c r="C38" s="178"/>
      <c r="D38" s="21">
        <v>5419</v>
      </c>
      <c r="E38" s="27"/>
      <c r="F38" s="21">
        <f>E38*12</f>
        <v>0</v>
      </c>
      <c r="G38" s="22">
        <f>VLOOKUP($M$6,'ST CEREAL SABOR POUCH 170'!A:B,2,FALSE)</f>
        <v>0.12</v>
      </c>
      <c r="H38" s="23">
        <f>VLOOKUP($M$6,PREÇOS!$A$2:$L$31,10,FALSE)</f>
        <v>6.15</v>
      </c>
      <c r="I38" s="24">
        <f t="shared" si="5"/>
        <v>73.800000000000011</v>
      </c>
      <c r="J38" s="25">
        <f>IF($G$7="SIM",VLOOKUP($M$6,'ST CEREAL SABOR POUCH 170'!$A$1:$J$31,10,FALSE),VLOOKUP($M$6,'ST CEREAL SABOR POUCH 170'!$A$1:$J$31,9,FALSE))</f>
        <v>1.1903940000000002</v>
      </c>
      <c r="K38" s="25">
        <v>0</v>
      </c>
      <c r="L38" s="26">
        <f t="shared" si="6"/>
        <v>88.084728000000013</v>
      </c>
      <c r="M38" s="28">
        <f>E38*I38</f>
        <v>0</v>
      </c>
      <c r="N38" s="26">
        <f>E38*L38</f>
        <v>0</v>
      </c>
      <c r="O38" s="23">
        <f>VLOOKUP($M$6,'PSC PAPAPA'!$A$2:$L$31,10,FALSE)</f>
        <v>9.99</v>
      </c>
    </row>
    <row r="39" spans="2:15" x14ac:dyDescent="0.3">
      <c r="B39" s="175" t="s">
        <v>69</v>
      </c>
      <c r="C39" s="176"/>
      <c r="D39" s="48">
        <v>5429</v>
      </c>
      <c r="E39" s="27"/>
      <c r="F39" s="162">
        <f>E39*12</f>
        <v>0</v>
      </c>
      <c r="G39" s="50">
        <f>VLOOKUP($M$6,'ST MULTI 170 POUCH'!A:B,2,FALSE)</f>
        <v>0.12</v>
      </c>
      <c r="H39" s="30">
        <f>VLOOKUP($M$6,PREÇOS!$A$2:$L$31,11,FALSE)</f>
        <v>6.15</v>
      </c>
      <c r="I39" s="31">
        <f t="shared" si="5"/>
        <v>73.800000000000011</v>
      </c>
      <c r="J39" s="112">
        <f>IF($G$7="SIM",VLOOKUP($M$6,'ST MULTI 170 POUCH'!$A$1:$J$31,10,FALSE),VLOOKUP($M$6,'ST MULTI 170 POUCH'!$A$1:$J$31,9,FALSE))</f>
        <v>1.1903940000000002</v>
      </c>
      <c r="K39" s="112">
        <v>0</v>
      </c>
      <c r="L39" s="32">
        <f t="shared" si="6"/>
        <v>88.084728000000013</v>
      </c>
      <c r="M39" s="33">
        <f>E39*I39</f>
        <v>0</v>
      </c>
      <c r="N39" s="32">
        <f>E39*L39</f>
        <v>0</v>
      </c>
      <c r="O39" s="30">
        <f>VLOOKUP($M$6,'PSC PAPAPA'!$A$2:$L$31,11,FALSE)</f>
        <v>9.99</v>
      </c>
    </row>
    <row r="40" spans="2:15" x14ac:dyDescent="0.3">
      <c r="B40" s="177" t="s">
        <v>70</v>
      </c>
      <c r="C40" s="178"/>
      <c r="D40" s="21">
        <v>5399</v>
      </c>
      <c r="E40" s="27"/>
      <c r="F40" s="21">
        <f>E40*12</f>
        <v>0</v>
      </c>
      <c r="G40" s="22">
        <f>VLOOKUP($M$6,'ST MULTI 500 POUCH'!A:B,2,FALSE)</f>
        <v>0.12</v>
      </c>
      <c r="H40" s="23">
        <f>VLOOKUP($M$6,PREÇOS!$A$2:$L$31,12,FALSE)</f>
        <v>14.99</v>
      </c>
      <c r="I40" s="24">
        <f t="shared" si="5"/>
        <v>179.88</v>
      </c>
      <c r="J40" s="25">
        <f>IF($G$7="SIM",VLOOKUP($M$6,'ST MULTI 500 POUCH'!$A$1:$J$31,10,FALSE),VLOOKUP($M$6,'ST MULTI 500 POUCH'!$A$1:$J$31,9,FALSE))</f>
        <v>2.9014644000000009</v>
      </c>
      <c r="K40" s="25">
        <v>0</v>
      </c>
      <c r="L40" s="26">
        <f t="shared" si="6"/>
        <v>214.69757279999999</v>
      </c>
      <c r="M40" s="28">
        <f>E40*I40</f>
        <v>0</v>
      </c>
      <c r="N40" s="26">
        <f>E40*L40</f>
        <v>0</v>
      </c>
      <c r="O40" s="23">
        <f>VLOOKUP($M$6,'PSC PAPAPA'!$A$2:$L$31,12,FALSE)</f>
        <v>24.99</v>
      </c>
    </row>
    <row r="41" spans="2:15" x14ac:dyDescent="0.3">
      <c r="B41" s="54"/>
      <c r="C41" s="55"/>
      <c r="D41" s="56"/>
      <c r="F41" s="166"/>
      <c r="G41" s="58"/>
      <c r="H41" s="39"/>
      <c r="I41" s="40"/>
      <c r="J41" s="59"/>
      <c r="K41" s="59"/>
      <c r="L41" s="41"/>
      <c r="M41" s="41"/>
      <c r="N41" s="41"/>
      <c r="O41" s="38"/>
    </row>
    <row r="42" spans="2:15" x14ac:dyDescent="0.3">
      <c r="B42" s="177" t="s">
        <v>72</v>
      </c>
      <c r="C42" s="179"/>
      <c r="D42" s="21">
        <v>5375</v>
      </c>
      <c r="E42" s="27"/>
      <c r="F42" s="21">
        <f>E42*12</f>
        <v>0</v>
      </c>
      <c r="G42" s="22">
        <f>VLOOKUP($M$6,'ST BISCOTTI'!A:B,2,FALSE)</f>
        <v>0.12</v>
      </c>
      <c r="H42" s="23">
        <f>VLOOKUP($M$6,PREÇOS!$A$2:$L$31,8,FALSE)</f>
        <v>8.4</v>
      </c>
      <c r="I42" s="24">
        <f>H42*12</f>
        <v>100.80000000000001</v>
      </c>
      <c r="J42" s="25">
        <f>IF($G$7="SIM",VLOOKUP($M$6,'ST BISCOTTI'!$A$1:$J$31,10,FALSE),VLOOKUP($M$6,'ST BISCOTTI'!$A$1:$J$31,9,FALSE))</f>
        <v>0</v>
      </c>
      <c r="K42" s="25">
        <v>0</v>
      </c>
      <c r="L42" s="26">
        <f>(H42+J42)*12</f>
        <v>100.80000000000001</v>
      </c>
      <c r="M42" s="28">
        <f>E42*I42</f>
        <v>0</v>
      </c>
      <c r="N42" s="26">
        <f>E42*L42</f>
        <v>0</v>
      </c>
      <c r="O42" s="23">
        <f>VLOOKUP($M$6,'PSC PAPAPA'!$A$2:$L$31,8,FALSE)</f>
        <v>13.49</v>
      </c>
    </row>
    <row r="43" spans="2:15" x14ac:dyDescent="0.3">
      <c r="B43" s="175" t="s">
        <v>75</v>
      </c>
      <c r="C43" s="179"/>
      <c r="D43" s="48">
        <v>5351</v>
      </c>
      <c r="E43" s="27"/>
      <c r="F43" s="162">
        <f>E43*12</f>
        <v>0</v>
      </c>
      <c r="G43" s="50">
        <f>VLOOKUP($M$6,'ST BISCOTTI'!A:B,2,FALSE)</f>
        <v>0.12</v>
      </c>
      <c r="H43" s="30">
        <f>VLOOKUP($M$6,PREÇOS!$A$2:$L$31,8,FALSE)</f>
        <v>8.4</v>
      </c>
      <c r="I43" s="31">
        <f t="shared" ref="I43:I46" si="7">H43*12</f>
        <v>100.80000000000001</v>
      </c>
      <c r="J43" s="51">
        <f>IF($G$7="SIM",VLOOKUP($M$6,'ST BISCOTTI'!$A$1:$J$31,10,FALSE),VLOOKUP($M$6,'ST BISCOTTI'!$A$1:$J$31,9,FALSE))</f>
        <v>0</v>
      </c>
      <c r="K43" s="51">
        <v>0</v>
      </c>
      <c r="L43" s="32">
        <f t="shared" ref="L43:L46" si="8">(H43+J43)*12</f>
        <v>100.80000000000001</v>
      </c>
      <c r="M43" s="33">
        <f>E43*I43</f>
        <v>0</v>
      </c>
      <c r="N43" s="32">
        <f>E43*L43</f>
        <v>0</v>
      </c>
      <c r="O43" s="30">
        <f>VLOOKUP($M$6,'PSC PAPAPA'!$A$2:$L$31,8,FALSE)</f>
        <v>13.49</v>
      </c>
    </row>
    <row r="44" spans="2:15" x14ac:dyDescent="0.3">
      <c r="B44" s="177" t="s">
        <v>76</v>
      </c>
      <c r="C44" s="179"/>
      <c r="D44" s="21">
        <v>5368</v>
      </c>
      <c r="E44" s="27"/>
      <c r="F44" s="21">
        <f>E44*12</f>
        <v>0</v>
      </c>
      <c r="G44" s="22">
        <f>VLOOKUP($M$6,'ST BISCOTTI'!A:B,2,FALSE)</f>
        <v>0.12</v>
      </c>
      <c r="H44" s="23">
        <f>VLOOKUP($M$6,PREÇOS!$A$2:$L$31,8,FALSE)</f>
        <v>8.4</v>
      </c>
      <c r="I44" s="24">
        <f t="shared" si="7"/>
        <v>100.80000000000001</v>
      </c>
      <c r="J44" s="25">
        <f>IF($G$7="SIM",VLOOKUP($M$6,'ST BISCOTTI'!$A$1:$J$31,10,FALSE),VLOOKUP($M$6,'ST BISCOTTI'!$A$1:$J$31,9,FALSE))</f>
        <v>0</v>
      </c>
      <c r="K44" s="25">
        <v>0</v>
      </c>
      <c r="L44" s="26">
        <f t="shared" si="8"/>
        <v>100.80000000000001</v>
      </c>
      <c r="M44" s="28">
        <f>E44*I44</f>
        <v>0</v>
      </c>
      <c r="N44" s="26">
        <f>E44*L44</f>
        <v>0</v>
      </c>
      <c r="O44" s="23">
        <f>VLOOKUP($M$6,'PSC PAPAPA'!$A$2:$L$31,8,FALSE)</f>
        <v>13.49</v>
      </c>
    </row>
    <row r="45" spans="2:15" x14ac:dyDescent="0.3">
      <c r="B45" s="175" t="s">
        <v>77</v>
      </c>
      <c r="C45" s="179"/>
      <c r="D45" s="48">
        <v>5597</v>
      </c>
      <c r="E45" s="27"/>
      <c r="F45" s="162">
        <f>E45*12</f>
        <v>0</v>
      </c>
      <c r="G45" s="50">
        <f>VLOOKUP($M$6,'ST BISCOTTI'!A:B,2,FALSE)</f>
        <v>0.12</v>
      </c>
      <c r="H45" s="30">
        <f>VLOOKUP($M$6,PREÇOS!$A$2:$L$31,8,FALSE)</f>
        <v>8.4</v>
      </c>
      <c r="I45" s="31">
        <f t="shared" si="7"/>
        <v>100.80000000000001</v>
      </c>
      <c r="J45" s="51">
        <f>IF($G$7="SIM",VLOOKUP($M$6,'ST BISCOTTI'!$A$1:$J$31,10,FALSE),VLOOKUP($M$6,'ST BISCOTTI'!$A$1:$J$31,9,FALSE))</f>
        <v>0</v>
      </c>
      <c r="K45" s="51">
        <v>0</v>
      </c>
      <c r="L45" s="32">
        <f t="shared" si="8"/>
        <v>100.80000000000001</v>
      </c>
      <c r="M45" s="33">
        <f>E45*I45</f>
        <v>0</v>
      </c>
      <c r="N45" s="32">
        <f>E45*L45</f>
        <v>0</v>
      </c>
      <c r="O45" s="30">
        <f>VLOOKUP($M$6,'PSC PAPAPA'!$A$2:$L$31,8,FALSE)</f>
        <v>13.49</v>
      </c>
    </row>
    <row r="46" spans="2:15" x14ac:dyDescent="0.3">
      <c r="B46" s="177" t="s">
        <v>78</v>
      </c>
      <c r="C46" s="179"/>
      <c r="D46" s="123">
        <v>5580</v>
      </c>
      <c r="E46" s="27"/>
      <c r="F46" s="21">
        <f>E46*12</f>
        <v>0</v>
      </c>
      <c r="G46" s="22">
        <f>VLOOKUP($M$6,'ST BISCOTTI'!A:B,2,FALSE)</f>
        <v>0.12</v>
      </c>
      <c r="H46" s="23">
        <f>VLOOKUP($M$6,PREÇOS!$A$2:$L$31,8,FALSE)</f>
        <v>8.4</v>
      </c>
      <c r="I46" s="24">
        <f t="shared" si="7"/>
        <v>100.80000000000001</v>
      </c>
      <c r="J46" s="25">
        <f>IF($G$7="SIM",VLOOKUP($M$6,'ST BISCOTTI'!$A$1:$J$31,10,FALSE),VLOOKUP($M$6,'ST BISCOTTI'!$A$1:$J$31,9,FALSE))</f>
        <v>0</v>
      </c>
      <c r="K46" s="25">
        <v>0</v>
      </c>
      <c r="L46" s="26">
        <f t="shared" si="8"/>
        <v>100.80000000000001</v>
      </c>
      <c r="M46" s="28">
        <f>E46*I46</f>
        <v>0</v>
      </c>
      <c r="N46" s="26">
        <f>E46*L46</f>
        <v>0</v>
      </c>
      <c r="O46" s="23">
        <f>VLOOKUP($M$6,'PSC PAPAPA'!$A$2:$L$31,8,FALSE)</f>
        <v>13.49</v>
      </c>
    </row>
    <row r="47" spans="2:15" x14ac:dyDescent="0.3">
      <c r="F47" s="167"/>
    </row>
    <row r="48" spans="2:15" x14ac:dyDescent="0.3">
      <c r="B48" s="177" t="s">
        <v>79</v>
      </c>
      <c r="C48" s="179"/>
      <c r="D48" s="21">
        <v>5610</v>
      </c>
      <c r="E48" s="27"/>
      <c r="F48" s="21">
        <f>E48*6</f>
        <v>0</v>
      </c>
      <c r="G48" s="22">
        <f>VLOOKUP($M$6,'ST PAPAPASTA'!A:B,2,FALSE)</f>
        <v>0.12</v>
      </c>
      <c r="H48" s="23">
        <f>VLOOKUP($M$6,PREÇOS!$A$2:$N$31,14,FALSE)</f>
        <v>12.936000000000002</v>
      </c>
      <c r="I48" s="24">
        <f>H48*6</f>
        <v>77.616000000000014</v>
      </c>
      <c r="J48" s="25">
        <v>0</v>
      </c>
      <c r="K48" s="25">
        <v>0</v>
      </c>
      <c r="L48" s="26">
        <f>(H48+J48)*6</f>
        <v>77.616000000000014</v>
      </c>
      <c r="M48" s="28">
        <f>E48*I48</f>
        <v>0</v>
      </c>
      <c r="N48" s="26">
        <f>E48*L48</f>
        <v>0</v>
      </c>
      <c r="O48" s="23">
        <v>18.989999999999998</v>
      </c>
    </row>
    <row r="49" spans="2:15" x14ac:dyDescent="0.3">
      <c r="B49" s="175" t="s">
        <v>81</v>
      </c>
      <c r="C49" s="179"/>
      <c r="D49" s="48">
        <v>5634</v>
      </c>
      <c r="E49" s="27"/>
      <c r="F49" s="162">
        <f>E49*6</f>
        <v>0</v>
      </c>
      <c r="G49" s="50">
        <f>VLOOKUP($M$6,'ST PAPAPASTA'!A:B,2,FALSE)</f>
        <v>0.12</v>
      </c>
      <c r="H49" s="30">
        <f>VLOOKUP($M$6,PREÇOS!$A$2:$N$31,14,FALSE)</f>
        <v>12.936000000000002</v>
      </c>
      <c r="I49" s="31">
        <f>H49*6</f>
        <v>77.616000000000014</v>
      </c>
      <c r="J49" s="51">
        <v>0</v>
      </c>
      <c r="K49" s="51">
        <v>0</v>
      </c>
      <c r="L49" s="32">
        <f t="shared" ref="L49:L51" si="9">(H49+J49)*6</f>
        <v>77.616000000000014</v>
      </c>
      <c r="M49" s="33">
        <f>E49*I49</f>
        <v>0</v>
      </c>
      <c r="N49" s="32">
        <f>E49*L49</f>
        <v>0</v>
      </c>
      <c r="O49" s="30">
        <v>18.989999999999998</v>
      </c>
    </row>
    <row r="50" spans="2:15" x14ac:dyDescent="0.3">
      <c r="B50" s="177" t="s">
        <v>82</v>
      </c>
      <c r="C50" s="179"/>
      <c r="D50" s="21">
        <v>5627</v>
      </c>
      <c r="E50" s="27"/>
      <c r="F50" s="21">
        <f>E50*6</f>
        <v>0</v>
      </c>
      <c r="G50" s="22">
        <f>VLOOKUP($M$6,'ST PAPAPASTA'!A:B,2,FALSE)</f>
        <v>0.12</v>
      </c>
      <c r="H50" s="23">
        <f>VLOOKUP($M$6,PREÇOS!$A$2:$N$31,14,FALSE)</f>
        <v>12.936000000000002</v>
      </c>
      <c r="I50" s="24">
        <f t="shared" ref="I50:I51" si="10">H50*6</f>
        <v>77.616000000000014</v>
      </c>
      <c r="J50" s="25">
        <v>0</v>
      </c>
      <c r="K50" s="25">
        <v>0</v>
      </c>
      <c r="L50" s="26">
        <f t="shared" si="9"/>
        <v>77.616000000000014</v>
      </c>
      <c r="M50" s="28">
        <f>E50*I50</f>
        <v>0</v>
      </c>
      <c r="N50" s="26">
        <f>E50*L50</f>
        <v>0</v>
      </c>
      <c r="O50" s="23">
        <v>18.989999999999998</v>
      </c>
    </row>
    <row r="51" spans="2:15" x14ac:dyDescent="0.3">
      <c r="B51" s="175" t="s">
        <v>84</v>
      </c>
      <c r="C51" s="179"/>
      <c r="D51" s="48">
        <v>5603</v>
      </c>
      <c r="E51" s="27"/>
      <c r="F51" s="162">
        <f>E51*6</f>
        <v>0</v>
      </c>
      <c r="G51" s="50">
        <f>VLOOKUP($M$6,'ST PAPAPASTA'!A:B,2,FALSE)</f>
        <v>0.12</v>
      </c>
      <c r="H51" s="30">
        <f>VLOOKUP($M$6,PREÇOS!$A$2:$N$31,14,FALSE)</f>
        <v>12.936000000000002</v>
      </c>
      <c r="I51" s="31">
        <f t="shared" si="10"/>
        <v>77.616000000000014</v>
      </c>
      <c r="J51" s="51">
        <v>0</v>
      </c>
      <c r="K51" s="51">
        <v>0</v>
      </c>
      <c r="L51" s="32">
        <f t="shared" si="9"/>
        <v>77.616000000000014</v>
      </c>
      <c r="M51" s="33">
        <f>E51*I51</f>
        <v>0</v>
      </c>
      <c r="N51" s="32">
        <f>E51*L51</f>
        <v>0</v>
      </c>
      <c r="O51" s="30">
        <v>18.989999999999998</v>
      </c>
    </row>
    <row r="52" spans="2:15" x14ac:dyDescent="0.3">
      <c r="B52" s="54"/>
      <c r="C52" s="55"/>
      <c r="D52" s="56"/>
      <c r="E52" s="161"/>
      <c r="F52" s="168"/>
      <c r="G52" s="58"/>
      <c r="H52" s="39"/>
      <c r="I52" s="40"/>
      <c r="J52" s="59"/>
      <c r="K52" s="59"/>
      <c r="L52" s="41"/>
      <c r="M52" s="41"/>
      <c r="N52" s="41"/>
      <c r="O52" s="39"/>
    </row>
    <row r="53" spans="2:15" x14ac:dyDescent="0.3">
      <c r="B53" s="177" t="s">
        <v>146</v>
      </c>
      <c r="C53" s="179"/>
      <c r="D53" s="21">
        <v>5670</v>
      </c>
      <c r="E53" s="27"/>
      <c r="F53" s="21">
        <f>E53*18</f>
        <v>0</v>
      </c>
      <c r="G53" s="22">
        <f>VLOOKUP($M$6,'[1]ST EXTRUSADOS'!A:B,2,FALSE)</f>
        <v>0.12</v>
      </c>
      <c r="H53" s="23">
        <f>VLOOKUP($M$6,[1]PREÇOS!$A$2:$Q$31,15,FALSE)</f>
        <v>5.55</v>
      </c>
      <c r="I53" s="24">
        <f>H53*18</f>
        <v>99.899999999999991</v>
      </c>
      <c r="J53" s="25">
        <f>IF($G$7="SIM",VLOOKUP($M$6,'[1]ST EXTRUSADOS'!$A$1:$J$31,10,FALSE),VLOOKUP($M$6,'[1]ST EXTRUSADOS'!$A$1:$J$31,9,FALSE))</f>
        <v>1.1597557500000002</v>
      </c>
      <c r="K53" s="25">
        <v>0</v>
      </c>
      <c r="L53" s="26">
        <f>(H53+J53)*18</f>
        <v>120.7756035</v>
      </c>
      <c r="M53" s="28">
        <f>E53*I53</f>
        <v>0</v>
      </c>
      <c r="N53" s="26">
        <f>E53*L53</f>
        <v>0</v>
      </c>
      <c r="O53" s="23">
        <f>VLOOKUP($M$6,PSC!$A$2:$Q$31,15,FALSE)</f>
        <v>7.99</v>
      </c>
    </row>
    <row r="54" spans="2:15" x14ac:dyDescent="0.3">
      <c r="B54" s="175" t="s">
        <v>148</v>
      </c>
      <c r="C54" s="179"/>
      <c r="D54" s="48">
        <v>5671</v>
      </c>
      <c r="E54" s="27"/>
      <c r="F54" s="169">
        <f>E54*18</f>
        <v>0</v>
      </c>
      <c r="G54" s="50">
        <f>VLOOKUP($M$6,'[1]ST EXTRUSADOS'!A:B,2,FALSE)</f>
        <v>0.12</v>
      </c>
      <c r="H54" s="30">
        <f>VLOOKUP($M$6,[1]PREÇOS!$A$2:$Q$31,15,FALSE)</f>
        <v>5.55</v>
      </c>
      <c r="I54" s="31">
        <f t="shared" ref="I54:I55" si="11">H54*18</f>
        <v>99.899999999999991</v>
      </c>
      <c r="J54" s="51">
        <f>IF($G$7="SIM",VLOOKUP($M$6,'[1]ST EXTRUSADOS'!$A$1:$J$31,10,FALSE),VLOOKUP($M$6,'[1]ST EXTRUSADOS'!$A$1:$J$31,9,FALSE))</f>
        <v>1.1597557500000002</v>
      </c>
      <c r="K54" s="51">
        <v>0</v>
      </c>
      <c r="L54" s="32">
        <f t="shared" ref="L54:L55" si="12">(H54+J54)*18</f>
        <v>120.7756035</v>
      </c>
      <c r="M54" s="33">
        <f>E54*I54</f>
        <v>0</v>
      </c>
      <c r="N54" s="32">
        <f>E54*L54</f>
        <v>0</v>
      </c>
      <c r="O54" s="174">
        <f>VLOOKUP($M$6,PSC!$A$2:$Q$31,15,FALSE)</f>
        <v>7.99</v>
      </c>
    </row>
    <row r="55" spans="2:15" x14ac:dyDescent="0.3">
      <c r="B55" s="177" t="s">
        <v>149</v>
      </c>
      <c r="C55" s="179"/>
      <c r="D55" s="21">
        <v>5673</v>
      </c>
      <c r="E55" s="27"/>
      <c r="F55" s="21">
        <f>E55*18</f>
        <v>0</v>
      </c>
      <c r="G55" s="22">
        <f>VLOOKUP($M$6,'[1]ST EXTRUSADOS'!A:B,2,FALSE)</f>
        <v>0.12</v>
      </c>
      <c r="H55" s="23">
        <f>VLOOKUP($M$6,[1]PREÇOS!$A$2:$Q$31,15,FALSE)</f>
        <v>5.55</v>
      </c>
      <c r="I55" s="24">
        <f t="shared" si="11"/>
        <v>99.899999999999991</v>
      </c>
      <c r="J55" s="25">
        <f>IF($G$7="SIM",VLOOKUP($M$6,'[1]ST EXTRUSADOS'!$A$1:$J$31,10,FALSE),VLOOKUP($M$6,'[1]ST EXTRUSADOS'!$A$1:$J$31,9,FALSE))</f>
        <v>1.1597557500000002</v>
      </c>
      <c r="K55" s="25">
        <v>0</v>
      </c>
      <c r="L55" s="26">
        <f t="shared" si="12"/>
        <v>120.7756035</v>
      </c>
      <c r="M55" s="28">
        <f>E55*I55</f>
        <v>0</v>
      </c>
      <c r="N55" s="26">
        <f>E55*L55</f>
        <v>0</v>
      </c>
      <c r="O55" s="23">
        <f>VLOOKUP($M$6,PSC!$A$2:$Q$31,15,FALSE)</f>
        <v>7.99</v>
      </c>
    </row>
    <row r="56" spans="2:15" x14ac:dyDescent="0.3">
      <c r="B56" s="54"/>
      <c r="C56" s="55"/>
      <c r="D56" s="56"/>
      <c r="E56" s="35"/>
      <c r="F56" s="56"/>
      <c r="G56" s="58"/>
      <c r="H56" s="39"/>
      <c r="I56" s="40"/>
      <c r="J56" s="59"/>
      <c r="K56" s="59"/>
      <c r="L56" s="41"/>
      <c r="M56" s="41"/>
      <c r="N56" s="41"/>
      <c r="O56" s="56"/>
    </row>
    <row r="57" spans="2:15" ht="15" hidden="1" customHeight="1" x14ac:dyDescent="0.3">
      <c r="B57" s="180" t="s">
        <v>150</v>
      </c>
      <c r="C57" s="179"/>
      <c r="D57" s="126">
        <v>5677</v>
      </c>
      <c r="E57" s="27"/>
      <c r="F57" s="169">
        <f>E57*8</f>
        <v>0</v>
      </c>
      <c r="G57" s="129">
        <f>VLOOKUP($M$6,'[1]ST RECHEADOS'!A:B,2,FALSE)</f>
        <v>0.12</v>
      </c>
      <c r="H57" s="128">
        <f>VLOOKUP($M$6,[1]PREÇOS!$A$2:$Q$31,16,FALSE)</f>
        <v>6.2</v>
      </c>
      <c r="I57" s="130">
        <f>H57*8</f>
        <v>49.6</v>
      </c>
      <c r="J57" s="112">
        <f>IF($G$7="SIM",VLOOKUP($M$6,'[1]ST RECHEADOS'!$A$1:$J$31,10,FALSE),VLOOKUP($M$6,'[1]ST RECHEADOS'!$A$1:$J$31,9,FALSE))</f>
        <v>0</v>
      </c>
      <c r="K57" s="112">
        <v>0</v>
      </c>
      <c r="L57" s="131">
        <f>(H57+J57)*8</f>
        <v>49.6</v>
      </c>
      <c r="M57" s="132">
        <f>E57*I57</f>
        <v>0</v>
      </c>
      <c r="N57" s="131">
        <f>E57*L57</f>
        <v>0</v>
      </c>
      <c r="O57" s="23">
        <f>VLOOKUP($M$6,[1]PSC!$A$2:$Q$31,16,FALSE)</f>
        <v>8.6</v>
      </c>
    </row>
    <row r="58" spans="2:15" hidden="1" x14ac:dyDescent="0.3">
      <c r="B58" s="177" t="s">
        <v>152</v>
      </c>
      <c r="C58" s="179"/>
      <c r="D58" s="21">
        <v>5678</v>
      </c>
      <c r="E58" s="27"/>
      <c r="F58" s="21">
        <f>E58*8</f>
        <v>0</v>
      </c>
      <c r="G58" s="22">
        <f>VLOOKUP($M$6,'[1]ST RECHEADOS'!A:B,2,FALSE)</f>
        <v>0.12</v>
      </c>
      <c r="H58" s="23">
        <f>VLOOKUP($M$6,[1]PREÇOS!$A$2:$Q$31,16,FALSE)</f>
        <v>6.2</v>
      </c>
      <c r="I58" s="24">
        <f>H58*8</f>
        <v>49.6</v>
      </c>
      <c r="J58" s="25">
        <f>IF($G$7="SIM",VLOOKUP($M$6,'[1]ST RECHEADOS'!$A$1:$J$31,10,FALSE),VLOOKUP($M$6,'[1]ST RECHEADOS'!$A$1:$J$31,9,FALSE))</f>
        <v>0</v>
      </c>
      <c r="K58" s="25">
        <v>0</v>
      </c>
      <c r="L58" s="26">
        <f>(H58+J58)*8</f>
        <v>49.6</v>
      </c>
      <c r="M58" s="28">
        <f>E58*I58</f>
        <v>0</v>
      </c>
      <c r="N58" s="26">
        <f>E58*L58</f>
        <v>0</v>
      </c>
      <c r="O58" s="23">
        <f>VLOOKUP($M$6,[1]PSC!$A$2:$Q$31,16,FALSE)</f>
        <v>8.6</v>
      </c>
    </row>
    <row r="59" spans="2:15" x14ac:dyDescent="0.3">
      <c r="B59" s="54"/>
      <c r="C59" s="55"/>
      <c r="D59" s="56"/>
      <c r="E59" s="35"/>
      <c r="F59" s="56"/>
      <c r="G59" s="58"/>
      <c r="H59" s="39"/>
      <c r="I59" s="40"/>
      <c r="J59" s="59"/>
      <c r="K59" s="59"/>
      <c r="L59" s="41"/>
      <c r="M59" s="41"/>
      <c r="N59" s="41"/>
      <c r="O59" s="56"/>
    </row>
    <row r="60" spans="2:15" x14ac:dyDescent="0.3">
      <c r="B60" s="177" t="s">
        <v>153</v>
      </c>
      <c r="C60" s="179"/>
      <c r="D60" s="21">
        <v>5680</v>
      </c>
      <c r="E60" s="27"/>
      <c r="F60" s="21">
        <f>E60*27</f>
        <v>0</v>
      </c>
      <c r="G60" s="22">
        <f>VLOOKUP($M$6,'[1]ST BISCOTTI'!A:B,2,FALSE)</f>
        <v>0.12</v>
      </c>
      <c r="H60" s="23">
        <f>VLOOKUP($M$6,[1]PREÇOS!$A$2:$Q$31,17,FALSE)</f>
        <v>3.55</v>
      </c>
      <c r="I60" s="24">
        <f>H60*27</f>
        <v>95.85</v>
      </c>
      <c r="J60" s="25">
        <v>0</v>
      </c>
      <c r="K60" s="25">
        <v>0</v>
      </c>
      <c r="L60" s="26">
        <f>(H60+J60)*27</f>
        <v>95.85</v>
      </c>
      <c r="M60" s="28">
        <f>E60*I60</f>
        <v>0</v>
      </c>
      <c r="N60" s="26">
        <f>E60*L60</f>
        <v>0</v>
      </c>
      <c r="O60" s="23">
        <f>VLOOKUP($M$6,[1]PSC!$A$2:$Q$31,17,FALSE)</f>
        <v>4.99</v>
      </c>
    </row>
    <row r="61" spans="2:15" x14ac:dyDescent="0.3">
      <c r="B61" s="175" t="s">
        <v>157</v>
      </c>
      <c r="C61" s="179"/>
      <c r="D61" s="48">
        <v>5681</v>
      </c>
      <c r="E61" s="27"/>
      <c r="F61" s="169">
        <f>E61*27</f>
        <v>0</v>
      </c>
      <c r="G61" s="50">
        <f>VLOOKUP($M$6,'[1]ST BISCOTTI'!A:B,2,FALSE)</f>
        <v>0.12</v>
      </c>
      <c r="H61" s="30">
        <f>VLOOKUP($M$6,[1]PREÇOS!$A$2:$Q$31,17,FALSE)</f>
        <v>3.55</v>
      </c>
      <c r="I61" s="31">
        <f t="shared" ref="I61:I65" si="13">H61*27</f>
        <v>95.85</v>
      </c>
      <c r="J61" s="51">
        <v>0</v>
      </c>
      <c r="K61" s="51">
        <v>0</v>
      </c>
      <c r="L61" s="32">
        <f t="shared" ref="L61:L63" si="14">(H61+J61)*27</f>
        <v>95.85</v>
      </c>
      <c r="M61" s="33">
        <f>E61*I61</f>
        <v>0</v>
      </c>
      <c r="N61" s="32">
        <f>E61*L61</f>
        <v>0</v>
      </c>
      <c r="O61" s="174">
        <f>VLOOKUP($M$6,[1]PSC!$A$2:$Q$31,17,FALSE)</f>
        <v>4.99</v>
      </c>
    </row>
    <row r="62" spans="2:15" x14ac:dyDescent="0.3">
      <c r="B62" s="177" t="s">
        <v>158</v>
      </c>
      <c r="C62" s="179"/>
      <c r="D62" s="21">
        <v>5682</v>
      </c>
      <c r="E62" s="27"/>
      <c r="F62" s="21">
        <f>E62*27</f>
        <v>0</v>
      </c>
      <c r="G62" s="22">
        <f>VLOOKUP($M$6,'[1]ST BISCOTTI'!A:B,2,FALSE)</f>
        <v>0.12</v>
      </c>
      <c r="H62" s="23">
        <f>VLOOKUP($M$6,[1]PREÇOS!$A$2:$Q$31,17,FALSE)</f>
        <v>3.55</v>
      </c>
      <c r="I62" s="24">
        <f t="shared" si="13"/>
        <v>95.85</v>
      </c>
      <c r="J62" s="25">
        <v>0</v>
      </c>
      <c r="K62" s="25">
        <v>0</v>
      </c>
      <c r="L62" s="26">
        <f t="shared" si="14"/>
        <v>95.85</v>
      </c>
      <c r="M62" s="28">
        <f>E62*I62</f>
        <v>0</v>
      </c>
      <c r="N62" s="26">
        <f>E62*L62</f>
        <v>0</v>
      </c>
      <c r="O62" s="23">
        <f>VLOOKUP($M$6,[1]PSC!$A$2:$Q$31,17,FALSE)</f>
        <v>4.99</v>
      </c>
    </row>
    <row r="63" spans="2:15" x14ac:dyDescent="0.3">
      <c r="B63" s="175" t="s">
        <v>159</v>
      </c>
      <c r="C63" s="179"/>
      <c r="D63" s="48">
        <v>5683</v>
      </c>
      <c r="E63" s="27"/>
      <c r="F63" s="169">
        <f>E63*27</f>
        <v>0</v>
      </c>
      <c r="G63" s="50">
        <f>VLOOKUP($M$6,'[1]ST BISCOTTI'!A:B,2,FALSE)</f>
        <v>0.12</v>
      </c>
      <c r="H63" s="30">
        <f>VLOOKUP($M$6,[1]PREÇOS!$A$2:$Q$31,17,FALSE)</f>
        <v>3.55</v>
      </c>
      <c r="I63" s="31">
        <f t="shared" si="13"/>
        <v>95.85</v>
      </c>
      <c r="J63" s="51">
        <v>0</v>
      </c>
      <c r="K63" s="51">
        <v>0</v>
      </c>
      <c r="L63" s="32">
        <f t="shared" si="14"/>
        <v>95.85</v>
      </c>
      <c r="M63" s="33">
        <f>E63*I63</f>
        <v>0</v>
      </c>
      <c r="N63" s="32">
        <f>E63*L63</f>
        <v>0</v>
      </c>
      <c r="O63" s="174">
        <f>VLOOKUP($M$6,[1]PSC!$A$2:$Q$31,17,FALSE)</f>
        <v>4.99</v>
      </c>
    </row>
    <row r="64" spans="2:15" x14ac:dyDescent="0.3">
      <c r="B64" s="54"/>
      <c r="C64" s="55"/>
      <c r="D64" s="56"/>
      <c r="E64" s="35"/>
      <c r="F64" s="56"/>
      <c r="G64" s="58"/>
      <c r="H64" s="39"/>
      <c r="I64" s="40"/>
      <c r="J64" s="59"/>
      <c r="K64" s="59"/>
      <c r="L64" s="41"/>
      <c r="M64" s="41"/>
      <c r="N64" s="41"/>
      <c r="O64" s="56"/>
    </row>
    <row r="65" spans="2:15" hidden="1" x14ac:dyDescent="0.3">
      <c r="B65" s="177" t="s">
        <v>160</v>
      </c>
      <c r="C65" s="179"/>
      <c r="D65" s="21">
        <v>5310</v>
      </c>
      <c r="E65" s="27"/>
      <c r="F65" s="21">
        <f>E65*27</f>
        <v>0</v>
      </c>
      <c r="G65" s="22">
        <f>VLOOKUP($M$6,'[1]ST BISCOTTI'!A:B,2,FALSE)</f>
        <v>0.12</v>
      </c>
      <c r="H65" s="23">
        <f>VLOOKUP($M$6,[1]PREÇOS!$A$2:$T$31,18,FALSE)</f>
        <v>4.1500000000000004</v>
      </c>
      <c r="I65" s="24">
        <f t="shared" si="13"/>
        <v>112.05000000000001</v>
      </c>
      <c r="J65" s="25">
        <v>0</v>
      </c>
      <c r="K65" s="25">
        <v>0</v>
      </c>
      <c r="L65" s="26">
        <f t="shared" ref="L65" si="15">(H65+J65)*27</f>
        <v>112.05000000000001</v>
      </c>
      <c r="M65" s="28">
        <f>E65*I65</f>
        <v>0</v>
      </c>
      <c r="N65" s="26">
        <f>E65*L65</f>
        <v>0</v>
      </c>
      <c r="O65" s="23">
        <f>VLOOKUP($M$6,[1]PSC!$A$2:$T$31,18,FALSE)</f>
        <v>5.99</v>
      </c>
    </row>
    <row r="66" spans="2:15" x14ac:dyDescent="0.3">
      <c r="B66" s="54"/>
      <c r="C66" s="55"/>
      <c r="D66" s="56"/>
      <c r="E66" s="35"/>
      <c r="F66" s="56"/>
      <c r="G66" s="58"/>
      <c r="H66" s="39"/>
      <c r="I66" s="40"/>
      <c r="J66" s="59"/>
      <c r="K66" s="59"/>
      <c r="L66" s="41"/>
      <c r="M66" s="41"/>
      <c r="N66" s="41"/>
      <c r="O66" s="56"/>
    </row>
    <row r="67" spans="2:15" x14ac:dyDescent="0.3">
      <c r="B67" s="177" t="s">
        <v>162</v>
      </c>
      <c r="C67" s="178"/>
      <c r="D67" s="21">
        <v>5641</v>
      </c>
      <c r="E67" s="27"/>
      <c r="F67" s="21">
        <f>E67*1</f>
        <v>0</v>
      </c>
      <c r="G67" s="22">
        <f>VLOOKUP($M$6,'[1]ST BISCOITINHOS'!A:B,2,FALSE)</f>
        <v>0.12</v>
      </c>
      <c r="H67" s="23">
        <f>VLOOKUP($M$6,[1]PREÇOS!$A$2:$V$31,19,FALSE)</f>
        <v>17.09090909090909</v>
      </c>
      <c r="I67" s="24">
        <f>H67</f>
        <v>17.09090909090909</v>
      </c>
      <c r="J67" s="25">
        <v>0</v>
      </c>
      <c r="K67" s="25">
        <f>H67*6.5%</f>
        <v>1.1109090909090908</v>
      </c>
      <c r="L67" s="26">
        <f>(H67+J67+K67)</f>
        <v>18.201818181818179</v>
      </c>
      <c r="M67" s="28">
        <f t="shared" ref="M67:M78" si="16">E67*I67</f>
        <v>0</v>
      </c>
      <c r="N67" s="26">
        <f t="shared" ref="N67:N78" si="17">E67*L67</f>
        <v>0</v>
      </c>
      <c r="O67" s="23">
        <f>VLOOKUP($M$6,[1]PSC!$A$2:$V$31,19,FALSE)</f>
        <v>36</v>
      </c>
    </row>
    <row r="68" spans="2:15" x14ac:dyDescent="0.3">
      <c r="B68" s="133" t="s">
        <v>166</v>
      </c>
      <c r="C68" s="134"/>
      <c r="D68" s="135">
        <v>5658</v>
      </c>
      <c r="E68" s="27"/>
      <c r="F68" s="169">
        <f>E68*1</f>
        <v>0</v>
      </c>
      <c r="G68" s="138">
        <f>VLOOKUP($M$6,'[1]ST BISCOITINHOS'!A:B,2,FALSE)</f>
        <v>0.12</v>
      </c>
      <c r="H68" s="137">
        <f>VLOOKUP($M$6,[1]PREÇOS!$A$2:$V$31,19,FALSE)</f>
        <v>17.09090909090909</v>
      </c>
      <c r="I68" s="172">
        <f t="shared" ref="I68:I78" si="18">H68</f>
        <v>17.09090909090909</v>
      </c>
      <c r="J68" s="139">
        <v>0</v>
      </c>
      <c r="K68" s="139">
        <f t="shared" ref="K68:K78" si="19">H68*6.5%</f>
        <v>1.1109090909090908</v>
      </c>
      <c r="L68" s="173">
        <f t="shared" ref="L68:L78" si="20">(H68+J68+K68)</f>
        <v>18.201818181818179</v>
      </c>
      <c r="M68" s="140">
        <f t="shared" si="16"/>
        <v>0</v>
      </c>
      <c r="N68" s="141">
        <f t="shared" si="17"/>
        <v>0</v>
      </c>
      <c r="O68" s="174">
        <f>VLOOKUP($M$6,[1]PSC!$A$2:$V$31,19,FALSE)</f>
        <v>36</v>
      </c>
    </row>
    <row r="69" spans="2:15" x14ac:dyDescent="0.3">
      <c r="B69" s="142" t="s">
        <v>167</v>
      </c>
      <c r="C69" s="143"/>
      <c r="D69" s="21">
        <v>5665</v>
      </c>
      <c r="E69" s="27"/>
      <c r="F69" s="21">
        <f t="shared" ref="F69:F78" si="21">E69*1</f>
        <v>0</v>
      </c>
      <c r="G69" s="22">
        <f>VLOOKUP($M$6,'[1]ST BISCOITINHOS'!A:B,2,FALSE)</f>
        <v>0.12</v>
      </c>
      <c r="H69" s="23">
        <f>VLOOKUP($M$6,[1]PREÇOS!$A$2:$V$31,19,FALSE)</f>
        <v>17.09090909090909</v>
      </c>
      <c r="I69" s="24">
        <f t="shared" si="18"/>
        <v>17.09090909090909</v>
      </c>
      <c r="J69" s="25">
        <v>0</v>
      </c>
      <c r="K69" s="25">
        <f t="shared" si="19"/>
        <v>1.1109090909090908</v>
      </c>
      <c r="L69" s="26">
        <f t="shared" si="20"/>
        <v>18.201818181818179</v>
      </c>
      <c r="M69" s="28">
        <f t="shared" si="16"/>
        <v>0</v>
      </c>
      <c r="N69" s="26">
        <f t="shared" si="17"/>
        <v>0</v>
      </c>
      <c r="O69" s="23">
        <f>VLOOKUP($M$6,[1]PSC!$A$2:$V$31,19,FALSE)</f>
        <v>36</v>
      </c>
    </row>
    <row r="70" spans="2:15" x14ac:dyDescent="0.3">
      <c r="B70" s="133" t="s">
        <v>168</v>
      </c>
      <c r="C70" s="134"/>
      <c r="D70" s="126">
        <v>5733</v>
      </c>
      <c r="E70" s="27"/>
      <c r="F70" s="169">
        <f t="shared" si="21"/>
        <v>0</v>
      </c>
      <c r="G70" s="129">
        <f>VLOOKUP($M$6,'[1]ST BISCOITINHOS'!A:B,2,FALSE)</f>
        <v>0.12</v>
      </c>
      <c r="H70" s="128">
        <f>VLOOKUP($M$6,[1]PREÇOS!$A$2:$V$31,20,FALSE)</f>
        <v>14.954545454545455</v>
      </c>
      <c r="I70" s="172">
        <f t="shared" si="18"/>
        <v>14.954545454545455</v>
      </c>
      <c r="J70" s="112">
        <v>0</v>
      </c>
      <c r="K70" s="112">
        <f t="shared" si="19"/>
        <v>0.97204545454545466</v>
      </c>
      <c r="L70" s="173">
        <f t="shared" si="20"/>
        <v>15.92659090909091</v>
      </c>
      <c r="M70" s="132">
        <f t="shared" si="16"/>
        <v>0</v>
      </c>
      <c r="N70" s="131">
        <f t="shared" si="17"/>
        <v>0</v>
      </c>
      <c r="O70" s="174">
        <f>VLOOKUP($M$6,[1]PSC!$A$2:$V$31,21,FALSE)</f>
        <v>27</v>
      </c>
    </row>
    <row r="71" spans="2:15" x14ac:dyDescent="0.3">
      <c r="B71" s="142" t="s">
        <v>169</v>
      </c>
      <c r="C71" s="143"/>
      <c r="D71" s="144">
        <v>5740</v>
      </c>
      <c r="E71" s="27"/>
      <c r="F71" s="21">
        <f t="shared" si="21"/>
        <v>0</v>
      </c>
      <c r="G71" s="147">
        <f>VLOOKUP($M$6,'[1]ST BISCOITINHOS'!A:B,2,FALSE)</f>
        <v>0.12</v>
      </c>
      <c r="H71" s="146">
        <f>VLOOKUP($M$6,[1]PREÇOS!$A$2:$V$31,20,FALSE)</f>
        <v>14.954545454545455</v>
      </c>
      <c r="I71" s="24">
        <f t="shared" si="18"/>
        <v>14.954545454545455</v>
      </c>
      <c r="J71" s="148">
        <v>0</v>
      </c>
      <c r="K71" s="148">
        <f t="shared" si="19"/>
        <v>0.97204545454545466</v>
      </c>
      <c r="L71" s="26">
        <f t="shared" si="20"/>
        <v>15.92659090909091</v>
      </c>
      <c r="M71" s="149">
        <f t="shared" si="16"/>
        <v>0</v>
      </c>
      <c r="N71" s="150">
        <f t="shared" si="17"/>
        <v>0</v>
      </c>
      <c r="O71" s="23">
        <f>VLOOKUP($M$6,[1]PSC!$A$2:$V$31,21,FALSE)</f>
        <v>27</v>
      </c>
    </row>
    <row r="72" spans="2:15" x14ac:dyDescent="0.3">
      <c r="B72" s="133" t="s">
        <v>170</v>
      </c>
      <c r="C72" s="134"/>
      <c r="D72" s="126">
        <v>5757</v>
      </c>
      <c r="E72" s="27"/>
      <c r="F72" s="169">
        <f t="shared" si="21"/>
        <v>0</v>
      </c>
      <c r="G72" s="129">
        <f>VLOOKUP($M$6,'[1]ST BISCOITINHOS'!A:B,2,FALSE)</f>
        <v>0.12</v>
      </c>
      <c r="H72" s="128">
        <f>VLOOKUP($M$6,[1]PREÇOS!$A$2:$V$31,20,FALSE)</f>
        <v>14.954545454545455</v>
      </c>
      <c r="I72" s="172">
        <f t="shared" si="18"/>
        <v>14.954545454545455</v>
      </c>
      <c r="J72" s="112">
        <v>0</v>
      </c>
      <c r="K72" s="112">
        <f t="shared" si="19"/>
        <v>0.97204545454545466</v>
      </c>
      <c r="L72" s="173">
        <f t="shared" si="20"/>
        <v>15.92659090909091</v>
      </c>
      <c r="M72" s="132">
        <f t="shared" si="16"/>
        <v>0</v>
      </c>
      <c r="N72" s="131">
        <f t="shared" si="17"/>
        <v>0</v>
      </c>
      <c r="O72" s="174">
        <f>VLOOKUP($M$6,[1]PSC!$A$2:$V$31,21,FALSE)</f>
        <v>27</v>
      </c>
    </row>
    <row r="73" spans="2:15" x14ac:dyDescent="0.3">
      <c r="B73" s="142" t="s">
        <v>171</v>
      </c>
      <c r="C73" s="143"/>
      <c r="D73" s="21">
        <v>5702</v>
      </c>
      <c r="E73" s="27"/>
      <c r="F73" s="21">
        <f t="shared" si="21"/>
        <v>0</v>
      </c>
      <c r="G73" s="22">
        <f>VLOOKUP($M$6,'[1]ST BISCOITINHOS'!A:B,2,FALSE)</f>
        <v>0.12</v>
      </c>
      <c r="H73" s="23">
        <f>VLOOKUP($M$6,[1]PREÇOS!$A$2:$V$31,21,FALSE)</f>
        <v>19.227272727272727</v>
      </c>
      <c r="I73" s="24">
        <f t="shared" si="18"/>
        <v>19.227272727272727</v>
      </c>
      <c r="J73" s="25">
        <v>0</v>
      </c>
      <c r="K73" s="25">
        <f t="shared" si="19"/>
        <v>1.2497727272727273</v>
      </c>
      <c r="L73" s="26">
        <f t="shared" si="20"/>
        <v>20.477045454545454</v>
      </c>
      <c r="M73" s="28">
        <f t="shared" si="16"/>
        <v>0</v>
      </c>
      <c r="N73" s="26">
        <f t="shared" si="17"/>
        <v>0</v>
      </c>
      <c r="O73" s="23">
        <f>VLOOKUP($M$6,[1]PSC!$A$2:$V$31,20,FALSE)</f>
        <v>36</v>
      </c>
    </row>
    <row r="74" spans="2:15" x14ac:dyDescent="0.3">
      <c r="B74" s="133" t="s">
        <v>172</v>
      </c>
      <c r="C74" s="134"/>
      <c r="D74" s="135">
        <v>5719</v>
      </c>
      <c r="E74" s="27"/>
      <c r="F74" s="169">
        <f t="shared" si="21"/>
        <v>0</v>
      </c>
      <c r="G74" s="138">
        <f>VLOOKUP($M$6,'[1]ST BISCOITINHOS'!A:B,2,FALSE)</f>
        <v>0.12</v>
      </c>
      <c r="H74" s="137">
        <f>VLOOKUP($M$6,[1]PREÇOS!$A$2:$V$31,21,FALSE)</f>
        <v>19.227272727272727</v>
      </c>
      <c r="I74" s="172">
        <f t="shared" si="18"/>
        <v>19.227272727272727</v>
      </c>
      <c r="J74" s="139">
        <v>0</v>
      </c>
      <c r="K74" s="139">
        <f t="shared" si="19"/>
        <v>1.2497727272727273</v>
      </c>
      <c r="L74" s="173">
        <f t="shared" si="20"/>
        <v>20.477045454545454</v>
      </c>
      <c r="M74" s="140">
        <f t="shared" si="16"/>
        <v>0</v>
      </c>
      <c r="N74" s="141">
        <f t="shared" si="17"/>
        <v>0</v>
      </c>
      <c r="O74" s="174">
        <f>VLOOKUP($M$6,[1]PSC!$A$2:$V$31,20,FALSE)</f>
        <v>36</v>
      </c>
    </row>
    <row r="75" spans="2:15" x14ac:dyDescent="0.3">
      <c r="B75" s="142" t="s">
        <v>173</v>
      </c>
      <c r="C75" s="143"/>
      <c r="D75" s="21">
        <v>5726</v>
      </c>
      <c r="E75" s="27"/>
      <c r="F75" s="21">
        <f t="shared" si="21"/>
        <v>0</v>
      </c>
      <c r="G75" s="22">
        <f>VLOOKUP($M$6,'[1]ST BISCOITINHOS'!A:B,2,FALSE)</f>
        <v>0.12</v>
      </c>
      <c r="H75" s="23">
        <f>VLOOKUP($M$6,[1]PREÇOS!$A$2:$V$31,21,FALSE)</f>
        <v>19.227272727272727</v>
      </c>
      <c r="I75" s="24">
        <f t="shared" si="18"/>
        <v>19.227272727272727</v>
      </c>
      <c r="J75" s="25">
        <v>0</v>
      </c>
      <c r="K75" s="25">
        <f t="shared" si="19"/>
        <v>1.2497727272727273</v>
      </c>
      <c r="L75" s="26">
        <f t="shared" si="20"/>
        <v>20.477045454545454</v>
      </c>
      <c r="M75" s="28">
        <f t="shared" si="16"/>
        <v>0</v>
      </c>
      <c r="N75" s="26">
        <f t="shared" si="17"/>
        <v>0</v>
      </c>
      <c r="O75" s="23">
        <f>VLOOKUP($M$6,[1]PSC!$A$2:$V$31,20,FALSE)</f>
        <v>36</v>
      </c>
    </row>
    <row r="76" spans="2:15" x14ac:dyDescent="0.3">
      <c r="B76" s="133" t="s">
        <v>174</v>
      </c>
      <c r="C76" s="134"/>
      <c r="D76" s="126">
        <v>5675</v>
      </c>
      <c r="E76" s="27"/>
      <c r="F76" s="169">
        <f t="shared" si="21"/>
        <v>0</v>
      </c>
      <c r="G76" s="129">
        <f>VLOOKUP($M$6,'[1]ST BISCOITINHOS'!A:B,2,FALSE)</f>
        <v>0.12</v>
      </c>
      <c r="H76" s="128">
        <f>VLOOKUP($M$6,[1]PREÇOS!$A$2:$V$31,22,FALSE)</f>
        <v>29.150681818181813</v>
      </c>
      <c r="I76" s="172">
        <f t="shared" si="18"/>
        <v>29.150681818181813</v>
      </c>
      <c r="J76" s="112">
        <v>0</v>
      </c>
      <c r="K76" s="112">
        <f t="shared" si="19"/>
        <v>1.8947943181818179</v>
      </c>
      <c r="L76" s="173">
        <f t="shared" si="20"/>
        <v>31.045476136363632</v>
      </c>
      <c r="M76" s="132">
        <f t="shared" si="16"/>
        <v>0</v>
      </c>
      <c r="N76" s="131">
        <f t="shared" si="17"/>
        <v>0</v>
      </c>
      <c r="O76" s="174">
        <f>VLOOKUP($M$6,[1]PSC!$A$2:$V$31,22,FALSE)</f>
        <v>48</v>
      </c>
    </row>
    <row r="77" spans="2:15" x14ac:dyDescent="0.3">
      <c r="B77" s="142" t="s">
        <v>175</v>
      </c>
      <c r="C77" s="143"/>
      <c r="D77" s="144">
        <v>5689</v>
      </c>
      <c r="E77" s="27"/>
      <c r="F77" s="21">
        <f t="shared" si="21"/>
        <v>0</v>
      </c>
      <c r="G77" s="147">
        <f>VLOOKUP($M$6,'[1]ST BISCOITINHOS'!A:B,2,FALSE)</f>
        <v>0.12</v>
      </c>
      <c r="H77" s="146">
        <f>VLOOKUP($M$6,[1]PREÇOS!$A$2:$V$31,22,FALSE)</f>
        <v>29.150681818181813</v>
      </c>
      <c r="I77" s="24">
        <f t="shared" si="18"/>
        <v>29.150681818181813</v>
      </c>
      <c r="J77" s="148">
        <v>0</v>
      </c>
      <c r="K77" s="148">
        <f t="shared" si="19"/>
        <v>1.8947943181818179</v>
      </c>
      <c r="L77" s="26">
        <f t="shared" si="20"/>
        <v>31.045476136363632</v>
      </c>
      <c r="M77" s="149">
        <f t="shared" si="16"/>
        <v>0</v>
      </c>
      <c r="N77" s="150">
        <f t="shared" si="17"/>
        <v>0</v>
      </c>
      <c r="O77" s="23">
        <f>VLOOKUP($M$6,[1]PSC!$A$2:$V$31,22,FALSE)</f>
        <v>48</v>
      </c>
    </row>
    <row r="78" spans="2:15" x14ac:dyDescent="0.3">
      <c r="B78" s="133" t="s">
        <v>176</v>
      </c>
      <c r="C78" s="134"/>
      <c r="D78" s="126">
        <v>5696</v>
      </c>
      <c r="E78" s="27"/>
      <c r="F78" s="169">
        <f t="shared" si="21"/>
        <v>0</v>
      </c>
      <c r="G78" s="129">
        <f>VLOOKUP($M$6,'[1]ST BISCOITINHOS'!A:B,2,FALSE)</f>
        <v>0.12</v>
      </c>
      <c r="H78" s="128">
        <f>VLOOKUP($M$6,[1]PREÇOS!$A$2:$V$31,22,FALSE)</f>
        <v>29.150681818181813</v>
      </c>
      <c r="I78" s="172">
        <f t="shared" si="18"/>
        <v>29.150681818181813</v>
      </c>
      <c r="J78" s="112">
        <v>0</v>
      </c>
      <c r="K78" s="112">
        <f t="shared" si="19"/>
        <v>1.8947943181818179</v>
      </c>
      <c r="L78" s="173">
        <f t="shared" si="20"/>
        <v>31.045476136363632</v>
      </c>
      <c r="M78" s="132">
        <f t="shared" si="16"/>
        <v>0</v>
      </c>
      <c r="N78" s="131">
        <f t="shared" si="17"/>
        <v>0</v>
      </c>
      <c r="O78" s="174">
        <f>VLOOKUP($M$6,[1]PSC!$A$2:$V$31,22,FALSE)</f>
        <v>48</v>
      </c>
    </row>
    <row r="79" spans="2:15" ht="15" thickBot="1" x14ac:dyDescent="0.35">
      <c r="B79" s="54"/>
      <c r="I79" s="151" t="s">
        <v>177</v>
      </c>
    </row>
    <row r="80" spans="2:15" ht="15" thickBot="1" x14ac:dyDescent="0.35">
      <c r="B80" s="54"/>
      <c r="E80" s="35"/>
      <c r="F80" s="35"/>
      <c r="L80" s="60" t="s">
        <v>85</v>
      </c>
      <c r="M80" s="62"/>
      <c r="N80" s="15">
        <f>SUM(M10:M77)</f>
        <v>0</v>
      </c>
    </row>
    <row r="81" spans="2:14" ht="15" thickBot="1" x14ac:dyDescent="0.35">
      <c r="B81" s="54"/>
      <c r="E81" s="35"/>
      <c r="F81" s="35"/>
      <c r="M81" s="63"/>
      <c r="N81" s="16"/>
    </row>
    <row r="82" spans="2:14" ht="15" thickBot="1" x14ac:dyDescent="0.35">
      <c r="B82" s="54"/>
      <c r="E82" s="35"/>
      <c r="F82" s="35"/>
      <c r="L82" s="60" t="s">
        <v>86</v>
      </c>
      <c r="M82" s="62"/>
      <c r="N82" s="15">
        <f>N84-N80</f>
        <v>0</v>
      </c>
    </row>
    <row r="83" spans="2:14" ht="15" thickBot="1" x14ac:dyDescent="0.35">
      <c r="B83" s="54"/>
      <c r="E83" s="35"/>
      <c r="F83" s="35"/>
      <c r="L83" s="42"/>
      <c r="M83" s="63"/>
      <c r="N83" s="16"/>
    </row>
    <row r="84" spans="2:14" ht="15" thickBot="1" x14ac:dyDescent="0.35">
      <c r="B84" s="54"/>
      <c r="E84" s="35"/>
      <c r="F84" s="35"/>
      <c r="L84" s="60" t="s">
        <v>87</v>
      </c>
      <c r="M84" s="62"/>
      <c r="N84" s="15">
        <f>SUM(N10:N78)</f>
        <v>0</v>
      </c>
    </row>
  </sheetData>
  <sheetProtection sheet="1" objects="1" scenarios="1"/>
  <protectedRanges>
    <protectedRange sqref="E42:E47" name="Intervalo1_3_1"/>
    <protectedRange sqref="E37:E41" name="Intervalo1_4"/>
    <protectedRange sqref="E21" name="Intervalo1"/>
    <protectedRange sqref="E16:E20 E10:E11 E22:E36 E13:E14" name="Intervalo1_3"/>
    <protectedRange sqref="E48:E52" name="Intervalo1_3_1_1"/>
    <protectedRange sqref="E57:E58 E53:E55 E67:E78" name="Intervalo1_3_2"/>
    <protectedRange sqref="E60:E63 E65" name="Intervalo1_3_1_2"/>
  </protectedRanges>
  <dataConsolidate/>
  <mergeCells count="45">
    <mergeCell ref="B65:C65"/>
    <mergeCell ref="B67:C67"/>
    <mergeCell ref="B58:C58"/>
    <mergeCell ref="B60:C60"/>
    <mergeCell ref="B61:C61"/>
    <mergeCell ref="B62:C62"/>
    <mergeCell ref="B63:C63"/>
    <mergeCell ref="B25:C25"/>
    <mergeCell ref="B34:C34"/>
    <mergeCell ref="B35:C35"/>
    <mergeCell ref="B27:C27"/>
    <mergeCell ref="B28:C28"/>
    <mergeCell ref="B30:C30"/>
    <mergeCell ref="B44:C44"/>
    <mergeCell ref="B42:C42"/>
    <mergeCell ref="B43:C43"/>
    <mergeCell ref="B45:C45"/>
    <mergeCell ref="B46:C46"/>
    <mergeCell ref="B48:C48"/>
    <mergeCell ref="B49:C49"/>
    <mergeCell ref="B50:C50"/>
    <mergeCell ref="B51:C51"/>
    <mergeCell ref="B53:C53"/>
    <mergeCell ref="B54:C54"/>
    <mergeCell ref="B55:C55"/>
    <mergeCell ref="B57:C57"/>
    <mergeCell ref="M6:N6"/>
    <mergeCell ref="B19:C19"/>
    <mergeCell ref="B20:C20"/>
    <mergeCell ref="B23:C23"/>
    <mergeCell ref="B24:C24"/>
    <mergeCell ref="B21:C21"/>
    <mergeCell ref="B10:C10"/>
    <mergeCell ref="B11:C11"/>
    <mergeCell ref="B16:C16"/>
    <mergeCell ref="B17:C17"/>
    <mergeCell ref="B18:C18"/>
    <mergeCell ref="B13:C13"/>
    <mergeCell ref="B14:C14"/>
    <mergeCell ref="B39:C39"/>
    <mergeCell ref="B40:C40"/>
    <mergeCell ref="B31:C31"/>
    <mergeCell ref="B33:C33"/>
    <mergeCell ref="B37:C37"/>
    <mergeCell ref="B38:C38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E4FEC0-6BD3-40E7-BDDE-F8DBFD1E8712}">
          <x14:formula1>
            <xm:f>'ST BISCOITINHOS'!$A$2:$A$30</xm:f>
          </x14:formula1>
          <xm:sqref>M6:N6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BB84-095F-4AF4-A20D-42DC2C9423D9}">
  <sheetPr>
    <tabColor theme="4" tint="-0.249977111117893"/>
    <pageSetUpPr fitToPage="1"/>
  </sheetPr>
  <dimension ref="A1:S82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11" sqref="A11"/>
      <selection pane="bottomRight" activeCell="B6" sqref="B6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hidden="1" customWidth="1"/>
    <col min="8" max="8" width="11.44140625" bestFit="1" customWidth="1"/>
    <col min="9" max="9" width="15.5546875" bestFit="1" customWidth="1"/>
    <col min="10" max="10" width="18.5546875" bestFit="1" customWidth="1"/>
    <col min="11" max="11" width="15" customWidth="1"/>
    <col min="12" max="12" width="15" hidden="1" customWidth="1"/>
    <col min="13" max="13" width="13.5546875" hidden="1" customWidth="1"/>
    <col min="14" max="15" width="16.33203125" hidden="1" customWidth="1"/>
    <col min="16" max="16" width="14.33203125" hidden="1" customWidth="1"/>
    <col min="17" max="17" width="9.5546875" hidden="1" customWidth="1"/>
    <col min="18" max="18" width="14.33203125" hidden="1" customWidth="1"/>
    <col min="19" max="19" width="17.6640625" hidden="1" customWidth="1"/>
    <col min="20" max="20" width="0" hidden="1" customWidth="1"/>
    <col min="23" max="23" width="19.33203125" customWidth="1"/>
  </cols>
  <sheetData>
    <row r="1" spans="1:19" x14ac:dyDescent="0.3">
      <c r="A1" s="35"/>
      <c r="B1" s="35"/>
      <c r="C1" s="42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x14ac:dyDescent="0.3">
      <c r="A2" s="35"/>
      <c r="B2" s="35"/>
      <c r="C2" s="42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x14ac:dyDescent="0.3">
      <c r="A3" s="35"/>
      <c r="B3" s="35"/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 ht="15" thickBot="1" x14ac:dyDescent="0.35">
      <c r="A4" s="35"/>
      <c r="B4" s="35"/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ht="22.5" customHeight="1" thickBot="1" x14ac:dyDescent="0.35">
      <c r="A5" s="35"/>
      <c r="B5" s="156"/>
      <c r="C5" s="155"/>
      <c r="D5" s="155"/>
      <c r="E5" s="155"/>
      <c r="F5" s="155"/>
      <c r="G5" s="155"/>
      <c r="H5" s="155"/>
      <c r="I5" s="155"/>
      <c r="J5" s="155"/>
      <c r="K5" s="155"/>
      <c r="L5" s="171" t="s">
        <v>4</v>
      </c>
      <c r="M5" s="17"/>
      <c r="N5" s="17"/>
      <c r="O5" s="17"/>
      <c r="P5" s="18"/>
      <c r="Q5" s="43" t="s">
        <v>5</v>
      </c>
      <c r="R5" s="185" t="s">
        <v>6</v>
      </c>
      <c r="S5" s="186"/>
    </row>
    <row r="6" spans="1:19" s="36" customFormat="1" ht="17.399999999999999" x14ac:dyDescent="0.3">
      <c r="A6" s="44"/>
      <c r="B6" s="45" t="s">
        <v>189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1:19" ht="28.2" thickBot="1" x14ac:dyDescent="0.35">
      <c r="A7" s="35"/>
      <c r="B7" s="83" t="s">
        <v>8</v>
      </c>
      <c r="C7" s="83"/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15</v>
      </c>
      <c r="K7" s="47" t="s">
        <v>16</v>
      </c>
      <c r="L7" s="47" t="s">
        <v>17</v>
      </c>
      <c r="M7" s="47" t="s">
        <v>18</v>
      </c>
      <c r="N7" s="47" t="s">
        <v>19</v>
      </c>
      <c r="O7" s="47" t="s">
        <v>145</v>
      </c>
      <c r="P7" s="47" t="s">
        <v>20</v>
      </c>
      <c r="Q7" s="47" t="s">
        <v>21</v>
      </c>
      <c r="R7" s="47" t="s">
        <v>22</v>
      </c>
      <c r="S7" s="47" t="s">
        <v>23</v>
      </c>
    </row>
    <row r="8" spans="1:19" ht="15" thickTop="1" x14ac:dyDescent="0.3">
      <c r="A8" s="35"/>
      <c r="B8" s="183" t="s">
        <v>24</v>
      </c>
      <c r="C8" s="184"/>
      <c r="D8" s="84">
        <v>5313</v>
      </c>
      <c r="E8" s="84" t="s">
        <v>25</v>
      </c>
      <c r="F8" s="84" t="s">
        <v>26</v>
      </c>
      <c r="G8" s="86">
        <f>VLOOKUP($R$5,'PSC PAPAPA'!$A$2:$L$31,9,FALSE)</f>
        <v>13.49</v>
      </c>
      <c r="H8" s="19" t="s">
        <v>27</v>
      </c>
      <c r="I8" s="19">
        <v>7898969895316</v>
      </c>
      <c r="J8" s="19">
        <v>17898969895313</v>
      </c>
      <c r="K8" s="85">
        <f>VLOOKUP($R$5,'ST BISCOITINHOS'!A:B,2,FALSE)</f>
        <v>0.12</v>
      </c>
      <c r="L8" s="86">
        <f>VLOOKUP($R$5,PREÇOS!$A$2:$L$31,9,FALSE)</f>
        <v>8.8990000000000009</v>
      </c>
      <c r="M8" s="87">
        <f>L8*12</f>
        <v>106.78800000000001</v>
      </c>
      <c r="N8" s="90">
        <v>0</v>
      </c>
      <c r="O8" s="90">
        <v>0</v>
      </c>
      <c r="P8" s="29">
        <f>(L8+N8)*12</f>
        <v>106.78800000000001</v>
      </c>
      <c r="Q8" s="88"/>
      <c r="R8" s="89">
        <f t="shared" ref="R8:R9" si="0">Q8*M8</f>
        <v>0</v>
      </c>
      <c r="S8" s="29">
        <f t="shared" ref="S8:S9" si="1">Q8*P8</f>
        <v>0</v>
      </c>
    </row>
    <row r="9" spans="1:19" x14ac:dyDescent="0.3">
      <c r="A9" s="35"/>
      <c r="B9" s="175" t="s">
        <v>28</v>
      </c>
      <c r="C9" s="179"/>
      <c r="D9" s="48">
        <v>5320</v>
      </c>
      <c r="E9" s="49" t="s">
        <v>25</v>
      </c>
      <c r="F9" s="49" t="s">
        <v>26</v>
      </c>
      <c r="G9" s="30">
        <f>VLOOKUP($R$5,'PSC PAPAPA'!$A$2:$L$31,9,FALSE)</f>
        <v>13.49</v>
      </c>
      <c r="H9" s="48" t="s">
        <v>27</v>
      </c>
      <c r="I9" s="48">
        <v>7898969895323</v>
      </c>
      <c r="J9" s="48">
        <v>17898969895320</v>
      </c>
      <c r="K9" s="50">
        <f>VLOOKUP($R$5,'ST BISCOITINHOS'!A:B,2,FALSE)</f>
        <v>0.12</v>
      </c>
      <c r="L9" s="30">
        <f>VLOOKUP($R$5,PREÇOS!$A$2:$L$31,9,FALSE)</f>
        <v>8.8990000000000009</v>
      </c>
      <c r="M9" s="31">
        <f>L9*12</f>
        <v>106.78800000000001</v>
      </c>
      <c r="N9" s="91">
        <v>0</v>
      </c>
      <c r="O9" s="91">
        <v>0</v>
      </c>
      <c r="P9" s="32">
        <f>(L9+N9)*12</f>
        <v>106.78800000000001</v>
      </c>
      <c r="Q9" s="27"/>
      <c r="R9" s="33">
        <f t="shared" si="0"/>
        <v>0</v>
      </c>
      <c r="S9" s="32">
        <f t="shared" si="1"/>
        <v>0</v>
      </c>
    </row>
    <row r="10" spans="1:19" x14ac:dyDescent="0.3">
      <c r="A10" s="35"/>
      <c r="B10" s="83"/>
      <c r="C10" s="83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spans="1:19" x14ac:dyDescent="0.3">
      <c r="A11" s="35"/>
      <c r="B11" s="177" t="s">
        <v>29</v>
      </c>
      <c r="C11" s="179"/>
      <c r="D11" s="21">
        <v>5563</v>
      </c>
      <c r="E11" s="20" t="s">
        <v>30</v>
      </c>
      <c r="F11" s="20" t="s">
        <v>31</v>
      </c>
      <c r="G11" s="23">
        <f>VLOOKUP($R$5,'PSC PAPAPA'!$A$2:$M$31,13,FALSE)</f>
        <v>9.49</v>
      </c>
      <c r="H11" s="21" t="s">
        <v>27</v>
      </c>
      <c r="I11" s="21">
        <v>7898969895569</v>
      </c>
      <c r="J11" s="21">
        <v>27898969895563</v>
      </c>
      <c r="K11" s="22">
        <f>VLOOKUP($R$5,'ST BISCOITINHOS'!A:B,2,FALSE)</f>
        <v>0.12</v>
      </c>
      <c r="L11" s="23">
        <f>VLOOKUP($R$5,PREÇOS!$A$2:$M$31,13,FALSE)</f>
        <v>5.67</v>
      </c>
      <c r="M11" s="24">
        <f>L11*16</f>
        <v>90.72</v>
      </c>
      <c r="N11" s="25">
        <v>0</v>
      </c>
      <c r="O11" s="25">
        <v>0</v>
      </c>
      <c r="P11" s="26">
        <f>M11</f>
        <v>90.72</v>
      </c>
      <c r="Q11" s="27"/>
      <c r="R11" s="28">
        <f t="shared" ref="R11:R12" si="2">Q11*M11</f>
        <v>0</v>
      </c>
      <c r="S11" s="26">
        <f t="shared" ref="S11:S12" si="3">Q11*P11</f>
        <v>0</v>
      </c>
    </row>
    <row r="12" spans="1:19" x14ac:dyDescent="0.3">
      <c r="A12" s="35"/>
      <c r="B12" s="175" t="s">
        <v>32</v>
      </c>
      <c r="C12" s="179"/>
      <c r="D12" s="48">
        <v>5570</v>
      </c>
      <c r="E12" s="48" t="s">
        <v>30</v>
      </c>
      <c r="F12" s="48" t="s">
        <v>31</v>
      </c>
      <c r="G12" s="30">
        <f>VLOOKUP($R$5,'PSC PAPAPA'!$A$2:$M$31,13,FALSE)</f>
        <v>9.49</v>
      </c>
      <c r="H12" s="49" t="s">
        <v>27</v>
      </c>
      <c r="I12" s="48">
        <v>7898969895576</v>
      </c>
      <c r="J12" s="48">
        <v>27898969895570</v>
      </c>
      <c r="K12" s="50">
        <f>VLOOKUP($R$5,'ST BISCOITINHOS'!A:B,2,FALSE)</f>
        <v>0.12</v>
      </c>
      <c r="L12" s="30">
        <f>VLOOKUP($R$5,PREÇOS!$A$2:$M$31,13,FALSE)</f>
        <v>5.67</v>
      </c>
      <c r="M12" s="31">
        <f>L12*16</f>
        <v>90.72</v>
      </c>
      <c r="N12" s="51">
        <v>0</v>
      </c>
      <c r="O12" s="51">
        <v>0</v>
      </c>
      <c r="P12" s="32">
        <f>M12</f>
        <v>90.72</v>
      </c>
      <c r="Q12" s="27"/>
      <c r="R12" s="33">
        <f t="shared" si="2"/>
        <v>0</v>
      </c>
      <c r="S12" s="32">
        <f t="shared" si="3"/>
        <v>0</v>
      </c>
    </row>
    <row r="13" spans="1:19" x14ac:dyDescent="0.3">
      <c r="A13" s="35"/>
      <c r="B13" s="83"/>
      <c r="C13" s="83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</row>
    <row r="14" spans="1:19" x14ac:dyDescent="0.3">
      <c r="A14" s="35"/>
      <c r="B14" s="177" t="s">
        <v>33</v>
      </c>
      <c r="C14" s="179"/>
      <c r="D14" s="21">
        <v>17898994908729</v>
      </c>
      <c r="E14" s="20" t="s">
        <v>34</v>
      </c>
      <c r="F14" s="20" t="s">
        <v>35</v>
      </c>
      <c r="G14" s="23">
        <f>VLOOKUP($R$5,'PSC PAPAPA'!$A$2:$L$31,2,FALSE)</f>
        <v>9.49</v>
      </c>
      <c r="H14" s="21" t="s">
        <v>27</v>
      </c>
      <c r="I14" s="21" t="s">
        <v>36</v>
      </c>
      <c r="J14" s="21">
        <v>17898994908729</v>
      </c>
      <c r="K14" s="22">
        <f>VLOOKUP($R$5,'ST BISCOITINHOS'!A:B,2,FALSE)</f>
        <v>0.12</v>
      </c>
      <c r="L14" s="23">
        <f>VLOOKUP($R$5,PREÇOS!$A$2:$L$31,2,FALSE)</f>
        <v>6.24</v>
      </c>
      <c r="M14" s="24">
        <f>L14*12</f>
        <v>74.88</v>
      </c>
      <c r="N14" s="25">
        <v>0</v>
      </c>
      <c r="O14" s="25">
        <v>0</v>
      </c>
      <c r="P14" s="26">
        <f>M14</f>
        <v>74.88</v>
      </c>
      <c r="Q14" s="27"/>
      <c r="R14" s="28">
        <f t="shared" ref="R14:R33" si="4">Q14*M14</f>
        <v>0</v>
      </c>
      <c r="S14" s="26">
        <f t="shared" ref="S14:S33" si="5">Q14*P14</f>
        <v>0</v>
      </c>
    </row>
    <row r="15" spans="1:19" x14ac:dyDescent="0.3">
      <c r="A15" s="35"/>
      <c r="B15" s="175" t="s">
        <v>37</v>
      </c>
      <c r="C15" s="179"/>
      <c r="D15" s="48">
        <v>17898994908736</v>
      </c>
      <c r="E15" s="49" t="s">
        <v>34</v>
      </c>
      <c r="F15" s="49" t="s">
        <v>35</v>
      </c>
      <c r="G15" s="30">
        <f>VLOOKUP($R$5,'PSC PAPAPA'!$A$2:$L$31,2,FALSE)</f>
        <v>9.49</v>
      </c>
      <c r="H15" s="48" t="s">
        <v>27</v>
      </c>
      <c r="I15" s="48" t="s">
        <v>38</v>
      </c>
      <c r="J15" s="48">
        <v>17898994908736</v>
      </c>
      <c r="K15" s="50">
        <f>VLOOKUP($R$5,'ST BISCOITINHOS'!A:B,2,FALSE)</f>
        <v>0.12</v>
      </c>
      <c r="L15" s="30">
        <f>VLOOKUP($R$5,PREÇOS!$A$2:$L$31,2,FALSE)</f>
        <v>6.24</v>
      </c>
      <c r="M15" s="31">
        <f t="shared" ref="M15:M19" si="6">L15*12</f>
        <v>74.88</v>
      </c>
      <c r="N15" s="51">
        <v>0</v>
      </c>
      <c r="O15" s="51">
        <v>0</v>
      </c>
      <c r="P15" s="32">
        <f>M15</f>
        <v>74.88</v>
      </c>
      <c r="Q15" s="27"/>
      <c r="R15" s="33">
        <f t="shared" si="4"/>
        <v>0</v>
      </c>
      <c r="S15" s="32">
        <f t="shared" si="5"/>
        <v>0</v>
      </c>
    </row>
    <row r="16" spans="1:19" x14ac:dyDescent="0.3">
      <c r="A16" s="35"/>
      <c r="B16" s="177" t="s">
        <v>39</v>
      </c>
      <c r="C16" s="179"/>
      <c r="D16" s="21">
        <v>17898994908712</v>
      </c>
      <c r="E16" s="20" t="s">
        <v>34</v>
      </c>
      <c r="F16" s="20" t="s">
        <v>35</v>
      </c>
      <c r="G16" s="23">
        <f>VLOOKUP($R$5,'PSC PAPAPA'!$A$2:$L$31,2,FALSE)</f>
        <v>9.49</v>
      </c>
      <c r="H16" s="21" t="s">
        <v>27</v>
      </c>
      <c r="I16" s="21" t="s">
        <v>40</v>
      </c>
      <c r="J16" s="21">
        <v>17898994908712</v>
      </c>
      <c r="K16" s="22">
        <f>VLOOKUP($R$5,'ST BISCOITINHOS'!A:B,2,FALSE)</f>
        <v>0.12</v>
      </c>
      <c r="L16" s="23">
        <f>VLOOKUP($R$5,PREÇOS!$A$2:$L$31,2,FALSE)</f>
        <v>6.24</v>
      </c>
      <c r="M16" s="24">
        <f t="shared" si="6"/>
        <v>74.88</v>
      </c>
      <c r="N16" s="25">
        <v>0</v>
      </c>
      <c r="O16" s="25">
        <v>0</v>
      </c>
      <c r="P16" s="26">
        <f>M16</f>
        <v>74.88</v>
      </c>
      <c r="Q16" s="27"/>
      <c r="R16" s="28">
        <f t="shared" si="4"/>
        <v>0</v>
      </c>
      <c r="S16" s="26">
        <f t="shared" si="5"/>
        <v>0</v>
      </c>
    </row>
    <row r="17" spans="1:19" x14ac:dyDescent="0.3">
      <c r="A17" s="35"/>
      <c r="B17" s="175" t="s">
        <v>41</v>
      </c>
      <c r="C17" s="179"/>
      <c r="D17" s="48">
        <v>17898994908750</v>
      </c>
      <c r="E17" s="49" t="s">
        <v>34</v>
      </c>
      <c r="F17" s="49" t="s">
        <v>35</v>
      </c>
      <c r="G17" s="30">
        <f>VLOOKUP($R$5,'PSC PAPAPA'!$A$2:$L$31,2,FALSE)</f>
        <v>9.49</v>
      </c>
      <c r="H17" s="48" t="s">
        <v>27</v>
      </c>
      <c r="I17" s="48" t="s">
        <v>42</v>
      </c>
      <c r="J17" s="48">
        <v>17898994908750</v>
      </c>
      <c r="K17" s="50">
        <f>VLOOKUP($R$5,'ST BISCOITINHOS'!A:B,2,FALSE)</f>
        <v>0.12</v>
      </c>
      <c r="L17" s="30">
        <f>VLOOKUP($R$5,PREÇOS!$A$2:$L$31,2,FALSE)</f>
        <v>6.24</v>
      </c>
      <c r="M17" s="31">
        <f t="shared" si="6"/>
        <v>74.88</v>
      </c>
      <c r="N17" s="51">
        <v>0</v>
      </c>
      <c r="O17" s="51">
        <v>0</v>
      </c>
      <c r="P17" s="32">
        <f>M17</f>
        <v>74.88</v>
      </c>
      <c r="Q17" s="27"/>
      <c r="R17" s="33">
        <f t="shared" si="4"/>
        <v>0</v>
      </c>
      <c r="S17" s="32">
        <f t="shared" si="5"/>
        <v>0</v>
      </c>
    </row>
    <row r="18" spans="1:19" x14ac:dyDescent="0.3">
      <c r="A18" s="35"/>
      <c r="B18" s="177" t="s">
        <v>43</v>
      </c>
      <c r="C18" s="179"/>
      <c r="D18" s="21">
        <v>27898994908757</v>
      </c>
      <c r="E18" s="20" t="s">
        <v>34</v>
      </c>
      <c r="F18" s="20" t="s">
        <v>35</v>
      </c>
      <c r="G18" s="23">
        <f>VLOOKUP($R$5,'PSC PAPAPA'!$A$2:$L$31,2,FALSE)</f>
        <v>9.49</v>
      </c>
      <c r="H18" s="21" t="s">
        <v>27</v>
      </c>
      <c r="I18" s="21" t="s">
        <v>44</v>
      </c>
      <c r="J18" s="21">
        <v>27898994908757</v>
      </c>
      <c r="K18" s="22">
        <f>VLOOKUP($R$5,'ST BISCOITINHOS'!A:B,2,FALSE)</f>
        <v>0.12</v>
      </c>
      <c r="L18" s="23">
        <f>VLOOKUP($R$5,PREÇOS!$A$2:$L$31,2,FALSE)</f>
        <v>6.24</v>
      </c>
      <c r="M18" s="24">
        <f t="shared" si="6"/>
        <v>74.88</v>
      </c>
      <c r="N18" s="25">
        <v>0</v>
      </c>
      <c r="O18" s="25">
        <v>0</v>
      </c>
      <c r="P18" s="26">
        <f>M18</f>
        <v>74.88</v>
      </c>
      <c r="Q18" s="27"/>
      <c r="R18" s="28">
        <f t="shared" si="4"/>
        <v>0</v>
      </c>
      <c r="S18" s="26">
        <f t="shared" si="5"/>
        <v>0</v>
      </c>
    </row>
    <row r="19" spans="1:19" x14ac:dyDescent="0.3">
      <c r="A19" s="35"/>
      <c r="B19" s="175" t="s">
        <v>45</v>
      </c>
      <c r="C19" s="176"/>
      <c r="D19" s="48">
        <v>5306</v>
      </c>
      <c r="E19" s="49" t="s">
        <v>34</v>
      </c>
      <c r="F19" s="49" t="s">
        <v>35</v>
      </c>
      <c r="G19" s="30">
        <f>VLOOKUP($R$5,'PSC PAPAPA'!$A$2:$L$31,2,FALSE)</f>
        <v>9.49</v>
      </c>
      <c r="H19" s="48" t="s">
        <v>27</v>
      </c>
      <c r="I19" s="48">
        <v>7898969895309</v>
      </c>
      <c r="J19" s="48">
        <v>17898969895306</v>
      </c>
      <c r="K19" s="50">
        <f>VLOOKUP($R$5,'ST BISCOITINHOS'!A:B,2,FALSE)</f>
        <v>0.12</v>
      </c>
      <c r="L19" s="30">
        <f>VLOOKUP($R$5,PREÇOS!$A$2:$L$31,2,FALSE)</f>
        <v>6.24</v>
      </c>
      <c r="M19" s="31">
        <f t="shared" si="6"/>
        <v>74.88</v>
      </c>
      <c r="N19" s="51">
        <v>0</v>
      </c>
      <c r="O19" s="51">
        <v>0</v>
      </c>
      <c r="P19" s="32">
        <f t="shared" ref="P19" si="7">M19</f>
        <v>74.88</v>
      </c>
      <c r="Q19" s="27"/>
      <c r="R19" s="33">
        <f t="shared" si="4"/>
        <v>0</v>
      </c>
      <c r="S19" s="32">
        <f t="shared" si="5"/>
        <v>0</v>
      </c>
    </row>
    <row r="20" spans="1:19" x14ac:dyDescent="0.3">
      <c r="A20" s="35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</row>
    <row r="21" spans="1:19" x14ac:dyDescent="0.3">
      <c r="A21" s="35"/>
      <c r="B21" s="177" t="s">
        <v>46</v>
      </c>
      <c r="C21" s="179"/>
      <c r="D21" s="21">
        <v>5085</v>
      </c>
      <c r="E21" s="20" t="s">
        <v>47</v>
      </c>
      <c r="F21" s="20" t="s">
        <v>48</v>
      </c>
      <c r="G21" s="23">
        <f>VLOOKUP($R$5,'PSC PAPAPA'!$A$2:$L$31,3,FALSE)</f>
        <v>5.79</v>
      </c>
      <c r="H21" s="21" t="s">
        <v>49</v>
      </c>
      <c r="I21" s="21">
        <v>7898969895088</v>
      </c>
      <c r="J21" s="21">
        <v>17898969895085</v>
      </c>
      <c r="K21" s="22">
        <f>VLOOKUP($R$5,'ST PALITINHOS'!A:B,2,FALSE)</f>
        <v>0.12</v>
      </c>
      <c r="L21" s="23">
        <f>VLOOKUP($R$5,PREÇOS!$A$2:$L$31,3,FALSE)</f>
        <v>3.78</v>
      </c>
      <c r="M21" s="24">
        <f>L21*16</f>
        <v>60.48</v>
      </c>
      <c r="N21" s="25" t="e">
        <f>IF(#REF!="SIM",VLOOKUP($R$5,'ST PALITINHOS'!$A$1:$J$31,10,FALSE),VLOOKUP($R$5,'ST PALITINHOS'!$A$1:$J$31,9,FALSE))</f>
        <v>#REF!</v>
      </c>
      <c r="O21" s="25">
        <v>0</v>
      </c>
      <c r="P21" s="26" t="e">
        <f>(L21+N21)*16</f>
        <v>#REF!</v>
      </c>
      <c r="Q21" s="27"/>
      <c r="R21" s="28">
        <f t="shared" si="4"/>
        <v>0</v>
      </c>
      <c r="S21" s="26" t="e">
        <f t="shared" si="5"/>
        <v>#REF!</v>
      </c>
    </row>
    <row r="22" spans="1:19" x14ac:dyDescent="0.3">
      <c r="A22" s="35"/>
      <c r="B22" s="175" t="s">
        <v>50</v>
      </c>
      <c r="C22" s="179"/>
      <c r="D22" s="48">
        <v>5078</v>
      </c>
      <c r="E22" s="49" t="s">
        <v>47</v>
      </c>
      <c r="F22" s="49" t="s">
        <v>48</v>
      </c>
      <c r="G22" s="30">
        <f>VLOOKUP($R$5,'PSC PAPAPA'!$A$2:$L$31,3,FALSE)</f>
        <v>5.79</v>
      </c>
      <c r="H22" s="48" t="s">
        <v>49</v>
      </c>
      <c r="I22" s="48">
        <v>7898969895071</v>
      </c>
      <c r="J22" s="48">
        <v>17898969895078</v>
      </c>
      <c r="K22" s="50">
        <f>VLOOKUP($R$5,'ST PALITINHOS'!A:B,2,FALSE)</f>
        <v>0.12</v>
      </c>
      <c r="L22" s="30">
        <f>VLOOKUP($R$5,PREÇOS!$A$2:$L$31,3,FALSE)</f>
        <v>3.78</v>
      </c>
      <c r="M22" s="31">
        <f>L22*16</f>
        <v>60.48</v>
      </c>
      <c r="N22" s="51" t="e">
        <f>IF(#REF!="SIM",VLOOKUP($R$5,'ST PALITINHOS'!$A$1:$J$31,10,FALSE),VLOOKUP($R$5,'ST PALITINHOS'!$A$1:$J$31,9,FALSE))</f>
        <v>#REF!</v>
      </c>
      <c r="O22" s="51">
        <v>0</v>
      </c>
      <c r="P22" s="32" t="e">
        <f>(L22+N22)*16</f>
        <v>#REF!</v>
      </c>
      <c r="Q22" s="27"/>
      <c r="R22" s="33">
        <f t="shared" si="4"/>
        <v>0</v>
      </c>
      <c r="S22" s="32" t="e">
        <f t="shared" si="5"/>
        <v>#REF!</v>
      </c>
    </row>
    <row r="23" spans="1:19" x14ac:dyDescent="0.3">
      <c r="A23" s="35"/>
      <c r="B23" s="177" t="s">
        <v>51</v>
      </c>
      <c r="C23" s="179"/>
      <c r="D23" s="21">
        <v>5061</v>
      </c>
      <c r="E23" s="20" t="s">
        <v>47</v>
      </c>
      <c r="F23" s="20" t="s">
        <v>48</v>
      </c>
      <c r="G23" s="23">
        <f>VLOOKUP($R$5,'PSC PAPAPA'!$A$2:$L$31,3,FALSE)</f>
        <v>5.79</v>
      </c>
      <c r="H23" s="21" t="s">
        <v>49</v>
      </c>
      <c r="I23" s="21">
        <v>7898969895064</v>
      </c>
      <c r="J23" s="21">
        <v>17898969895061</v>
      </c>
      <c r="K23" s="22">
        <f>VLOOKUP($R$5,'ST PALITINHOS'!A:B,2,FALSE)</f>
        <v>0.12</v>
      </c>
      <c r="L23" s="23">
        <f>VLOOKUP($R$5,PREÇOS!$A$2:$L$31,3,FALSE)</f>
        <v>3.78</v>
      </c>
      <c r="M23" s="24">
        <f>L23*16</f>
        <v>60.48</v>
      </c>
      <c r="N23" s="25" t="e">
        <f>IF(#REF!="SIM",VLOOKUP($R$5,'ST PALITINHOS'!$A$1:$J$31,10,FALSE),VLOOKUP($R$5,'ST PALITINHOS'!$A$1:$J$31,9,FALSE))</f>
        <v>#REF!</v>
      </c>
      <c r="O23" s="25">
        <v>0</v>
      </c>
      <c r="P23" s="26" t="e">
        <f>(L23+N23)*16</f>
        <v>#REF!</v>
      </c>
      <c r="Q23" s="27"/>
      <c r="R23" s="28">
        <f t="shared" si="4"/>
        <v>0</v>
      </c>
      <c r="S23" s="26" t="e">
        <f t="shared" si="5"/>
        <v>#REF!</v>
      </c>
    </row>
    <row r="24" spans="1:19" x14ac:dyDescent="0.3">
      <c r="A24" s="35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</row>
    <row r="25" spans="1:19" x14ac:dyDescent="0.3">
      <c r="A25" s="35"/>
      <c r="B25" s="177" t="s">
        <v>52</v>
      </c>
      <c r="C25" s="179"/>
      <c r="D25" s="21">
        <v>8774</v>
      </c>
      <c r="E25" s="20" t="s">
        <v>53</v>
      </c>
      <c r="F25" s="20" t="s">
        <v>31</v>
      </c>
      <c r="G25" s="23">
        <f>VLOOKUP($R$5,'PSC PAPAPA'!$A$2:$L$31,4,FALSE)</f>
        <v>19.989999999999998</v>
      </c>
      <c r="H25" s="21" t="s">
        <v>54</v>
      </c>
      <c r="I25" s="21">
        <v>7898994908777</v>
      </c>
      <c r="J25" s="21">
        <v>17898994908774</v>
      </c>
      <c r="K25" s="22">
        <f>VLOOKUP($R$5,'ST BISCOITINHOS'!A:B,2,FALSE)</f>
        <v>0.12</v>
      </c>
      <c r="L25" s="23">
        <f>VLOOKUP($R$5,PREÇOS!$A$2:$L$31,4,FALSE)</f>
        <v>12.9574</v>
      </c>
      <c r="M25" s="24">
        <f>L25*12</f>
        <v>155.4888</v>
      </c>
      <c r="N25" s="25" t="e">
        <f>IF(#REF!="SIM",VLOOKUP($R$5,'ST BISCOITINHOS'!$A$1:$J$31,10,FALSE),VLOOKUP($R$5,'ST BISCOITINHOS'!$A$1:$J$31,9,FALSE))</f>
        <v>#REF!</v>
      </c>
      <c r="O25" s="25">
        <v>0</v>
      </c>
      <c r="P25" s="26" t="e">
        <f>(L25+N25)*12</f>
        <v>#REF!</v>
      </c>
      <c r="Q25" s="27"/>
      <c r="R25" s="28">
        <f t="shared" si="4"/>
        <v>0</v>
      </c>
      <c r="S25" s="26" t="e">
        <f t="shared" si="5"/>
        <v>#REF!</v>
      </c>
    </row>
    <row r="26" spans="1:19" x14ac:dyDescent="0.3">
      <c r="A26" s="35"/>
      <c r="B26" s="175" t="s">
        <v>55</v>
      </c>
      <c r="C26" s="179"/>
      <c r="D26" s="48">
        <v>8767</v>
      </c>
      <c r="E26" s="49" t="s">
        <v>53</v>
      </c>
      <c r="F26" s="49" t="s">
        <v>31</v>
      </c>
      <c r="G26" s="30">
        <f>VLOOKUP($R$5,'PSC PAPAPA'!$A$2:$L$31,4,FALSE)</f>
        <v>19.989999999999998</v>
      </c>
      <c r="H26" s="48" t="s">
        <v>54</v>
      </c>
      <c r="I26" s="48">
        <v>7898994908760</v>
      </c>
      <c r="J26" s="48">
        <v>17898994908767</v>
      </c>
      <c r="K26" s="50">
        <f>VLOOKUP($R$5,'ST BISCOITINHOS'!A:B,2,FALSE)</f>
        <v>0.12</v>
      </c>
      <c r="L26" s="30">
        <f>VLOOKUP($R$5,PREÇOS!$A$2:$L$31,4,FALSE)</f>
        <v>12.9574</v>
      </c>
      <c r="M26" s="31">
        <f>L26*12</f>
        <v>155.4888</v>
      </c>
      <c r="N26" s="51" t="e">
        <f>IF(#REF!="SIM",VLOOKUP($R$5,'ST BISCOITINHOS'!$A$1:$J$31,10,FALSE),VLOOKUP($R$5,'ST BISCOITINHOS'!$A$1:$J$31,9,FALSE))</f>
        <v>#REF!</v>
      </c>
      <c r="O26" s="51">
        <v>0</v>
      </c>
      <c r="P26" s="32" t="e">
        <f>(L26+N26)*12</f>
        <v>#REF!</v>
      </c>
      <c r="Q26" s="27"/>
      <c r="R26" s="33">
        <f t="shared" si="4"/>
        <v>0</v>
      </c>
      <c r="S26" s="32" t="e">
        <f t="shared" si="5"/>
        <v>#REF!</v>
      </c>
    </row>
    <row r="27" spans="1:19" x14ac:dyDescent="0.3">
      <c r="A27" s="35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</row>
    <row r="28" spans="1:19" x14ac:dyDescent="0.3">
      <c r="A28" s="35"/>
      <c r="B28" s="177" t="s">
        <v>56</v>
      </c>
      <c r="C28" s="179"/>
      <c r="D28" s="21">
        <v>5290</v>
      </c>
      <c r="E28" s="20" t="s">
        <v>57</v>
      </c>
      <c r="F28" s="20" t="s">
        <v>58</v>
      </c>
      <c r="G28" s="23">
        <f>VLOOKUP($R$5,'PSC PAPAPA'!$A$2:$L$31,5,FALSE)</f>
        <v>13.69</v>
      </c>
      <c r="H28" s="21" t="s">
        <v>59</v>
      </c>
      <c r="I28" s="21">
        <v>7898969895293</v>
      </c>
      <c r="J28" s="21">
        <v>17898969895293</v>
      </c>
      <c r="K28" s="22">
        <f>VLOOKUP($R$5,'ST PAPAPASTA'!A:B,2,FALSE)</f>
        <v>0.12</v>
      </c>
      <c r="L28" s="23">
        <f>VLOOKUP($R$5,PREÇOS!$A$2:$L$31,5,FALSE)</f>
        <v>8.4499999999999993</v>
      </c>
      <c r="M28" s="24">
        <f>L28*12</f>
        <v>101.39999999999999</v>
      </c>
      <c r="N28" s="25" t="e">
        <f>IF(#REF!="SIM",VLOOKUP($R$5,'ST PAPAPASTA'!$A$1:$J$31,10,FALSE),VLOOKUP($R$5,'ST PAPAPASTA'!$A$1:$J$31,9,FALSE))</f>
        <v>#REF!</v>
      </c>
      <c r="O28" s="25">
        <v>0</v>
      </c>
      <c r="P28" s="26" t="e">
        <f>(L28+N28)*12</f>
        <v>#REF!</v>
      </c>
      <c r="Q28" s="27"/>
      <c r="R28" s="28">
        <f t="shared" si="4"/>
        <v>0</v>
      </c>
      <c r="S28" s="26" t="e">
        <f t="shared" si="5"/>
        <v>#REF!</v>
      </c>
    </row>
    <row r="29" spans="1:19" x14ac:dyDescent="0.3">
      <c r="A29" s="35"/>
      <c r="B29" s="175" t="s">
        <v>60</v>
      </c>
      <c r="C29" s="179"/>
      <c r="D29" s="48">
        <v>5283</v>
      </c>
      <c r="E29" s="49" t="s">
        <v>57</v>
      </c>
      <c r="F29" s="49" t="s">
        <v>58</v>
      </c>
      <c r="G29" s="30">
        <f>VLOOKUP($R$5,'PSC PAPAPA'!$A$2:$L$31,5,FALSE)</f>
        <v>13.69</v>
      </c>
      <c r="H29" s="48" t="s">
        <v>59</v>
      </c>
      <c r="I29" s="48">
        <v>7898969895286</v>
      </c>
      <c r="J29" s="48">
        <v>17898969895286</v>
      </c>
      <c r="K29" s="50">
        <f>VLOOKUP($R$5,'ST PAPAPASTA'!A:B,2,FALSE)</f>
        <v>0.12</v>
      </c>
      <c r="L29" s="30">
        <f>VLOOKUP($R$5,PREÇOS!$A$2:$L$31,5,FALSE)</f>
        <v>8.4499999999999993</v>
      </c>
      <c r="M29" s="31">
        <f>L29*12</f>
        <v>101.39999999999999</v>
      </c>
      <c r="N29" s="51" t="e">
        <f>IF(#REF!="SIM",VLOOKUP($R$5,'ST PAPAPASTA'!$A$1:$J$31,10,FALSE),VLOOKUP($R$5,'ST PAPAPASTA'!$A$1:$J$31,9,FALSE))</f>
        <v>#REF!</v>
      </c>
      <c r="O29" s="51">
        <v>0</v>
      </c>
      <c r="P29" s="32" t="e">
        <f>(L29+N29)*12</f>
        <v>#REF!</v>
      </c>
      <c r="Q29" s="27"/>
      <c r="R29" s="33">
        <f t="shared" si="4"/>
        <v>0</v>
      </c>
      <c r="S29" s="32" t="e">
        <f t="shared" si="5"/>
        <v>#REF!</v>
      </c>
    </row>
    <row r="30" spans="1:19" x14ac:dyDescent="0.3">
      <c r="A30" s="35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</row>
    <row r="31" spans="1:19" x14ac:dyDescent="0.3">
      <c r="B31" s="177" t="s">
        <v>61</v>
      </c>
      <c r="C31" s="179"/>
      <c r="D31" s="21">
        <v>5276</v>
      </c>
      <c r="E31" s="20" t="s">
        <v>62</v>
      </c>
      <c r="F31" s="20" t="s">
        <v>35</v>
      </c>
      <c r="G31" s="23">
        <f>VLOOKUP($R$5,'PSC PAPAPA'!$A$2:$L$31,6,FALSE)</f>
        <v>17.989999999999998</v>
      </c>
      <c r="H31" s="21" t="s">
        <v>27</v>
      </c>
      <c r="I31" s="21">
        <v>7898969895279</v>
      </c>
      <c r="J31" s="21">
        <v>17898969895276</v>
      </c>
      <c r="K31" s="22">
        <f>VLOOKUP($R$5,'ST PAPAPASTA'!A:B,2,FALSE)</f>
        <v>0.12</v>
      </c>
      <c r="L31" s="23">
        <f>VLOOKUP($R$5,PREÇOS!$A$2:$L$31,6,FALSE)</f>
        <v>11.8</v>
      </c>
      <c r="M31" s="24">
        <f>L31*6</f>
        <v>70.800000000000011</v>
      </c>
      <c r="N31" s="25">
        <v>0</v>
      </c>
      <c r="O31" s="25">
        <v>0</v>
      </c>
      <c r="P31" s="26">
        <f>(L31+N31)*6</f>
        <v>70.800000000000011</v>
      </c>
      <c r="Q31" s="27"/>
      <c r="R31" s="28">
        <f t="shared" si="4"/>
        <v>0</v>
      </c>
      <c r="S31" s="26">
        <f t="shared" si="5"/>
        <v>0</v>
      </c>
    </row>
    <row r="32" spans="1:19" x14ac:dyDescent="0.3">
      <c r="B32" s="175" t="s">
        <v>63</v>
      </c>
      <c r="C32" s="179"/>
      <c r="D32" s="48">
        <v>5269</v>
      </c>
      <c r="E32" s="49" t="s">
        <v>62</v>
      </c>
      <c r="F32" s="49" t="s">
        <v>35</v>
      </c>
      <c r="G32" s="30">
        <f>VLOOKUP($R$5,'PSC PAPAPA'!$A$2:$L$31,6,FALSE)</f>
        <v>17.989999999999998</v>
      </c>
      <c r="H32" s="48" t="s">
        <v>27</v>
      </c>
      <c r="I32" s="48">
        <v>7898969895262</v>
      </c>
      <c r="J32" s="48">
        <v>17898969895269</v>
      </c>
      <c r="K32" s="50">
        <f>VLOOKUP($R$5,'ST PAPAPASTA'!A:B,2,FALSE)</f>
        <v>0.12</v>
      </c>
      <c r="L32" s="30">
        <f>VLOOKUP($R$5,PREÇOS!$A$2:$L$31,6,FALSE)</f>
        <v>11.8</v>
      </c>
      <c r="M32" s="31">
        <f>L32*6</f>
        <v>70.800000000000011</v>
      </c>
      <c r="N32" s="51">
        <v>0</v>
      </c>
      <c r="O32" s="51">
        <v>0</v>
      </c>
      <c r="P32" s="32">
        <f>(L32+N32)*6</f>
        <v>70.800000000000011</v>
      </c>
      <c r="Q32" s="27"/>
      <c r="R32" s="33">
        <f t="shared" si="4"/>
        <v>0</v>
      </c>
      <c r="S32" s="32">
        <f t="shared" si="5"/>
        <v>0</v>
      </c>
    </row>
    <row r="33" spans="2:19" x14ac:dyDescent="0.3">
      <c r="B33" s="177" t="s">
        <v>64</v>
      </c>
      <c r="C33" s="179"/>
      <c r="D33" s="21">
        <v>5252</v>
      </c>
      <c r="E33" s="20" t="s">
        <v>62</v>
      </c>
      <c r="F33" s="20" t="s">
        <v>35</v>
      </c>
      <c r="G33" s="23">
        <f>VLOOKUP($R$5,'PSC PAPAPA'!$A$2:$L$31,6,FALSE)</f>
        <v>17.989999999999998</v>
      </c>
      <c r="H33" s="21" t="s">
        <v>27</v>
      </c>
      <c r="I33" s="21">
        <v>7898969895255</v>
      </c>
      <c r="J33" s="21">
        <v>17898969895252</v>
      </c>
      <c r="K33" s="22">
        <f>VLOOKUP($R$5,'ST PAPAPASTA'!A:B,2,FALSE)</f>
        <v>0.12</v>
      </c>
      <c r="L33" s="23">
        <f>VLOOKUP($R$5,PREÇOS!$A$2:$L$31,6,FALSE)</f>
        <v>11.8</v>
      </c>
      <c r="M33" s="24">
        <f>L33*6</f>
        <v>70.800000000000011</v>
      </c>
      <c r="N33" s="25">
        <v>0</v>
      </c>
      <c r="O33" s="25">
        <v>0</v>
      </c>
      <c r="P33" s="26">
        <f>(L33+N33)*6</f>
        <v>70.800000000000011</v>
      </c>
      <c r="Q33" s="27"/>
      <c r="R33" s="28">
        <f t="shared" si="4"/>
        <v>0</v>
      </c>
      <c r="S33" s="26">
        <f t="shared" si="5"/>
        <v>0</v>
      </c>
    </row>
    <row r="34" spans="2:19" x14ac:dyDescent="0.3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</row>
    <row r="35" spans="2:19" x14ac:dyDescent="0.3">
      <c r="B35" s="175" t="s">
        <v>65</v>
      </c>
      <c r="C35" s="176"/>
      <c r="D35" s="48">
        <v>5402</v>
      </c>
      <c r="E35" s="48" t="s">
        <v>66</v>
      </c>
      <c r="F35" s="49" t="s">
        <v>26</v>
      </c>
      <c r="G35" s="30">
        <f>VLOOKUP($R$5,'PSC PAPAPA'!$A$2:$L$31,10,FALSE)</f>
        <v>9.99</v>
      </c>
      <c r="H35" s="48" t="s">
        <v>67</v>
      </c>
      <c r="I35" s="48">
        <v>7898969895408</v>
      </c>
      <c r="J35" s="48">
        <v>27898969895402</v>
      </c>
      <c r="K35" s="50">
        <f>VLOOKUP($R$5,'ST CEREAL SABOR POUCH 170'!A:B,2,FALSE)</f>
        <v>0.12</v>
      </c>
      <c r="L35" s="30">
        <f>VLOOKUP($R$5,PREÇOS!$A$2:$L$31,10,FALSE)</f>
        <v>6.15</v>
      </c>
      <c r="M35" s="31">
        <f t="shared" ref="M35:M38" si="8">L35*12</f>
        <v>73.800000000000011</v>
      </c>
      <c r="N35" s="112" t="e">
        <f>IF(#REF!="SIM",VLOOKUP($R$5,'ST CEREAL SABOR POUCH 170'!$A$1:$J$31,10,FALSE),VLOOKUP($R$5,'ST CEREAL SABOR POUCH 170'!$A$1:$J$31,9,FALSE))</f>
        <v>#REF!</v>
      </c>
      <c r="O35" s="112">
        <v>0</v>
      </c>
      <c r="P35" s="32" t="e">
        <f t="shared" ref="P35:P38" si="9">(L35+N35)*12</f>
        <v>#REF!</v>
      </c>
      <c r="Q35" s="27"/>
      <c r="R35" s="33">
        <f t="shared" ref="R35" si="10">Q35*M35</f>
        <v>0</v>
      </c>
      <c r="S35" s="32" t="e">
        <f t="shared" ref="S35:S36" si="11">Q35*P35</f>
        <v>#REF!</v>
      </c>
    </row>
    <row r="36" spans="2:19" x14ac:dyDescent="0.3">
      <c r="B36" s="177" t="s">
        <v>68</v>
      </c>
      <c r="C36" s="178"/>
      <c r="D36" s="21">
        <v>5419</v>
      </c>
      <c r="E36" s="21" t="s">
        <v>66</v>
      </c>
      <c r="F36" s="20" t="s">
        <v>26</v>
      </c>
      <c r="G36" s="23">
        <f>VLOOKUP($R$5,'PSC PAPAPA'!$A$2:$L$31,10,FALSE)</f>
        <v>9.99</v>
      </c>
      <c r="H36" s="21" t="s">
        <v>67</v>
      </c>
      <c r="I36" s="21">
        <v>7898969895415</v>
      </c>
      <c r="J36" s="21">
        <v>27898969895419</v>
      </c>
      <c r="K36" s="22">
        <f>VLOOKUP($R$5,'ST CEREAL SABOR POUCH 170'!A:B,2,FALSE)</f>
        <v>0.12</v>
      </c>
      <c r="L36" s="23">
        <f>VLOOKUP($R$5,PREÇOS!$A$2:$L$31,10,FALSE)</f>
        <v>6.15</v>
      </c>
      <c r="M36" s="24">
        <f t="shared" si="8"/>
        <v>73.800000000000011</v>
      </c>
      <c r="N36" s="25" t="e">
        <f>IF(#REF!="SIM",VLOOKUP($R$5,'ST CEREAL SABOR POUCH 170'!$A$1:$J$31,10,FALSE),VLOOKUP($R$5,'ST CEREAL SABOR POUCH 170'!$A$1:$J$31,9,FALSE))</f>
        <v>#REF!</v>
      </c>
      <c r="O36" s="25">
        <v>0</v>
      </c>
      <c r="P36" s="26" t="e">
        <f t="shared" si="9"/>
        <v>#REF!</v>
      </c>
      <c r="Q36" s="27"/>
      <c r="R36" s="28">
        <f>Q36*M36</f>
        <v>0</v>
      </c>
      <c r="S36" s="26" t="e">
        <f t="shared" si="11"/>
        <v>#REF!</v>
      </c>
    </row>
    <row r="37" spans="2:19" x14ac:dyDescent="0.3">
      <c r="B37" s="175" t="s">
        <v>69</v>
      </c>
      <c r="C37" s="176"/>
      <c r="D37" s="48">
        <v>5429</v>
      </c>
      <c r="E37" s="48" t="s">
        <v>66</v>
      </c>
      <c r="F37" s="49" t="s">
        <v>26</v>
      </c>
      <c r="G37" s="30">
        <f>VLOOKUP($R$5,'PSC PAPAPA'!$A$2:$L$31,11,FALSE)</f>
        <v>9.99</v>
      </c>
      <c r="H37" s="48" t="s">
        <v>67</v>
      </c>
      <c r="I37" s="48">
        <v>7898969895422</v>
      </c>
      <c r="J37" s="48">
        <v>17898969895429</v>
      </c>
      <c r="K37" s="50">
        <f>VLOOKUP($R$5,'ST MULTI 170 POUCH'!A:B,2,FALSE)</f>
        <v>0.12</v>
      </c>
      <c r="L37" s="30">
        <f>VLOOKUP($R$5,PREÇOS!$A$2:$L$31,11,FALSE)</f>
        <v>6.15</v>
      </c>
      <c r="M37" s="31">
        <f t="shared" si="8"/>
        <v>73.800000000000011</v>
      </c>
      <c r="N37" s="112" t="e">
        <f>IF(#REF!="SIM",VLOOKUP($R$5,'ST MULTI 170 POUCH'!$A$1:$J$31,10,FALSE),VLOOKUP($R$5,'ST MULTI 170 POUCH'!$A$1:$J$31,9,FALSE))</f>
        <v>#REF!</v>
      </c>
      <c r="O37" s="112">
        <v>0</v>
      </c>
      <c r="P37" s="32" t="e">
        <f t="shared" si="9"/>
        <v>#REF!</v>
      </c>
      <c r="Q37" s="27"/>
      <c r="R37" s="33">
        <f>Q37*M37</f>
        <v>0</v>
      </c>
      <c r="S37" s="32" t="e">
        <f>Q37*P37</f>
        <v>#REF!</v>
      </c>
    </row>
    <row r="38" spans="2:19" x14ac:dyDescent="0.3">
      <c r="B38" s="177" t="s">
        <v>70</v>
      </c>
      <c r="C38" s="178"/>
      <c r="D38" s="21">
        <v>5399</v>
      </c>
      <c r="E38" s="21" t="s">
        <v>71</v>
      </c>
      <c r="F38" s="20" t="s">
        <v>26</v>
      </c>
      <c r="G38" s="23">
        <f>VLOOKUP($R$5,'PSC PAPAPA'!$A$2:$L$31,12,FALSE)</f>
        <v>24.99</v>
      </c>
      <c r="H38" s="21" t="s">
        <v>67</v>
      </c>
      <c r="I38" s="21">
        <v>7898969895392</v>
      </c>
      <c r="J38" s="21">
        <v>17898969895399</v>
      </c>
      <c r="K38" s="22">
        <f>VLOOKUP($R$5,'ST MULTI 500 POUCH'!A:B,2,FALSE)</f>
        <v>0.12</v>
      </c>
      <c r="L38" s="23">
        <f>VLOOKUP($R$5,PREÇOS!$A$2:$L$31,12,FALSE)</f>
        <v>14.99</v>
      </c>
      <c r="M38" s="24">
        <f t="shared" si="8"/>
        <v>179.88</v>
      </c>
      <c r="N38" s="25" t="e">
        <f>IF(#REF!="SIM",VLOOKUP($R$5,'ST MULTI 500 POUCH'!$A$1:$J$31,10,FALSE),VLOOKUP($R$5,'ST MULTI 500 POUCH'!$A$1:$J$31,9,FALSE))</f>
        <v>#REF!</v>
      </c>
      <c r="O38" s="25">
        <v>0</v>
      </c>
      <c r="P38" s="26" t="e">
        <f t="shared" si="9"/>
        <v>#REF!</v>
      </c>
      <c r="Q38" s="27"/>
      <c r="R38" s="28">
        <f>Q38*M38</f>
        <v>0</v>
      </c>
      <c r="S38" s="26" t="e">
        <f>Q38*P38</f>
        <v>#REF!</v>
      </c>
    </row>
    <row r="39" spans="2:19" x14ac:dyDescent="0.3">
      <c r="B39" s="54"/>
      <c r="C39" s="55"/>
      <c r="D39" s="56"/>
      <c r="E39" s="57"/>
      <c r="F39" s="57"/>
      <c r="G39" s="38"/>
      <c r="H39" s="56"/>
      <c r="I39" s="56"/>
      <c r="J39" s="56"/>
      <c r="K39" s="58"/>
      <c r="L39" s="39"/>
      <c r="M39" s="40"/>
      <c r="N39" s="59"/>
      <c r="O39" s="59"/>
      <c r="P39" s="41"/>
      <c r="R39" s="41"/>
      <c r="S39" s="41"/>
    </row>
    <row r="40" spans="2:19" x14ac:dyDescent="0.3">
      <c r="B40" s="177" t="s">
        <v>72</v>
      </c>
      <c r="C40" s="179"/>
      <c r="D40" s="21">
        <v>5375</v>
      </c>
      <c r="E40" s="20" t="s">
        <v>73</v>
      </c>
      <c r="F40" s="20" t="s">
        <v>74</v>
      </c>
      <c r="G40" s="23">
        <f>VLOOKUP($R$5,'PSC PAPAPA'!$A$2:$L$31,8,FALSE)</f>
        <v>13.49</v>
      </c>
      <c r="H40" s="21" t="s">
        <v>54</v>
      </c>
      <c r="I40" s="21">
        <v>7898969895378</v>
      </c>
      <c r="J40" s="21">
        <v>17898969895375</v>
      </c>
      <c r="K40" s="22">
        <f>VLOOKUP($R$5,'ST BISCOTTI'!A:B,2,FALSE)</f>
        <v>0.12</v>
      </c>
      <c r="L40" s="23">
        <f>VLOOKUP($R$5,PREÇOS!$A$2:$L$31,8,FALSE)</f>
        <v>8.4</v>
      </c>
      <c r="M40" s="24">
        <f>L40*12</f>
        <v>100.80000000000001</v>
      </c>
      <c r="N40" s="25" t="e">
        <f>IF(#REF!="SIM",VLOOKUP($R$5,'ST BISCOTTI'!$A$1:$J$31,10,FALSE),VLOOKUP($R$5,'ST BISCOTTI'!$A$1:$J$31,9,FALSE))</f>
        <v>#REF!</v>
      </c>
      <c r="O40" s="25">
        <v>0</v>
      </c>
      <c r="P40" s="26" t="e">
        <f>(L40+N40)*12</f>
        <v>#REF!</v>
      </c>
      <c r="Q40" s="27"/>
      <c r="R40" s="28">
        <f t="shared" ref="R40:R44" si="12">Q40*M40</f>
        <v>0</v>
      </c>
      <c r="S40" s="26" t="e">
        <f t="shared" ref="S40:S44" si="13">Q40*P40</f>
        <v>#REF!</v>
      </c>
    </row>
    <row r="41" spans="2:19" x14ac:dyDescent="0.3">
      <c r="B41" s="175" t="s">
        <v>75</v>
      </c>
      <c r="C41" s="179"/>
      <c r="D41" s="48">
        <v>5351</v>
      </c>
      <c r="E41" s="49" t="s">
        <v>73</v>
      </c>
      <c r="F41" s="49" t="s">
        <v>74</v>
      </c>
      <c r="G41" s="30">
        <f>VLOOKUP($R$5,'PSC PAPAPA'!$A$2:$L$31,8,FALSE)</f>
        <v>13.49</v>
      </c>
      <c r="H41" s="48" t="s">
        <v>54</v>
      </c>
      <c r="I41" s="48">
        <v>7898969895354</v>
      </c>
      <c r="J41" s="48">
        <v>17898969895351</v>
      </c>
      <c r="K41" s="50">
        <f>VLOOKUP($R$5,'ST BISCOTTI'!A:B,2,FALSE)</f>
        <v>0.12</v>
      </c>
      <c r="L41" s="30">
        <f>VLOOKUP($R$5,PREÇOS!$A$2:$L$31,8,FALSE)</f>
        <v>8.4</v>
      </c>
      <c r="M41" s="31">
        <f t="shared" ref="M41:M44" si="14">L41*12</f>
        <v>100.80000000000001</v>
      </c>
      <c r="N41" s="51" t="e">
        <f>IF(#REF!="SIM",VLOOKUP($R$5,'ST BISCOTTI'!$A$1:$J$31,10,FALSE),VLOOKUP($R$5,'ST BISCOTTI'!$A$1:$J$31,9,FALSE))</f>
        <v>#REF!</v>
      </c>
      <c r="O41" s="51">
        <v>0</v>
      </c>
      <c r="P41" s="32" t="e">
        <f t="shared" ref="P41:P44" si="15">(L41+N41)*12</f>
        <v>#REF!</v>
      </c>
      <c r="Q41" s="27"/>
      <c r="R41" s="33">
        <f t="shared" si="12"/>
        <v>0</v>
      </c>
      <c r="S41" s="32" t="e">
        <f t="shared" si="13"/>
        <v>#REF!</v>
      </c>
    </row>
    <row r="42" spans="2:19" x14ac:dyDescent="0.3">
      <c r="B42" s="177" t="s">
        <v>76</v>
      </c>
      <c r="C42" s="179"/>
      <c r="D42" s="21">
        <v>5368</v>
      </c>
      <c r="E42" s="20" t="s">
        <v>73</v>
      </c>
      <c r="F42" s="20" t="s">
        <v>74</v>
      </c>
      <c r="G42" s="23">
        <f>VLOOKUP($R$5,'PSC PAPAPA'!$A$2:$L$31,8,FALSE)</f>
        <v>13.49</v>
      </c>
      <c r="H42" s="21" t="s">
        <v>54</v>
      </c>
      <c r="I42" s="21">
        <v>7898969895361</v>
      </c>
      <c r="J42" s="21">
        <v>17898969895368</v>
      </c>
      <c r="K42" s="22">
        <f>VLOOKUP($R$5,'ST BISCOTTI'!A:B,2,FALSE)</f>
        <v>0.12</v>
      </c>
      <c r="L42" s="23">
        <f>VLOOKUP($R$5,PREÇOS!$A$2:$L$31,8,FALSE)</f>
        <v>8.4</v>
      </c>
      <c r="M42" s="24">
        <f t="shared" si="14"/>
        <v>100.80000000000001</v>
      </c>
      <c r="N42" s="25" t="e">
        <f>IF(#REF!="SIM",VLOOKUP($R$5,'ST BISCOTTI'!$A$1:$J$31,10,FALSE),VLOOKUP($R$5,'ST BISCOTTI'!$A$1:$J$31,9,FALSE))</f>
        <v>#REF!</v>
      </c>
      <c r="O42" s="25">
        <v>0</v>
      </c>
      <c r="P42" s="26" t="e">
        <f t="shared" si="15"/>
        <v>#REF!</v>
      </c>
      <c r="Q42" s="27"/>
      <c r="R42" s="28">
        <f t="shared" si="12"/>
        <v>0</v>
      </c>
      <c r="S42" s="26" t="e">
        <f t="shared" si="13"/>
        <v>#REF!</v>
      </c>
    </row>
    <row r="43" spans="2:19" x14ac:dyDescent="0.3">
      <c r="B43" s="175" t="s">
        <v>77</v>
      </c>
      <c r="C43" s="179"/>
      <c r="D43" s="48">
        <v>5597</v>
      </c>
      <c r="E43" s="49" t="s">
        <v>73</v>
      </c>
      <c r="F43" s="49" t="s">
        <v>74</v>
      </c>
      <c r="G43" s="30">
        <f>VLOOKUP($R$5,'PSC PAPAPA'!$A$2:$L$31,8,FALSE)</f>
        <v>13.49</v>
      </c>
      <c r="H43" s="48" t="s">
        <v>54</v>
      </c>
      <c r="I43" s="48">
        <v>7898969895590</v>
      </c>
      <c r="J43" s="48">
        <v>17898969895597</v>
      </c>
      <c r="K43" s="50">
        <f>VLOOKUP($R$5,'ST BISCOTTI'!A:B,2,FALSE)</f>
        <v>0.12</v>
      </c>
      <c r="L43" s="30">
        <f>VLOOKUP($R$5,PREÇOS!$A$2:$L$31,8,FALSE)</f>
        <v>8.4</v>
      </c>
      <c r="M43" s="31">
        <f t="shared" si="14"/>
        <v>100.80000000000001</v>
      </c>
      <c r="N43" s="51" t="e">
        <f>IF(#REF!="SIM",VLOOKUP($R$5,'ST BISCOTTI'!$A$1:$J$31,10,FALSE),VLOOKUP($R$5,'ST BISCOTTI'!$A$1:$J$31,9,FALSE))</f>
        <v>#REF!</v>
      </c>
      <c r="O43" s="51">
        <v>0</v>
      </c>
      <c r="P43" s="32" t="e">
        <f t="shared" si="15"/>
        <v>#REF!</v>
      </c>
      <c r="Q43" s="27"/>
      <c r="R43" s="33">
        <f t="shared" si="12"/>
        <v>0</v>
      </c>
      <c r="S43" s="32" t="e">
        <f t="shared" si="13"/>
        <v>#REF!</v>
      </c>
    </row>
    <row r="44" spans="2:19" x14ac:dyDescent="0.3">
      <c r="B44" s="177" t="s">
        <v>78</v>
      </c>
      <c r="C44" s="179"/>
      <c r="D44" s="123">
        <v>5580</v>
      </c>
      <c r="E44" s="20" t="s">
        <v>73</v>
      </c>
      <c r="F44" s="20" t="s">
        <v>74</v>
      </c>
      <c r="G44" s="23">
        <f>VLOOKUP($R$5,'PSC PAPAPA'!$A$2:$L$31,8,FALSE)</f>
        <v>13.49</v>
      </c>
      <c r="H44" s="21" t="s">
        <v>54</v>
      </c>
      <c r="I44" s="124">
        <v>7898969895583</v>
      </c>
      <c r="J44" s="124">
        <v>17898969895580</v>
      </c>
      <c r="K44" s="22">
        <f>VLOOKUP($R$5,'ST BISCOTTI'!A:B,2,FALSE)</f>
        <v>0.12</v>
      </c>
      <c r="L44" s="23">
        <f>VLOOKUP($R$5,PREÇOS!$A$2:$L$31,8,FALSE)</f>
        <v>8.4</v>
      </c>
      <c r="M44" s="24">
        <f t="shared" si="14"/>
        <v>100.80000000000001</v>
      </c>
      <c r="N44" s="25" t="e">
        <f>IF(#REF!="SIM",VLOOKUP($R$5,'ST BISCOTTI'!$A$1:$J$31,10,FALSE),VLOOKUP($R$5,'ST BISCOTTI'!$A$1:$J$31,9,FALSE))</f>
        <v>#REF!</v>
      </c>
      <c r="O44" s="25">
        <v>0</v>
      </c>
      <c r="P44" s="26" t="e">
        <f t="shared" si="15"/>
        <v>#REF!</v>
      </c>
      <c r="Q44" s="27"/>
      <c r="R44" s="28">
        <f t="shared" si="12"/>
        <v>0</v>
      </c>
      <c r="S44" s="26" t="e">
        <f t="shared" si="13"/>
        <v>#REF!</v>
      </c>
    </row>
    <row r="46" spans="2:19" x14ac:dyDescent="0.3">
      <c r="B46" s="177" t="s">
        <v>79</v>
      </c>
      <c r="C46" s="179"/>
      <c r="D46" s="21">
        <v>5610</v>
      </c>
      <c r="E46" s="20" t="s">
        <v>80</v>
      </c>
      <c r="F46" s="20" t="s">
        <v>26</v>
      </c>
      <c r="G46" s="23">
        <v>18.989999999999998</v>
      </c>
      <c r="H46" s="21" t="s">
        <v>27</v>
      </c>
      <c r="I46" s="21">
        <v>7898969895613</v>
      </c>
      <c r="J46" s="21">
        <v>17898969895610</v>
      </c>
      <c r="K46" s="22">
        <f>VLOOKUP($R$5,'ST PAPAPASTA'!A:B,2,FALSE)</f>
        <v>0.12</v>
      </c>
      <c r="L46" s="23">
        <f>VLOOKUP($R$5,PREÇOS!$A$2:$N$31,14,FALSE)</f>
        <v>12.936000000000002</v>
      </c>
      <c r="M46" s="24">
        <f>L46*6</f>
        <v>77.616000000000014</v>
      </c>
      <c r="N46" s="25">
        <v>0</v>
      </c>
      <c r="O46" s="25">
        <v>0</v>
      </c>
      <c r="P46" s="26">
        <f>(L46+N46)*6</f>
        <v>77.616000000000014</v>
      </c>
      <c r="Q46" s="27"/>
      <c r="R46" s="28">
        <f t="shared" ref="R46:R49" si="16">Q46*M46</f>
        <v>0</v>
      </c>
      <c r="S46" s="26">
        <f t="shared" ref="S46:S49" si="17">Q46*P46</f>
        <v>0</v>
      </c>
    </row>
    <row r="47" spans="2:19" x14ac:dyDescent="0.3">
      <c r="B47" s="175" t="s">
        <v>81</v>
      </c>
      <c r="C47" s="179"/>
      <c r="D47" s="48">
        <v>5634</v>
      </c>
      <c r="E47" s="49" t="s">
        <v>80</v>
      </c>
      <c r="F47" s="49" t="s">
        <v>26</v>
      </c>
      <c r="G47" s="30">
        <v>18.989999999999998</v>
      </c>
      <c r="H47" s="48" t="s">
        <v>27</v>
      </c>
      <c r="I47" s="48">
        <v>7898969895637</v>
      </c>
      <c r="J47" s="48">
        <v>17898969895634</v>
      </c>
      <c r="K47" s="50">
        <f>VLOOKUP($R$5,'ST PAPAPASTA'!A:B,2,FALSE)</f>
        <v>0.12</v>
      </c>
      <c r="L47" s="30">
        <f>VLOOKUP($R$5,PREÇOS!$A$2:$N$31,14,FALSE)</f>
        <v>12.936000000000002</v>
      </c>
      <c r="M47" s="31">
        <f>L47*6</f>
        <v>77.616000000000014</v>
      </c>
      <c r="N47" s="51">
        <v>0</v>
      </c>
      <c r="O47" s="51">
        <v>0</v>
      </c>
      <c r="P47" s="32">
        <f t="shared" ref="P47:P49" si="18">(L47+N47)*6</f>
        <v>77.616000000000014</v>
      </c>
      <c r="Q47" s="27"/>
      <c r="R47" s="33">
        <f t="shared" si="16"/>
        <v>0</v>
      </c>
      <c r="S47" s="32">
        <f t="shared" si="17"/>
        <v>0</v>
      </c>
    </row>
    <row r="48" spans="2:19" x14ac:dyDescent="0.3">
      <c r="B48" s="177" t="s">
        <v>82</v>
      </c>
      <c r="C48" s="179"/>
      <c r="D48" s="21">
        <v>5627</v>
      </c>
      <c r="E48" s="20" t="s">
        <v>80</v>
      </c>
      <c r="F48" s="20" t="s">
        <v>83</v>
      </c>
      <c r="G48" s="23">
        <v>18.989999999999998</v>
      </c>
      <c r="H48" s="21" t="s">
        <v>27</v>
      </c>
      <c r="I48" s="21">
        <v>7898969895620</v>
      </c>
      <c r="J48" s="21">
        <v>17898969895627</v>
      </c>
      <c r="K48" s="22">
        <f>VLOOKUP($R$5,'ST PAPAPASTA'!A:B,2,FALSE)</f>
        <v>0.12</v>
      </c>
      <c r="L48" s="23">
        <f>VLOOKUP($R$5,PREÇOS!$A$2:$N$31,14,FALSE)</f>
        <v>12.936000000000002</v>
      </c>
      <c r="M48" s="24">
        <f t="shared" ref="M48:M49" si="19">L48*6</f>
        <v>77.616000000000014</v>
      </c>
      <c r="N48" s="25">
        <v>0</v>
      </c>
      <c r="O48" s="25">
        <v>0</v>
      </c>
      <c r="P48" s="26">
        <f t="shared" si="18"/>
        <v>77.616000000000014</v>
      </c>
      <c r="Q48" s="27"/>
      <c r="R48" s="28">
        <f t="shared" si="16"/>
        <v>0</v>
      </c>
      <c r="S48" s="26">
        <f t="shared" si="17"/>
        <v>0</v>
      </c>
    </row>
    <row r="49" spans="2:19" x14ac:dyDescent="0.3">
      <c r="B49" s="175" t="s">
        <v>84</v>
      </c>
      <c r="C49" s="179"/>
      <c r="D49" s="48">
        <v>5603</v>
      </c>
      <c r="E49" s="49" t="s">
        <v>80</v>
      </c>
      <c r="F49" s="49" t="s">
        <v>83</v>
      </c>
      <c r="G49" s="30">
        <v>18.989999999999998</v>
      </c>
      <c r="H49" s="48" t="s">
        <v>27</v>
      </c>
      <c r="I49" s="48">
        <v>7898969895606</v>
      </c>
      <c r="J49" s="48">
        <v>17898969895603</v>
      </c>
      <c r="K49" s="50">
        <f>VLOOKUP($R$5,'ST PAPAPASTA'!A:B,2,FALSE)</f>
        <v>0.12</v>
      </c>
      <c r="L49" s="30">
        <f>VLOOKUP($R$5,PREÇOS!$A$2:$N$31,14,FALSE)</f>
        <v>12.936000000000002</v>
      </c>
      <c r="M49" s="31">
        <f t="shared" si="19"/>
        <v>77.616000000000014</v>
      </c>
      <c r="N49" s="51">
        <v>0</v>
      </c>
      <c r="O49" s="51">
        <v>0</v>
      </c>
      <c r="P49" s="32">
        <f t="shared" si="18"/>
        <v>77.616000000000014</v>
      </c>
      <c r="Q49" s="27"/>
      <c r="R49" s="33">
        <f t="shared" si="16"/>
        <v>0</v>
      </c>
      <c r="S49" s="32">
        <f t="shared" si="17"/>
        <v>0</v>
      </c>
    </row>
    <row r="50" spans="2:19" x14ac:dyDescent="0.3">
      <c r="B50" s="54"/>
      <c r="C50" s="55"/>
      <c r="D50" s="56"/>
      <c r="E50" s="57"/>
      <c r="F50" s="57"/>
      <c r="G50" s="39"/>
      <c r="H50" s="56"/>
      <c r="I50" s="56"/>
      <c r="J50" s="56"/>
      <c r="K50" s="58"/>
      <c r="L50" s="39"/>
      <c r="M50" s="40"/>
      <c r="N50" s="59"/>
      <c r="O50" s="59"/>
      <c r="P50" s="41"/>
      <c r="Q50" s="125"/>
      <c r="R50" s="41"/>
      <c r="S50" s="41"/>
    </row>
    <row r="51" spans="2:19" x14ac:dyDescent="0.3">
      <c r="B51" s="177" t="s">
        <v>146</v>
      </c>
      <c r="C51" s="179"/>
      <c r="D51" s="21">
        <v>5670</v>
      </c>
      <c r="E51" s="20" t="s">
        <v>147</v>
      </c>
      <c r="F51" s="20" t="s">
        <v>48</v>
      </c>
      <c r="G51" s="23">
        <f>VLOOKUP($R$5,PSC!$A$2:$Q$31,15,FALSE)</f>
        <v>7.99</v>
      </c>
      <c r="H51" s="21" t="s">
        <v>49</v>
      </c>
      <c r="I51" s="21">
        <v>7898969895811</v>
      </c>
      <c r="J51" s="21">
        <v>17898969895818</v>
      </c>
      <c r="K51" s="22">
        <f>VLOOKUP($R$5,'[1]ST EXTRUSADOS'!A:B,2,FALSE)</f>
        <v>0.12</v>
      </c>
      <c r="L51" s="23">
        <f>VLOOKUP($R$5,[1]PREÇOS!$A$2:$Q$31,15,FALSE)</f>
        <v>5.55</v>
      </c>
      <c r="M51" s="24">
        <f>L51*18</f>
        <v>99.899999999999991</v>
      </c>
      <c r="N51" s="25" t="e">
        <f>IF(#REF!="SIM",VLOOKUP($R$5,'[1]ST EXTRUSADOS'!$A$1:$J$31,10,FALSE),VLOOKUP($R$5,'[1]ST EXTRUSADOS'!$A$1:$J$31,9,FALSE))</f>
        <v>#REF!</v>
      </c>
      <c r="O51" s="25">
        <v>0</v>
      </c>
      <c r="P51" s="26" t="e">
        <f>(L51+N51)*18</f>
        <v>#REF!</v>
      </c>
      <c r="Q51" s="27"/>
      <c r="R51" s="28">
        <f t="shared" ref="R51:R53" si="20">Q51*M51</f>
        <v>0</v>
      </c>
      <c r="S51" s="26" t="e">
        <f t="shared" ref="S51:S53" si="21">Q51*P51</f>
        <v>#REF!</v>
      </c>
    </row>
    <row r="52" spans="2:19" x14ac:dyDescent="0.3">
      <c r="B52" s="175" t="s">
        <v>148</v>
      </c>
      <c r="C52" s="179"/>
      <c r="D52" s="48">
        <v>5671</v>
      </c>
      <c r="E52" s="49" t="s">
        <v>147</v>
      </c>
      <c r="F52" s="49" t="s">
        <v>48</v>
      </c>
      <c r="G52" s="23">
        <f>VLOOKUP($R$5,PSC!$A$2:$Q$31,15,FALSE)</f>
        <v>7.99</v>
      </c>
      <c r="H52" s="48" t="s">
        <v>49</v>
      </c>
      <c r="I52" s="48">
        <v>7898969895804</v>
      </c>
      <c r="J52" s="48">
        <v>17898969895801</v>
      </c>
      <c r="K52" s="50">
        <f>VLOOKUP($R$5,'[1]ST EXTRUSADOS'!A:B,2,FALSE)</f>
        <v>0.12</v>
      </c>
      <c r="L52" s="30">
        <f>VLOOKUP($R$5,[1]PREÇOS!$A$2:$Q$31,15,FALSE)</f>
        <v>5.55</v>
      </c>
      <c r="M52" s="31">
        <f t="shared" ref="M52:M53" si="22">L52*18</f>
        <v>99.899999999999991</v>
      </c>
      <c r="N52" s="51" t="e">
        <f>IF(#REF!="SIM",VLOOKUP($R$5,'[1]ST EXTRUSADOS'!$A$1:$J$31,10,FALSE),VLOOKUP($R$5,'[1]ST EXTRUSADOS'!$A$1:$J$31,9,FALSE))</f>
        <v>#REF!</v>
      </c>
      <c r="O52" s="51">
        <v>0</v>
      </c>
      <c r="P52" s="32" t="e">
        <f t="shared" ref="P52:P53" si="23">(L52+N52)*18</f>
        <v>#REF!</v>
      </c>
      <c r="Q52" s="27"/>
      <c r="R52" s="33">
        <f t="shared" si="20"/>
        <v>0</v>
      </c>
      <c r="S52" s="32" t="e">
        <f t="shared" si="21"/>
        <v>#REF!</v>
      </c>
    </row>
    <row r="53" spans="2:19" x14ac:dyDescent="0.3">
      <c r="B53" s="177" t="s">
        <v>149</v>
      </c>
      <c r="C53" s="179"/>
      <c r="D53" s="21">
        <v>5673</v>
      </c>
      <c r="E53" s="20" t="s">
        <v>147</v>
      </c>
      <c r="F53" s="20" t="s">
        <v>48</v>
      </c>
      <c r="G53" s="23">
        <f>VLOOKUP($R$5,PSC!$A$2:$Q$31,15,FALSE)</f>
        <v>7.99</v>
      </c>
      <c r="H53" s="21" t="s">
        <v>49</v>
      </c>
      <c r="I53" s="21">
        <v>7898969895798</v>
      </c>
      <c r="J53" s="21">
        <v>17898969895795</v>
      </c>
      <c r="K53" s="22">
        <f>VLOOKUP($R$5,'[1]ST EXTRUSADOS'!A:B,2,FALSE)</f>
        <v>0.12</v>
      </c>
      <c r="L53" s="23">
        <f>VLOOKUP($R$5,[1]PREÇOS!$A$2:$Q$31,15,FALSE)</f>
        <v>5.55</v>
      </c>
      <c r="M53" s="24">
        <f t="shared" si="22"/>
        <v>99.899999999999991</v>
      </c>
      <c r="N53" s="25" t="e">
        <f>IF(#REF!="SIM",VLOOKUP($R$5,'[1]ST EXTRUSADOS'!$A$1:$J$31,10,FALSE),VLOOKUP($R$5,'[1]ST EXTRUSADOS'!$A$1:$J$31,9,FALSE))</f>
        <v>#REF!</v>
      </c>
      <c r="O53" s="25">
        <v>0</v>
      </c>
      <c r="P53" s="26" t="e">
        <f t="shared" si="23"/>
        <v>#REF!</v>
      </c>
      <c r="Q53" s="27"/>
      <c r="R53" s="28">
        <f t="shared" si="20"/>
        <v>0</v>
      </c>
      <c r="S53" s="26" t="e">
        <f t="shared" si="21"/>
        <v>#REF!</v>
      </c>
    </row>
    <row r="54" spans="2:19" x14ac:dyDescent="0.3">
      <c r="B54" s="54"/>
      <c r="C54" s="55"/>
      <c r="D54" s="56"/>
      <c r="E54" s="57"/>
      <c r="F54" s="57"/>
      <c r="G54" s="56"/>
      <c r="H54" s="56"/>
      <c r="I54" s="56"/>
      <c r="J54" s="56"/>
      <c r="K54" s="58"/>
      <c r="L54" s="39"/>
      <c r="M54" s="40"/>
      <c r="N54" s="59"/>
      <c r="O54" s="59"/>
      <c r="P54" s="41"/>
      <c r="Q54" s="35"/>
      <c r="R54" s="41"/>
      <c r="S54" s="41"/>
    </row>
    <row r="55" spans="2:19" ht="15" hidden="1" customHeight="1" x14ac:dyDescent="0.3">
      <c r="B55" s="180" t="s">
        <v>150</v>
      </c>
      <c r="C55" s="179"/>
      <c r="D55" s="126">
        <v>5677</v>
      </c>
      <c r="E55" s="127" t="s">
        <v>151</v>
      </c>
      <c r="F55" s="127" t="s">
        <v>74</v>
      </c>
      <c r="G55" s="23">
        <f>VLOOKUP($R$5,[1]PSC!$A$2:$Q$31,16,FALSE)</f>
        <v>8.6</v>
      </c>
      <c r="H55" s="126" t="s">
        <v>54</v>
      </c>
      <c r="I55" s="126">
        <v>7898969895828</v>
      </c>
      <c r="J55" s="126">
        <v>17898969895917</v>
      </c>
      <c r="K55" s="129">
        <f>VLOOKUP($R$5,'[1]ST RECHEADOS'!A:B,2,FALSE)</f>
        <v>0.12</v>
      </c>
      <c r="L55" s="128">
        <f>VLOOKUP($R$5,[1]PREÇOS!$A$2:$Q$31,16,FALSE)</f>
        <v>6.2</v>
      </c>
      <c r="M55" s="130">
        <f>L55*8</f>
        <v>49.6</v>
      </c>
      <c r="N55" s="112" t="e">
        <f>IF(#REF!="SIM",VLOOKUP($R$5,'[1]ST RECHEADOS'!$A$1:$J$31,10,FALSE),VLOOKUP($R$5,'[1]ST RECHEADOS'!$A$1:$J$31,9,FALSE))</f>
        <v>#REF!</v>
      </c>
      <c r="O55" s="112">
        <v>0</v>
      </c>
      <c r="P55" s="131" t="e">
        <f>(L55+N55)*8</f>
        <v>#REF!</v>
      </c>
      <c r="Q55" s="27"/>
      <c r="R55" s="132">
        <f t="shared" ref="R55:R56" si="24">Q55*M55</f>
        <v>0</v>
      </c>
      <c r="S55" s="131" t="e">
        <f t="shared" ref="S55:S56" si="25">Q55*P55</f>
        <v>#REF!</v>
      </c>
    </row>
    <row r="56" spans="2:19" hidden="1" x14ac:dyDescent="0.3">
      <c r="B56" s="177" t="s">
        <v>152</v>
      </c>
      <c r="C56" s="179"/>
      <c r="D56" s="21">
        <v>5678</v>
      </c>
      <c r="E56" s="20" t="s">
        <v>151</v>
      </c>
      <c r="F56" s="20" t="s">
        <v>74</v>
      </c>
      <c r="G56" s="23">
        <f>VLOOKUP($R$5,[1]PSC!$A$2:$Q$31,16,FALSE)</f>
        <v>8.6</v>
      </c>
      <c r="H56" s="21" t="s">
        <v>54</v>
      </c>
      <c r="I56" s="21">
        <v>7898969895835</v>
      </c>
      <c r="J56" s="21">
        <v>17898969895900</v>
      </c>
      <c r="K56" s="22">
        <f>VLOOKUP($R$5,'[1]ST RECHEADOS'!A:B,2,FALSE)</f>
        <v>0.12</v>
      </c>
      <c r="L56" s="23">
        <f>VLOOKUP($R$5,[1]PREÇOS!$A$2:$Q$31,16,FALSE)</f>
        <v>6.2</v>
      </c>
      <c r="M56" s="24">
        <f>L56*8</f>
        <v>49.6</v>
      </c>
      <c r="N56" s="25" t="e">
        <f>IF(#REF!="SIM",VLOOKUP($R$5,'[1]ST RECHEADOS'!$A$1:$J$31,10,FALSE),VLOOKUP($R$5,'[1]ST RECHEADOS'!$A$1:$J$31,9,FALSE))</f>
        <v>#REF!</v>
      </c>
      <c r="O56" s="25">
        <v>0</v>
      </c>
      <c r="P56" s="26" t="e">
        <f>(L56+N56)*8</f>
        <v>#REF!</v>
      </c>
      <c r="Q56" s="27"/>
      <c r="R56" s="28">
        <f t="shared" si="24"/>
        <v>0</v>
      </c>
      <c r="S56" s="26" t="e">
        <f t="shared" si="25"/>
        <v>#REF!</v>
      </c>
    </row>
    <row r="57" spans="2:19" x14ac:dyDescent="0.3">
      <c r="B57" s="54"/>
      <c r="C57" s="55"/>
      <c r="D57" s="56"/>
      <c r="E57" s="57"/>
      <c r="F57" s="57"/>
      <c r="G57" s="56"/>
      <c r="H57" s="56"/>
      <c r="I57" s="56"/>
      <c r="J57" s="56"/>
      <c r="K57" s="58"/>
      <c r="L57" s="39"/>
      <c r="M57" s="40"/>
      <c r="N57" s="59"/>
      <c r="O57" s="59"/>
      <c r="P57" s="41"/>
      <c r="Q57" s="35"/>
      <c r="R57" s="41"/>
      <c r="S57" s="41"/>
    </row>
    <row r="58" spans="2:19" x14ac:dyDescent="0.3">
      <c r="B58" s="177" t="s">
        <v>153</v>
      </c>
      <c r="C58" s="179"/>
      <c r="D58" s="21">
        <v>5680</v>
      </c>
      <c r="E58" s="20" t="s">
        <v>154</v>
      </c>
      <c r="F58" s="20" t="s">
        <v>155</v>
      </c>
      <c r="G58" s="23">
        <f>VLOOKUP($R$5,[1]PSC!$A$2:$Q$31,17,FALSE)</f>
        <v>4.99</v>
      </c>
      <c r="H58" s="21" t="s">
        <v>156</v>
      </c>
      <c r="I58" s="21">
        <v>7898969895880</v>
      </c>
      <c r="J58" s="21">
        <v>17898969895887</v>
      </c>
      <c r="K58" s="22">
        <f>VLOOKUP($R$5,'[1]ST BISCOTTI'!A:B,2,FALSE)</f>
        <v>0.12</v>
      </c>
      <c r="L58" s="23">
        <f>VLOOKUP($R$5,[1]PREÇOS!$A$2:$Q$31,17,FALSE)</f>
        <v>3.55</v>
      </c>
      <c r="M58" s="24">
        <f>L58*27</f>
        <v>95.85</v>
      </c>
      <c r="N58" s="25">
        <v>0</v>
      </c>
      <c r="O58" s="25">
        <v>0</v>
      </c>
      <c r="P58" s="26">
        <f>(L58+N58)*27</f>
        <v>95.85</v>
      </c>
      <c r="Q58" s="27"/>
      <c r="R58" s="28">
        <f t="shared" ref="R58:R61" si="26">Q58*M58</f>
        <v>0</v>
      </c>
      <c r="S58" s="26">
        <f t="shared" ref="S58:S61" si="27">Q58*P58</f>
        <v>0</v>
      </c>
    </row>
    <row r="59" spans="2:19" x14ac:dyDescent="0.3">
      <c r="B59" s="175" t="s">
        <v>157</v>
      </c>
      <c r="C59" s="179"/>
      <c r="D59" s="48">
        <v>5681</v>
      </c>
      <c r="E59" s="49" t="s">
        <v>154</v>
      </c>
      <c r="F59" s="49" t="s">
        <v>155</v>
      </c>
      <c r="G59" s="23">
        <f>VLOOKUP($R$5,[1]PSC!$A$2:$Q$31,17,FALSE)</f>
        <v>4.99</v>
      </c>
      <c r="H59" s="48" t="s">
        <v>156</v>
      </c>
      <c r="I59" s="48">
        <v>7898969895859</v>
      </c>
      <c r="J59" s="48">
        <v>17898969895856</v>
      </c>
      <c r="K59" s="50">
        <f>VLOOKUP($R$5,'[1]ST BISCOTTI'!A:B,2,FALSE)</f>
        <v>0.12</v>
      </c>
      <c r="L59" s="30">
        <f>VLOOKUP($R$5,[1]PREÇOS!$A$2:$Q$31,17,FALSE)</f>
        <v>3.55</v>
      </c>
      <c r="M59" s="31">
        <f t="shared" ref="M59:M63" si="28">L59*27</f>
        <v>95.85</v>
      </c>
      <c r="N59" s="51">
        <v>0</v>
      </c>
      <c r="O59" s="51">
        <v>0</v>
      </c>
      <c r="P59" s="32">
        <f t="shared" ref="P59:P61" si="29">(L59+N59)*27</f>
        <v>95.85</v>
      </c>
      <c r="Q59" s="27"/>
      <c r="R59" s="33">
        <f t="shared" si="26"/>
        <v>0</v>
      </c>
      <c r="S59" s="32">
        <f t="shared" si="27"/>
        <v>0</v>
      </c>
    </row>
    <row r="60" spans="2:19" x14ac:dyDescent="0.3">
      <c r="B60" s="177" t="s">
        <v>158</v>
      </c>
      <c r="C60" s="179"/>
      <c r="D60" s="21">
        <v>5682</v>
      </c>
      <c r="E60" s="20" t="s">
        <v>154</v>
      </c>
      <c r="F60" s="20" t="s">
        <v>155</v>
      </c>
      <c r="G60" s="23">
        <f>VLOOKUP($R$5,[1]PSC!$A$2:$Q$31,17,FALSE)</f>
        <v>4.99</v>
      </c>
      <c r="H60" s="21" t="s">
        <v>156</v>
      </c>
      <c r="I60" s="21">
        <v>7898969895866</v>
      </c>
      <c r="J60" s="21">
        <v>17898969895863</v>
      </c>
      <c r="K60" s="22">
        <f>VLOOKUP($R$5,'[1]ST BISCOTTI'!A:B,2,FALSE)</f>
        <v>0.12</v>
      </c>
      <c r="L60" s="23">
        <f>VLOOKUP($R$5,[1]PREÇOS!$A$2:$Q$31,17,FALSE)</f>
        <v>3.55</v>
      </c>
      <c r="M60" s="24">
        <f t="shared" si="28"/>
        <v>95.85</v>
      </c>
      <c r="N60" s="25">
        <v>0</v>
      </c>
      <c r="O60" s="25">
        <v>0</v>
      </c>
      <c r="P60" s="26">
        <f t="shared" si="29"/>
        <v>95.85</v>
      </c>
      <c r="Q60" s="27"/>
      <c r="R60" s="28">
        <f t="shared" si="26"/>
        <v>0</v>
      </c>
      <c r="S60" s="26">
        <f t="shared" si="27"/>
        <v>0</v>
      </c>
    </row>
    <row r="61" spans="2:19" x14ac:dyDescent="0.3">
      <c r="B61" s="175" t="s">
        <v>159</v>
      </c>
      <c r="C61" s="179"/>
      <c r="D61" s="48">
        <v>5683</v>
      </c>
      <c r="E61" s="49" t="s">
        <v>154</v>
      </c>
      <c r="F61" s="49" t="s">
        <v>155</v>
      </c>
      <c r="G61" s="23">
        <f>VLOOKUP($R$5,[1]PSC!$A$2:$Q$31,17,FALSE)</f>
        <v>4.99</v>
      </c>
      <c r="H61" s="48" t="s">
        <v>156</v>
      </c>
      <c r="I61" s="48">
        <v>7898969895873</v>
      </c>
      <c r="J61" s="48">
        <v>17898969895870</v>
      </c>
      <c r="K61" s="50">
        <f>VLOOKUP($R$5,'[1]ST BISCOTTI'!A:B,2,FALSE)</f>
        <v>0.12</v>
      </c>
      <c r="L61" s="30">
        <f>VLOOKUP($R$5,[1]PREÇOS!$A$2:$Q$31,17,FALSE)</f>
        <v>3.55</v>
      </c>
      <c r="M61" s="31">
        <f t="shared" si="28"/>
        <v>95.85</v>
      </c>
      <c r="N61" s="51">
        <v>0</v>
      </c>
      <c r="O61" s="51">
        <v>0</v>
      </c>
      <c r="P61" s="32">
        <f t="shared" si="29"/>
        <v>95.85</v>
      </c>
      <c r="Q61" s="27"/>
      <c r="R61" s="33">
        <f t="shared" si="26"/>
        <v>0</v>
      </c>
      <c r="S61" s="32">
        <f t="shared" si="27"/>
        <v>0</v>
      </c>
    </row>
    <row r="62" spans="2:19" x14ac:dyDescent="0.3">
      <c r="B62" s="54"/>
      <c r="C62" s="55"/>
      <c r="D62" s="56"/>
      <c r="E62" s="57"/>
      <c r="F62" s="57"/>
      <c r="G62" s="56"/>
      <c r="H62" s="56"/>
      <c r="I62" s="56"/>
      <c r="J62" s="56"/>
      <c r="K62" s="58"/>
      <c r="L62" s="39"/>
      <c r="M62" s="40"/>
      <c r="N62" s="59"/>
      <c r="O62" s="59"/>
      <c r="P62" s="41"/>
      <c r="Q62" s="35"/>
      <c r="R62" s="41"/>
      <c r="S62" s="41"/>
    </row>
    <row r="63" spans="2:19" hidden="1" x14ac:dyDescent="0.3">
      <c r="B63" s="177" t="s">
        <v>160</v>
      </c>
      <c r="C63" s="179"/>
      <c r="D63" s="21">
        <v>5310</v>
      </c>
      <c r="E63" s="20" t="s">
        <v>154</v>
      </c>
      <c r="F63" s="20" t="s">
        <v>161</v>
      </c>
      <c r="G63" s="23">
        <f>VLOOKUP($R$5,[1]PSC!$A$2:$T$31,18,FALSE)</f>
        <v>5.99</v>
      </c>
      <c r="H63" s="21" t="s">
        <v>156</v>
      </c>
      <c r="I63" s="21">
        <v>7898969895897</v>
      </c>
      <c r="J63" s="21">
        <v>17898969895894</v>
      </c>
      <c r="K63" s="22">
        <f>VLOOKUP($R$5,'[1]ST BISCOTTI'!A:B,2,FALSE)</f>
        <v>0.12</v>
      </c>
      <c r="L63" s="23">
        <f>VLOOKUP($R$5,[1]PREÇOS!$A$2:$T$31,18,FALSE)</f>
        <v>4.1500000000000004</v>
      </c>
      <c r="M63" s="24">
        <f t="shared" si="28"/>
        <v>112.05000000000001</v>
      </c>
      <c r="N63" s="25">
        <v>0</v>
      </c>
      <c r="O63" s="25">
        <v>0</v>
      </c>
      <c r="P63" s="26">
        <f t="shared" ref="P63" si="30">(L63+N63)*27</f>
        <v>112.05000000000001</v>
      </c>
      <c r="Q63" s="27"/>
      <c r="R63" s="28">
        <f>Q63*M63</f>
        <v>0</v>
      </c>
      <c r="S63" s="26">
        <f>Q63*P63</f>
        <v>0</v>
      </c>
    </row>
    <row r="64" spans="2:19" x14ac:dyDescent="0.3">
      <c r="B64" s="54"/>
      <c r="C64" s="55"/>
      <c r="D64" s="56"/>
      <c r="E64" s="57"/>
      <c r="F64" s="57"/>
      <c r="G64" s="56"/>
      <c r="H64" s="56"/>
      <c r="I64" s="56"/>
      <c r="J64" s="56"/>
      <c r="K64" s="58"/>
      <c r="L64" s="39"/>
      <c r="M64" s="40"/>
      <c r="N64" s="59"/>
      <c r="O64" s="59"/>
      <c r="P64" s="41"/>
      <c r="Q64" s="35"/>
      <c r="R64" s="41"/>
      <c r="S64" s="41"/>
    </row>
    <row r="65" spans="2:19" x14ac:dyDescent="0.3">
      <c r="B65" s="177" t="s">
        <v>162</v>
      </c>
      <c r="C65" s="178"/>
      <c r="D65" s="21">
        <v>5641</v>
      </c>
      <c r="E65" s="20" t="s">
        <v>163</v>
      </c>
      <c r="F65" s="20" t="s">
        <v>164</v>
      </c>
      <c r="G65" s="23">
        <f>VLOOKUP($R$5,[1]PSC!$A$2:$V$31,19,FALSE)</f>
        <v>36</v>
      </c>
      <c r="H65" s="21" t="s">
        <v>165</v>
      </c>
      <c r="I65" s="21">
        <v>7898969895644</v>
      </c>
      <c r="J65" s="21">
        <v>17898969895641</v>
      </c>
      <c r="K65" s="22">
        <f>VLOOKUP($R$5,'[1]ST BISCOITINHOS'!A:B,2,FALSE)</f>
        <v>0.12</v>
      </c>
      <c r="L65" s="23">
        <f>VLOOKUP($R$5,[1]PREÇOS!$A$2:$V$31,19,FALSE)</f>
        <v>17.09090909090909</v>
      </c>
      <c r="M65" s="24">
        <f>L65</f>
        <v>17.09090909090909</v>
      </c>
      <c r="N65" s="25">
        <v>0</v>
      </c>
      <c r="O65" s="25">
        <f>L65*6.5%</f>
        <v>1.1109090909090908</v>
      </c>
      <c r="P65" s="26">
        <f>(L65+N65+O65)</f>
        <v>18.201818181818179</v>
      </c>
      <c r="Q65" s="27"/>
      <c r="R65" s="28">
        <f t="shared" ref="R65:R76" si="31">Q65*M65</f>
        <v>0</v>
      </c>
      <c r="S65" s="26">
        <f t="shared" ref="S65:S76" si="32">Q65*P65</f>
        <v>0</v>
      </c>
    </row>
    <row r="66" spans="2:19" x14ac:dyDescent="0.3">
      <c r="B66" s="133" t="s">
        <v>166</v>
      </c>
      <c r="C66" s="134"/>
      <c r="D66" s="135">
        <v>5658</v>
      </c>
      <c r="E66" s="136" t="s">
        <v>163</v>
      </c>
      <c r="F66" s="136" t="s">
        <v>164</v>
      </c>
      <c r="G66" s="23">
        <f>VLOOKUP($R$5,[1]PSC!$A$2:$V$31,19,FALSE)</f>
        <v>36</v>
      </c>
      <c r="H66" s="135" t="s">
        <v>165</v>
      </c>
      <c r="I66" s="135">
        <v>7898969895651</v>
      </c>
      <c r="J66" s="135">
        <v>17898969895658</v>
      </c>
      <c r="K66" s="138">
        <f>VLOOKUP($R$5,'[1]ST BISCOITINHOS'!A:B,2,FALSE)</f>
        <v>0.12</v>
      </c>
      <c r="L66" s="137">
        <f>VLOOKUP($R$5,[1]PREÇOS!$A$2:$V$31,19,FALSE)</f>
        <v>17.09090909090909</v>
      </c>
      <c r="M66" s="24">
        <f t="shared" ref="M66:M76" si="33">L66</f>
        <v>17.09090909090909</v>
      </c>
      <c r="N66" s="139">
        <v>0</v>
      </c>
      <c r="O66" s="139">
        <f t="shared" ref="O66:O76" si="34">L66*6.5%</f>
        <v>1.1109090909090908</v>
      </c>
      <c r="P66" s="26">
        <f t="shared" ref="P66:P76" si="35">(L66+N66+O66)</f>
        <v>18.201818181818179</v>
      </c>
      <c r="Q66" s="27"/>
      <c r="R66" s="140">
        <f t="shared" si="31"/>
        <v>0</v>
      </c>
      <c r="S66" s="141">
        <f t="shared" si="32"/>
        <v>0</v>
      </c>
    </row>
    <row r="67" spans="2:19" x14ac:dyDescent="0.3">
      <c r="B67" s="142" t="s">
        <v>167</v>
      </c>
      <c r="C67" s="143"/>
      <c r="D67" s="21">
        <v>5665</v>
      </c>
      <c r="E67" s="20" t="s">
        <v>163</v>
      </c>
      <c r="F67" s="20" t="s">
        <v>164</v>
      </c>
      <c r="G67" s="23">
        <f>VLOOKUP($R$5,[1]PSC!$A$2:$V$31,19,FALSE)</f>
        <v>36</v>
      </c>
      <c r="H67" s="21" t="s">
        <v>165</v>
      </c>
      <c r="I67" s="21">
        <v>7898969895668</v>
      </c>
      <c r="J67" s="21">
        <v>17898969895665</v>
      </c>
      <c r="K67" s="22">
        <f>VLOOKUP($R$5,'[1]ST BISCOITINHOS'!A:B,2,FALSE)</f>
        <v>0.12</v>
      </c>
      <c r="L67" s="23">
        <f>VLOOKUP($R$5,[1]PREÇOS!$A$2:$V$31,19,FALSE)</f>
        <v>17.09090909090909</v>
      </c>
      <c r="M67" s="24">
        <f t="shared" si="33"/>
        <v>17.09090909090909</v>
      </c>
      <c r="N67" s="25">
        <v>0</v>
      </c>
      <c r="O67" s="25">
        <f t="shared" si="34"/>
        <v>1.1109090909090908</v>
      </c>
      <c r="P67" s="26">
        <f t="shared" si="35"/>
        <v>18.201818181818179</v>
      </c>
      <c r="Q67" s="27"/>
      <c r="R67" s="28">
        <f t="shared" si="31"/>
        <v>0</v>
      </c>
      <c r="S67" s="26">
        <f t="shared" si="32"/>
        <v>0</v>
      </c>
    </row>
    <row r="68" spans="2:19" x14ac:dyDescent="0.3">
      <c r="B68" s="133" t="s">
        <v>168</v>
      </c>
      <c r="C68" s="134"/>
      <c r="D68" s="126">
        <v>5733</v>
      </c>
      <c r="E68" s="127" t="s">
        <v>163</v>
      </c>
      <c r="F68" s="127" t="s">
        <v>164</v>
      </c>
      <c r="G68" s="23">
        <f>VLOOKUP($R$5,[1]PSC!$A$2:$V$31,21,FALSE)</f>
        <v>27</v>
      </c>
      <c r="H68" s="126" t="s">
        <v>165</v>
      </c>
      <c r="I68" s="126">
        <v>7898969895736</v>
      </c>
      <c r="J68" s="126">
        <v>17898969895733</v>
      </c>
      <c r="K68" s="129">
        <f>VLOOKUP($R$5,'[1]ST BISCOITINHOS'!A:B,2,FALSE)</f>
        <v>0.12</v>
      </c>
      <c r="L68" s="128">
        <f>VLOOKUP($R$5,[1]PREÇOS!$A$2:$V$31,20,FALSE)</f>
        <v>14.954545454545455</v>
      </c>
      <c r="M68" s="24">
        <f t="shared" si="33"/>
        <v>14.954545454545455</v>
      </c>
      <c r="N68" s="112">
        <v>0</v>
      </c>
      <c r="O68" s="112">
        <f t="shared" si="34"/>
        <v>0.97204545454545466</v>
      </c>
      <c r="P68" s="26">
        <f t="shared" si="35"/>
        <v>15.92659090909091</v>
      </c>
      <c r="Q68" s="27"/>
      <c r="R68" s="132">
        <f t="shared" si="31"/>
        <v>0</v>
      </c>
      <c r="S68" s="131">
        <f t="shared" si="32"/>
        <v>0</v>
      </c>
    </row>
    <row r="69" spans="2:19" x14ac:dyDescent="0.3">
      <c r="B69" s="142" t="s">
        <v>169</v>
      </c>
      <c r="C69" s="143"/>
      <c r="D69" s="144">
        <v>5740</v>
      </c>
      <c r="E69" s="145" t="s">
        <v>163</v>
      </c>
      <c r="F69" s="145" t="s">
        <v>164</v>
      </c>
      <c r="G69" s="23">
        <f>VLOOKUP($R$5,[1]PSC!$A$2:$V$31,21,FALSE)</f>
        <v>27</v>
      </c>
      <c r="H69" s="144" t="s">
        <v>165</v>
      </c>
      <c r="I69" s="144">
        <v>7898969895743</v>
      </c>
      <c r="J69" s="144">
        <v>17898969895740</v>
      </c>
      <c r="K69" s="147">
        <f>VLOOKUP($R$5,'[1]ST BISCOITINHOS'!A:B,2,FALSE)</f>
        <v>0.12</v>
      </c>
      <c r="L69" s="146">
        <f>VLOOKUP($R$5,[1]PREÇOS!$A$2:$V$31,20,FALSE)</f>
        <v>14.954545454545455</v>
      </c>
      <c r="M69" s="24">
        <f t="shared" si="33"/>
        <v>14.954545454545455</v>
      </c>
      <c r="N69" s="148">
        <v>0</v>
      </c>
      <c r="O69" s="148">
        <f t="shared" si="34"/>
        <v>0.97204545454545466</v>
      </c>
      <c r="P69" s="26">
        <f t="shared" si="35"/>
        <v>15.92659090909091</v>
      </c>
      <c r="Q69" s="27"/>
      <c r="R69" s="149">
        <f t="shared" si="31"/>
        <v>0</v>
      </c>
      <c r="S69" s="150">
        <f t="shared" si="32"/>
        <v>0</v>
      </c>
    </row>
    <row r="70" spans="2:19" x14ac:dyDescent="0.3">
      <c r="B70" s="133" t="s">
        <v>170</v>
      </c>
      <c r="C70" s="134"/>
      <c r="D70" s="126">
        <v>5757</v>
      </c>
      <c r="E70" s="127" t="s">
        <v>163</v>
      </c>
      <c r="F70" s="127" t="s">
        <v>164</v>
      </c>
      <c r="G70" s="23">
        <f>VLOOKUP($R$5,[1]PSC!$A$2:$V$31,21,FALSE)</f>
        <v>27</v>
      </c>
      <c r="H70" s="126" t="s">
        <v>165</v>
      </c>
      <c r="I70" s="126">
        <v>7898969895750</v>
      </c>
      <c r="J70" s="126">
        <v>17898969895757</v>
      </c>
      <c r="K70" s="129">
        <f>VLOOKUP($R$5,'[1]ST BISCOITINHOS'!A:B,2,FALSE)</f>
        <v>0.12</v>
      </c>
      <c r="L70" s="128">
        <f>VLOOKUP($R$5,[1]PREÇOS!$A$2:$V$31,20,FALSE)</f>
        <v>14.954545454545455</v>
      </c>
      <c r="M70" s="24">
        <f t="shared" si="33"/>
        <v>14.954545454545455</v>
      </c>
      <c r="N70" s="112">
        <v>0</v>
      </c>
      <c r="O70" s="112">
        <f t="shared" si="34"/>
        <v>0.97204545454545466</v>
      </c>
      <c r="P70" s="26">
        <f t="shared" si="35"/>
        <v>15.92659090909091</v>
      </c>
      <c r="Q70" s="27"/>
      <c r="R70" s="132">
        <f t="shared" si="31"/>
        <v>0</v>
      </c>
      <c r="S70" s="131">
        <f t="shared" si="32"/>
        <v>0</v>
      </c>
    </row>
    <row r="71" spans="2:19" x14ac:dyDescent="0.3">
      <c r="B71" s="142" t="s">
        <v>171</v>
      </c>
      <c r="C71" s="143"/>
      <c r="D71" s="21">
        <v>5702</v>
      </c>
      <c r="E71" s="20" t="s">
        <v>163</v>
      </c>
      <c r="F71" s="20" t="s">
        <v>164</v>
      </c>
      <c r="G71" s="23">
        <f>VLOOKUP($R$5,[1]PSC!$A$2:$V$31,20,FALSE)</f>
        <v>36</v>
      </c>
      <c r="H71" s="21" t="s">
        <v>165</v>
      </c>
      <c r="I71" s="21">
        <v>7898969895705</v>
      </c>
      <c r="J71" s="21">
        <v>17898969895702</v>
      </c>
      <c r="K71" s="22">
        <f>VLOOKUP($R$5,'[1]ST BISCOITINHOS'!A:B,2,FALSE)</f>
        <v>0.12</v>
      </c>
      <c r="L71" s="23">
        <f>VLOOKUP($R$5,[1]PREÇOS!$A$2:$V$31,21,FALSE)</f>
        <v>19.227272727272727</v>
      </c>
      <c r="M71" s="24">
        <f t="shared" si="33"/>
        <v>19.227272727272727</v>
      </c>
      <c r="N71" s="25">
        <v>0</v>
      </c>
      <c r="O71" s="25">
        <f t="shared" si="34"/>
        <v>1.2497727272727273</v>
      </c>
      <c r="P71" s="26">
        <f t="shared" si="35"/>
        <v>20.477045454545454</v>
      </c>
      <c r="Q71" s="27"/>
      <c r="R71" s="28">
        <f t="shared" si="31"/>
        <v>0</v>
      </c>
      <c r="S71" s="26">
        <f t="shared" si="32"/>
        <v>0</v>
      </c>
    </row>
    <row r="72" spans="2:19" x14ac:dyDescent="0.3">
      <c r="B72" s="133" t="s">
        <v>172</v>
      </c>
      <c r="C72" s="134"/>
      <c r="D72" s="135">
        <v>5719</v>
      </c>
      <c r="E72" s="136" t="s">
        <v>163</v>
      </c>
      <c r="F72" s="136" t="s">
        <v>164</v>
      </c>
      <c r="G72" s="23">
        <f>VLOOKUP($R$5,[1]PSC!$A$2:$V$31,20,FALSE)</f>
        <v>36</v>
      </c>
      <c r="H72" s="135" t="s">
        <v>165</v>
      </c>
      <c r="I72" s="135">
        <v>7898969895712</v>
      </c>
      <c r="J72" s="135">
        <v>17898969895719</v>
      </c>
      <c r="K72" s="138">
        <f>VLOOKUP($R$5,'[1]ST BISCOITINHOS'!A:B,2,FALSE)</f>
        <v>0.12</v>
      </c>
      <c r="L72" s="137">
        <f>VLOOKUP($R$5,[1]PREÇOS!$A$2:$V$31,21,FALSE)</f>
        <v>19.227272727272727</v>
      </c>
      <c r="M72" s="24">
        <f t="shared" si="33"/>
        <v>19.227272727272727</v>
      </c>
      <c r="N72" s="139">
        <v>0</v>
      </c>
      <c r="O72" s="139">
        <f t="shared" si="34"/>
        <v>1.2497727272727273</v>
      </c>
      <c r="P72" s="26">
        <f t="shared" si="35"/>
        <v>20.477045454545454</v>
      </c>
      <c r="Q72" s="27"/>
      <c r="R72" s="140">
        <f t="shared" si="31"/>
        <v>0</v>
      </c>
      <c r="S72" s="141">
        <f t="shared" si="32"/>
        <v>0</v>
      </c>
    </row>
    <row r="73" spans="2:19" x14ac:dyDescent="0.3">
      <c r="B73" s="142" t="s">
        <v>173</v>
      </c>
      <c r="C73" s="143"/>
      <c r="D73" s="21">
        <v>5726</v>
      </c>
      <c r="E73" s="20" t="s">
        <v>163</v>
      </c>
      <c r="F73" s="20" t="s">
        <v>164</v>
      </c>
      <c r="G73" s="23">
        <f>VLOOKUP($R$5,[1]PSC!$A$2:$V$31,20,FALSE)</f>
        <v>36</v>
      </c>
      <c r="H73" s="21" t="s">
        <v>165</v>
      </c>
      <c r="I73" s="21">
        <v>7898969895729</v>
      </c>
      <c r="J73" s="21">
        <v>17898969895726</v>
      </c>
      <c r="K73" s="22">
        <f>VLOOKUP($R$5,'[1]ST BISCOITINHOS'!A:B,2,FALSE)</f>
        <v>0.12</v>
      </c>
      <c r="L73" s="23">
        <f>VLOOKUP($R$5,[1]PREÇOS!$A$2:$V$31,21,FALSE)</f>
        <v>19.227272727272727</v>
      </c>
      <c r="M73" s="24">
        <f t="shared" si="33"/>
        <v>19.227272727272727</v>
      </c>
      <c r="N73" s="25">
        <v>0</v>
      </c>
      <c r="O73" s="25">
        <f t="shared" si="34"/>
        <v>1.2497727272727273</v>
      </c>
      <c r="P73" s="26">
        <f t="shared" si="35"/>
        <v>20.477045454545454</v>
      </c>
      <c r="Q73" s="27"/>
      <c r="R73" s="28">
        <f t="shared" si="31"/>
        <v>0</v>
      </c>
      <c r="S73" s="26">
        <f t="shared" si="32"/>
        <v>0</v>
      </c>
    </row>
    <row r="74" spans="2:19" x14ac:dyDescent="0.3">
      <c r="B74" s="133" t="s">
        <v>174</v>
      </c>
      <c r="C74" s="134"/>
      <c r="D74" s="126">
        <v>5675</v>
      </c>
      <c r="E74" s="127" t="s">
        <v>163</v>
      </c>
      <c r="F74" s="127" t="s">
        <v>164</v>
      </c>
      <c r="G74" s="23">
        <f>VLOOKUP($R$5,[1]PSC!$A$2:$V$31,22,FALSE)</f>
        <v>48</v>
      </c>
      <c r="H74" s="126" t="s">
        <v>165</v>
      </c>
      <c r="I74" s="126">
        <v>7898969895675</v>
      </c>
      <c r="J74" s="126">
        <v>17898969895672</v>
      </c>
      <c r="K74" s="129">
        <f>VLOOKUP($R$5,'[1]ST BISCOITINHOS'!A:B,2,FALSE)</f>
        <v>0.12</v>
      </c>
      <c r="L74" s="128">
        <f>VLOOKUP($R$5,[1]PREÇOS!$A$2:$V$31,22,FALSE)</f>
        <v>29.150681818181813</v>
      </c>
      <c r="M74" s="24">
        <f t="shared" si="33"/>
        <v>29.150681818181813</v>
      </c>
      <c r="N74" s="112">
        <v>0</v>
      </c>
      <c r="O74" s="112">
        <f t="shared" si="34"/>
        <v>1.8947943181818179</v>
      </c>
      <c r="P74" s="26">
        <f t="shared" si="35"/>
        <v>31.045476136363632</v>
      </c>
      <c r="Q74" s="27"/>
      <c r="R74" s="132">
        <f t="shared" si="31"/>
        <v>0</v>
      </c>
      <c r="S74" s="131">
        <f t="shared" si="32"/>
        <v>0</v>
      </c>
    </row>
    <row r="75" spans="2:19" x14ac:dyDescent="0.3">
      <c r="B75" s="142" t="s">
        <v>175</v>
      </c>
      <c r="C75" s="143"/>
      <c r="D75" s="144">
        <v>5689</v>
      </c>
      <c r="E75" s="145" t="s">
        <v>163</v>
      </c>
      <c r="F75" s="145" t="s">
        <v>164</v>
      </c>
      <c r="G75" s="23">
        <f>VLOOKUP($R$5,[1]PSC!$A$2:$V$31,22,FALSE)</f>
        <v>48</v>
      </c>
      <c r="H75" s="144" t="s">
        <v>165</v>
      </c>
      <c r="I75" s="144">
        <v>7898969895682</v>
      </c>
      <c r="J75" s="144">
        <v>17898969895689</v>
      </c>
      <c r="K75" s="147">
        <f>VLOOKUP($R$5,'[1]ST BISCOITINHOS'!A:B,2,FALSE)</f>
        <v>0.12</v>
      </c>
      <c r="L75" s="146">
        <f>VLOOKUP($R$5,[1]PREÇOS!$A$2:$V$31,22,FALSE)</f>
        <v>29.150681818181813</v>
      </c>
      <c r="M75" s="24">
        <f t="shared" si="33"/>
        <v>29.150681818181813</v>
      </c>
      <c r="N75" s="148">
        <v>0</v>
      </c>
      <c r="O75" s="148">
        <f t="shared" si="34"/>
        <v>1.8947943181818179</v>
      </c>
      <c r="P75" s="26">
        <f t="shared" si="35"/>
        <v>31.045476136363632</v>
      </c>
      <c r="Q75" s="27"/>
      <c r="R75" s="149">
        <f t="shared" si="31"/>
        <v>0</v>
      </c>
      <c r="S75" s="150">
        <f t="shared" si="32"/>
        <v>0</v>
      </c>
    </row>
    <row r="76" spans="2:19" x14ac:dyDescent="0.3">
      <c r="B76" s="133" t="s">
        <v>176</v>
      </c>
      <c r="C76" s="134"/>
      <c r="D76" s="126">
        <v>5696</v>
      </c>
      <c r="E76" s="127" t="s">
        <v>163</v>
      </c>
      <c r="F76" s="127" t="s">
        <v>164</v>
      </c>
      <c r="G76" s="23">
        <f>VLOOKUP($R$5,[1]PSC!$A$2:$V$31,22,FALSE)</f>
        <v>48</v>
      </c>
      <c r="H76" s="126" t="s">
        <v>165</v>
      </c>
      <c r="I76" s="126">
        <v>7898969895699</v>
      </c>
      <c r="J76" s="126">
        <v>17898969895696</v>
      </c>
      <c r="K76" s="129">
        <f>VLOOKUP($R$5,'[1]ST BISCOITINHOS'!A:B,2,FALSE)</f>
        <v>0.12</v>
      </c>
      <c r="L76" s="128">
        <f>VLOOKUP($R$5,[1]PREÇOS!$A$2:$V$31,22,FALSE)</f>
        <v>29.150681818181813</v>
      </c>
      <c r="M76" s="24">
        <f t="shared" si="33"/>
        <v>29.150681818181813</v>
      </c>
      <c r="N76" s="112">
        <v>0</v>
      </c>
      <c r="O76" s="112">
        <f t="shared" si="34"/>
        <v>1.8947943181818179</v>
      </c>
      <c r="P76" s="26">
        <f t="shared" si="35"/>
        <v>31.045476136363632</v>
      </c>
      <c r="Q76" s="27"/>
      <c r="R76" s="132">
        <f t="shared" si="31"/>
        <v>0</v>
      </c>
      <c r="S76" s="131">
        <f t="shared" si="32"/>
        <v>0</v>
      </c>
    </row>
    <row r="77" spans="2:19" ht="15" thickBot="1" x14ac:dyDescent="0.35">
      <c r="B77" s="54"/>
      <c r="M77" s="151" t="s">
        <v>177</v>
      </c>
    </row>
    <row r="78" spans="2:19" ht="15" thickBot="1" x14ac:dyDescent="0.35">
      <c r="B78" s="54"/>
      <c r="P78" s="60" t="s">
        <v>85</v>
      </c>
      <c r="Q78" s="61"/>
      <c r="R78" s="62"/>
      <c r="S78" s="15">
        <f>SUM(R8:R75)</f>
        <v>0</v>
      </c>
    </row>
    <row r="79" spans="2:19" ht="15" thickBot="1" x14ac:dyDescent="0.35">
      <c r="B79" s="54"/>
      <c r="Q79" s="35"/>
      <c r="R79" s="63"/>
      <c r="S79" s="16"/>
    </row>
    <row r="80" spans="2:19" ht="15" thickBot="1" x14ac:dyDescent="0.35">
      <c r="B80" s="54"/>
      <c r="P80" s="60" t="s">
        <v>86</v>
      </c>
      <c r="Q80" s="61"/>
      <c r="R80" s="62"/>
      <c r="S80" s="15" t="e">
        <f>S82-S78</f>
        <v>#REF!</v>
      </c>
    </row>
    <row r="81" spans="2:19" ht="15" thickBot="1" x14ac:dyDescent="0.35">
      <c r="B81" s="54"/>
      <c r="P81" s="42"/>
      <c r="Q81" s="35"/>
      <c r="R81" s="63"/>
      <c r="S81" s="16"/>
    </row>
    <row r="82" spans="2:19" ht="15" thickBot="1" x14ac:dyDescent="0.35">
      <c r="B82" s="54"/>
      <c r="P82" s="60" t="s">
        <v>87</v>
      </c>
      <c r="Q82" s="61"/>
      <c r="R82" s="62"/>
      <c r="S82" s="15" t="e">
        <f>SUM(S8:S76)</f>
        <v>#REF!</v>
      </c>
    </row>
  </sheetData>
  <sheetProtection sheet="1" objects="1" scenarios="1"/>
  <protectedRanges>
    <protectedRange sqref="Q40:Q45" name="Intervalo1_3_1"/>
    <protectedRange sqref="Q35:Q39" name="Intervalo1_4"/>
    <protectedRange sqref="Q19" name="Intervalo1"/>
    <protectedRange sqref="Q14:Q18 Q8:Q9 Q20:Q34 Q11:Q12" name="Intervalo1_3"/>
    <protectedRange sqref="Q46:Q50" name="Intervalo1_3_1_1"/>
    <protectedRange sqref="Q55:Q56 Q51:Q53 Q65:Q76" name="Intervalo1_3_2"/>
    <protectedRange sqref="Q58:Q61 Q63" name="Intervalo1_3_1_2"/>
  </protectedRanges>
  <dataConsolidate/>
  <mergeCells count="45">
    <mergeCell ref="B21:C21"/>
    <mergeCell ref="R5:S5"/>
    <mergeCell ref="B8:C8"/>
    <mergeCell ref="B9:C9"/>
    <mergeCell ref="B11:C11"/>
    <mergeCell ref="B12:C12"/>
    <mergeCell ref="B14:C14"/>
    <mergeCell ref="B15:C15"/>
    <mergeCell ref="B16:C16"/>
    <mergeCell ref="B17:C17"/>
    <mergeCell ref="B18:C18"/>
    <mergeCell ref="B19:C19"/>
    <mergeCell ref="B37:C37"/>
    <mergeCell ref="B22:C22"/>
    <mergeCell ref="B23:C23"/>
    <mergeCell ref="B25:C25"/>
    <mergeCell ref="B26:C26"/>
    <mergeCell ref="B28:C28"/>
    <mergeCell ref="B29:C29"/>
    <mergeCell ref="B31:C31"/>
    <mergeCell ref="B32:C32"/>
    <mergeCell ref="B33:C33"/>
    <mergeCell ref="B35:C35"/>
    <mergeCell ref="B36:C36"/>
    <mergeCell ref="B52:C52"/>
    <mergeCell ref="B38:C38"/>
    <mergeCell ref="B40:C40"/>
    <mergeCell ref="B41:C41"/>
    <mergeCell ref="B42:C42"/>
    <mergeCell ref="B43:C43"/>
    <mergeCell ref="B44:C44"/>
    <mergeCell ref="B46:C46"/>
    <mergeCell ref="B47:C47"/>
    <mergeCell ref="B48:C48"/>
    <mergeCell ref="B49:C49"/>
    <mergeCell ref="B51:C51"/>
    <mergeCell ref="B61:C61"/>
    <mergeCell ref="B63:C63"/>
    <mergeCell ref="B65:C65"/>
    <mergeCell ref="B53:C53"/>
    <mergeCell ref="B55:C55"/>
    <mergeCell ref="B56:C56"/>
    <mergeCell ref="B58:C58"/>
    <mergeCell ref="B59:C59"/>
    <mergeCell ref="B60:C60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7395A3-992E-41F6-9157-05E01D6C46F4}">
          <x14:formula1>
            <xm:f>'ST BISCOITINHOS'!$A$2:$A$30</xm:f>
          </x14:formula1>
          <xm:sqref>R5:S5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88</v>
      </c>
    </row>
    <row r="3" spans="3:3" x14ac:dyDescent="0.3">
      <c r="C3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0">
        <v>0.04</v>
      </c>
      <c r="C2" s="100">
        <v>0.04</v>
      </c>
      <c r="D2" s="101"/>
      <c r="E2" s="101"/>
      <c r="F2" s="101"/>
      <c r="G2" s="101"/>
      <c r="H2" s="4">
        <f>PREÇOS!D3</f>
        <v>11.814100000000002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2" t="s">
        <v>100</v>
      </c>
      <c r="B3" s="103">
        <v>0.04</v>
      </c>
      <c r="C3" s="103">
        <v>0.2</v>
      </c>
      <c r="D3" s="69">
        <v>0.3</v>
      </c>
      <c r="E3" s="69"/>
      <c r="F3" s="69">
        <v>0.56000000000000005</v>
      </c>
      <c r="G3" s="69"/>
      <c r="H3" s="4">
        <f>PREÇOS!D4</f>
        <v>11.814100000000002</v>
      </c>
      <c r="I3" s="4">
        <f>IF(F3=0,,H3*(1+F3)*C3-(H3*B3))</f>
        <v>3.2134352000000006</v>
      </c>
      <c r="J3" s="4">
        <f t="shared" ref="J3:J26" si="0">IF(G3=0,IF(F3=0,,H3*(1+F3)*C3-(H3*B3)),H3*(1+G3)*C3-(H3*B3))</f>
        <v>3.2134352000000006</v>
      </c>
    </row>
    <row r="4" spans="1:10" x14ac:dyDescent="0.3">
      <c r="A4" s="99" t="s">
        <v>101</v>
      </c>
      <c r="B4" s="100">
        <v>0.04</v>
      </c>
      <c r="C4" s="100">
        <v>0.04</v>
      </c>
      <c r="D4" s="101"/>
      <c r="E4" s="101"/>
      <c r="F4" s="101"/>
      <c r="G4" s="101"/>
      <c r="H4" s="4">
        <f>PREÇOS!D5</f>
        <v>11.814100000000002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99" t="s">
        <v>102</v>
      </c>
      <c r="B5" s="100">
        <v>0.04</v>
      </c>
      <c r="C5" s="100">
        <v>0.18</v>
      </c>
      <c r="D5" s="101">
        <v>0.34</v>
      </c>
      <c r="E5" s="101"/>
      <c r="F5" s="101">
        <v>0.56879999999999997</v>
      </c>
      <c r="G5" s="101"/>
      <c r="H5" s="4">
        <f>PREÇOS!D6</f>
        <v>11.814100000000002</v>
      </c>
      <c r="I5" s="4">
        <f t="shared" si="1"/>
        <v>2.8635488144000001</v>
      </c>
      <c r="J5" s="4">
        <f t="shared" si="0"/>
        <v>2.8635488144000001</v>
      </c>
    </row>
    <row r="6" spans="1:10" x14ac:dyDescent="0.3">
      <c r="A6" s="99" t="s">
        <v>103</v>
      </c>
      <c r="B6" s="100">
        <v>0.04</v>
      </c>
      <c r="C6" s="100">
        <v>0.04</v>
      </c>
      <c r="D6" s="101"/>
      <c r="E6" s="101"/>
      <c r="F6" s="101"/>
      <c r="G6" s="101"/>
      <c r="H6" s="4">
        <f>PREÇOS!D7</f>
        <v>11.814100000000002</v>
      </c>
      <c r="I6" s="4">
        <f t="shared" si="1"/>
        <v>0</v>
      </c>
      <c r="J6" s="4">
        <f t="shared" si="0"/>
        <v>0</v>
      </c>
    </row>
    <row r="7" spans="1:10" x14ac:dyDescent="0.3">
      <c r="A7" s="99" t="s">
        <v>104</v>
      </c>
      <c r="B7" s="100">
        <v>0.04</v>
      </c>
      <c r="C7" s="100">
        <v>0.04</v>
      </c>
      <c r="D7" s="101"/>
      <c r="E7" s="101"/>
      <c r="F7" s="101"/>
      <c r="G7" s="101"/>
      <c r="H7" s="4">
        <f>PREÇOS!D8</f>
        <v>11.814100000000002</v>
      </c>
      <c r="I7" s="4">
        <f t="shared" si="1"/>
        <v>0</v>
      </c>
      <c r="J7" s="4">
        <f t="shared" si="0"/>
        <v>0</v>
      </c>
    </row>
    <row r="8" spans="1:10" x14ac:dyDescent="0.3">
      <c r="A8" s="99" t="s">
        <v>105</v>
      </c>
      <c r="B8" s="100">
        <v>0.04</v>
      </c>
      <c r="C8" s="100">
        <v>0.04</v>
      </c>
      <c r="D8" s="101"/>
      <c r="E8" s="101"/>
      <c r="F8" s="101"/>
      <c r="G8" s="101"/>
      <c r="H8" s="4">
        <f>PREÇOS!D9</f>
        <v>11.814100000000002</v>
      </c>
      <c r="I8" s="4">
        <f t="shared" si="1"/>
        <v>0</v>
      </c>
      <c r="J8" s="4">
        <f t="shared" si="0"/>
        <v>0</v>
      </c>
    </row>
    <row r="9" spans="1:10" x14ac:dyDescent="0.3">
      <c r="A9" s="99" t="s">
        <v>106</v>
      </c>
      <c r="B9" s="100">
        <v>0.04</v>
      </c>
      <c r="C9" s="100">
        <v>0.04</v>
      </c>
      <c r="D9" s="101"/>
      <c r="E9" s="101"/>
      <c r="F9" s="101"/>
      <c r="G9" s="101"/>
      <c r="H9" s="4">
        <f>PREÇOS!D10</f>
        <v>11.814100000000002</v>
      </c>
      <c r="I9" s="4">
        <f t="shared" si="1"/>
        <v>0</v>
      </c>
      <c r="J9" s="4">
        <f t="shared" si="0"/>
        <v>0</v>
      </c>
    </row>
    <row r="10" spans="1:10" x14ac:dyDescent="0.3">
      <c r="A10" s="99" t="s">
        <v>107</v>
      </c>
      <c r="B10" s="100">
        <v>0.04</v>
      </c>
      <c r="C10" s="100">
        <v>0.04</v>
      </c>
      <c r="D10" s="101"/>
      <c r="E10" s="101"/>
      <c r="F10" s="101"/>
      <c r="G10" s="101"/>
      <c r="H10" s="4">
        <f>PREÇOS!D11</f>
        <v>11.814100000000002</v>
      </c>
      <c r="I10" s="4">
        <f t="shared" si="1"/>
        <v>0</v>
      </c>
      <c r="J10" s="4">
        <f t="shared" si="0"/>
        <v>0</v>
      </c>
    </row>
    <row r="11" spans="1:10" x14ac:dyDescent="0.3">
      <c r="A11" s="99" t="s">
        <v>108</v>
      </c>
      <c r="B11" s="100">
        <v>0.04</v>
      </c>
      <c r="C11" s="100">
        <v>0.04</v>
      </c>
      <c r="D11" s="101"/>
      <c r="E11" s="101"/>
      <c r="F11" s="101"/>
      <c r="G11" s="101"/>
      <c r="H11" s="4">
        <f>PREÇOS!D12</f>
        <v>11.814100000000002</v>
      </c>
      <c r="I11" s="4">
        <f t="shared" si="1"/>
        <v>0</v>
      </c>
      <c r="J11" s="4">
        <f t="shared" si="0"/>
        <v>0</v>
      </c>
    </row>
    <row r="12" spans="1:10" x14ac:dyDescent="0.3">
      <c r="A12" s="102" t="s">
        <v>109</v>
      </c>
      <c r="B12" s="103">
        <v>0.04</v>
      </c>
      <c r="C12" s="103">
        <v>0.18</v>
      </c>
      <c r="D12" s="69">
        <v>0.25</v>
      </c>
      <c r="E12" s="69"/>
      <c r="F12" s="69">
        <v>0.36359999999999998</v>
      </c>
      <c r="G12" s="69"/>
      <c r="H12" s="4">
        <f>PREÇOS!D13</f>
        <v>11.814100000000002</v>
      </c>
      <c r="I12" s="4">
        <f>IF(F12=0,,H12*(1+F12)*C12-(H12*B12))</f>
        <v>2.4271832168</v>
      </c>
      <c r="J12" s="4">
        <f t="shared" si="0"/>
        <v>2.4271832168</v>
      </c>
    </row>
    <row r="13" spans="1:10" x14ac:dyDescent="0.3">
      <c r="A13" s="99" t="s">
        <v>110</v>
      </c>
      <c r="B13" s="100">
        <v>0.04</v>
      </c>
      <c r="C13" s="100">
        <v>0.04</v>
      </c>
      <c r="D13" s="101"/>
      <c r="E13" s="101"/>
      <c r="F13" s="101"/>
      <c r="G13" s="101"/>
      <c r="H13" s="4">
        <f>PREÇOS!D14</f>
        <v>11.814100000000002</v>
      </c>
      <c r="I13" s="4">
        <f t="shared" si="1"/>
        <v>0</v>
      </c>
      <c r="J13" s="4">
        <f t="shared" si="0"/>
        <v>0</v>
      </c>
    </row>
    <row r="14" spans="1:10" x14ac:dyDescent="0.3">
      <c r="A14" s="102" t="s">
        <v>111</v>
      </c>
      <c r="B14" s="103">
        <v>0.04</v>
      </c>
      <c r="C14" s="103">
        <v>0.04</v>
      </c>
      <c r="D14" s="69"/>
      <c r="E14" s="69"/>
      <c r="F14" s="69"/>
      <c r="G14" s="69"/>
      <c r="H14" s="4">
        <f>PREÇOS!D15</f>
        <v>11.814100000000002</v>
      </c>
      <c r="I14" s="4">
        <f t="shared" si="1"/>
        <v>0</v>
      </c>
      <c r="J14" s="4">
        <f t="shared" si="0"/>
        <v>0</v>
      </c>
    </row>
    <row r="15" spans="1:10" x14ac:dyDescent="0.3">
      <c r="A15" s="104" t="s">
        <v>112</v>
      </c>
      <c r="B15" s="105">
        <v>0.04</v>
      </c>
      <c r="C15" s="105">
        <v>0.04</v>
      </c>
      <c r="D15" s="106"/>
      <c r="E15" s="106"/>
      <c r="F15" s="106"/>
      <c r="G15" s="106"/>
      <c r="H15" s="4">
        <f>PREÇOS!D16</f>
        <v>11.814100000000002</v>
      </c>
      <c r="I15" s="4">
        <f t="shared" si="1"/>
        <v>0</v>
      </c>
      <c r="J15" s="4">
        <f t="shared" si="0"/>
        <v>0</v>
      </c>
    </row>
    <row r="16" spans="1:10" x14ac:dyDescent="0.3">
      <c r="A16" s="104" t="s">
        <v>113</v>
      </c>
      <c r="B16" s="105">
        <v>0.04</v>
      </c>
      <c r="C16" s="105">
        <v>0.04</v>
      </c>
      <c r="D16" s="106"/>
      <c r="E16" s="106"/>
      <c r="F16" s="106"/>
      <c r="G16" s="106"/>
      <c r="H16" s="4">
        <f>PREÇOS!D17</f>
        <v>11.814100000000002</v>
      </c>
      <c r="I16" s="4">
        <f t="shared" si="1"/>
        <v>0</v>
      </c>
      <c r="J16" s="4">
        <f t="shared" si="0"/>
        <v>0</v>
      </c>
    </row>
    <row r="17" spans="1:16" x14ac:dyDescent="0.3">
      <c r="A17" s="104" t="s">
        <v>114</v>
      </c>
      <c r="B17" s="105">
        <v>0.04</v>
      </c>
      <c r="C17" s="105">
        <v>0.04</v>
      </c>
      <c r="D17" s="106"/>
      <c r="E17" s="106"/>
      <c r="F17" s="106"/>
      <c r="G17" s="106"/>
      <c r="H17" s="4">
        <f>PREÇOS!D18</f>
        <v>11.814100000000002</v>
      </c>
      <c r="I17" s="4">
        <f t="shared" si="1"/>
        <v>0</v>
      </c>
      <c r="J17" s="4">
        <f t="shared" si="0"/>
        <v>0</v>
      </c>
    </row>
    <row r="18" spans="1:16" x14ac:dyDescent="0.3">
      <c r="A18" s="104" t="s">
        <v>115</v>
      </c>
      <c r="B18" s="105">
        <v>0.04</v>
      </c>
      <c r="C18" s="105">
        <v>0.04</v>
      </c>
      <c r="D18" s="106"/>
      <c r="E18" s="106"/>
      <c r="F18" s="106"/>
      <c r="G18" s="106"/>
      <c r="H18" s="4">
        <f>PREÇOS!D19</f>
        <v>11.814100000000002</v>
      </c>
      <c r="I18" s="4">
        <f t="shared" si="1"/>
        <v>0</v>
      </c>
      <c r="J18" s="4">
        <f t="shared" si="0"/>
        <v>0</v>
      </c>
    </row>
    <row r="19" spans="1:16" x14ac:dyDescent="0.3">
      <c r="A19" s="104" t="s">
        <v>6</v>
      </c>
      <c r="B19" s="105">
        <v>0.12</v>
      </c>
      <c r="C19" s="105">
        <v>0.12</v>
      </c>
      <c r="D19" s="106"/>
      <c r="E19" s="106"/>
      <c r="F19" s="106"/>
      <c r="G19" s="106"/>
      <c r="H19" s="4">
        <f>PREÇOS!D20</f>
        <v>12.9574</v>
      </c>
      <c r="I19" s="4">
        <f t="shared" si="1"/>
        <v>0</v>
      </c>
      <c r="J19" s="4">
        <f t="shared" si="0"/>
        <v>0</v>
      </c>
    </row>
    <row r="20" spans="1:16" x14ac:dyDescent="0.3">
      <c r="A20" s="102" t="s">
        <v>116</v>
      </c>
      <c r="B20" s="103">
        <v>0.04</v>
      </c>
      <c r="C20" s="103">
        <v>0.22</v>
      </c>
      <c r="D20" s="69">
        <v>0.35199999999999998</v>
      </c>
      <c r="E20" s="69"/>
      <c r="F20" s="69">
        <v>0.66400000000000003</v>
      </c>
      <c r="G20" s="69"/>
      <c r="H20" s="4">
        <f>PREÇOS!D21</f>
        <v>11.814100000000002</v>
      </c>
      <c r="I20" s="4">
        <f>IF(F20=0,,H20*(1+F20)*C20-(H20*B20))</f>
        <v>3.8523417280000007</v>
      </c>
      <c r="J20" s="4">
        <f t="shared" si="0"/>
        <v>3.8523417280000007</v>
      </c>
    </row>
    <row r="21" spans="1:16" x14ac:dyDescent="0.3">
      <c r="A21" s="99" t="s">
        <v>117</v>
      </c>
      <c r="B21" s="100">
        <v>0.04</v>
      </c>
      <c r="C21" s="100">
        <v>0.04</v>
      </c>
      <c r="D21" s="101"/>
      <c r="E21" s="101"/>
      <c r="F21" s="101"/>
      <c r="G21" s="101"/>
      <c r="H21" s="4">
        <f>PREÇOS!D22</f>
        <v>11.814100000000002</v>
      </c>
      <c r="I21" s="4">
        <f t="shared" si="1"/>
        <v>0</v>
      </c>
      <c r="J21" s="4">
        <f t="shared" si="0"/>
        <v>0</v>
      </c>
    </row>
    <row r="22" spans="1:16" x14ac:dyDescent="0.3">
      <c r="A22" s="99" t="s">
        <v>118</v>
      </c>
      <c r="B22" s="100">
        <v>0.04</v>
      </c>
      <c r="C22" s="100">
        <v>0.04</v>
      </c>
      <c r="D22" s="101"/>
      <c r="E22" s="101"/>
      <c r="F22" s="101"/>
      <c r="G22" s="101"/>
      <c r="H22" s="4">
        <f>PREÇOS!D23</f>
        <v>11.814100000000002</v>
      </c>
      <c r="I22" s="4">
        <f t="shared" si="1"/>
        <v>0</v>
      </c>
      <c r="J22" s="4">
        <f t="shared" si="0"/>
        <v>0</v>
      </c>
    </row>
    <row r="23" spans="1:16" x14ac:dyDescent="0.3">
      <c r="A23" s="99" t="s">
        <v>119</v>
      </c>
      <c r="B23" s="100">
        <v>0.04</v>
      </c>
      <c r="C23" s="100">
        <v>0.04</v>
      </c>
      <c r="D23" s="101"/>
      <c r="E23" s="101"/>
      <c r="F23" s="101"/>
      <c r="G23" s="101"/>
      <c r="H23" s="4">
        <f>PREÇOS!D24</f>
        <v>11.814100000000002</v>
      </c>
      <c r="I23" s="4">
        <f t="shared" si="1"/>
        <v>0</v>
      </c>
      <c r="J23" s="4">
        <f t="shared" si="0"/>
        <v>0</v>
      </c>
    </row>
    <row r="24" spans="1:16" x14ac:dyDescent="0.3">
      <c r="A24" s="99" t="s">
        <v>120</v>
      </c>
      <c r="B24" s="100">
        <v>0.04</v>
      </c>
      <c r="C24" s="100">
        <v>0.04</v>
      </c>
      <c r="D24" s="101"/>
      <c r="E24" s="101"/>
      <c r="F24" s="101"/>
      <c r="G24" s="101"/>
      <c r="H24" s="4">
        <f>PREÇOS!D25</f>
        <v>11.814100000000002</v>
      </c>
      <c r="I24" s="4">
        <f t="shared" si="1"/>
        <v>0</v>
      </c>
      <c r="J24" s="4">
        <f t="shared" si="0"/>
        <v>0</v>
      </c>
    </row>
    <row r="25" spans="1:16" x14ac:dyDescent="0.3">
      <c r="A25" s="99" t="s">
        <v>121</v>
      </c>
      <c r="B25" s="100">
        <v>0.04</v>
      </c>
      <c r="C25" s="100">
        <v>0.04</v>
      </c>
      <c r="D25" s="101"/>
      <c r="E25" s="101"/>
      <c r="F25" s="101"/>
      <c r="G25" s="101"/>
      <c r="H25" s="4">
        <f>PREÇOS!D26</f>
        <v>11.814100000000002</v>
      </c>
      <c r="I25" s="4">
        <f t="shared" si="1"/>
        <v>0</v>
      </c>
      <c r="J25" s="4">
        <f t="shared" si="0"/>
        <v>0</v>
      </c>
    </row>
    <row r="26" spans="1:16" x14ac:dyDescent="0.3">
      <c r="A26" s="99" t="s">
        <v>122</v>
      </c>
      <c r="B26" s="100">
        <v>0.04</v>
      </c>
      <c r="C26" s="100">
        <v>0.04</v>
      </c>
      <c r="D26" s="101"/>
      <c r="E26" s="101"/>
      <c r="F26" s="101"/>
      <c r="G26" s="101"/>
      <c r="H26" s="4">
        <f>PREÇOS!D27</f>
        <v>11.814100000000002</v>
      </c>
      <c r="I26" s="4">
        <f t="shared" si="1"/>
        <v>0</v>
      </c>
      <c r="J26" s="4">
        <f t="shared" si="0"/>
        <v>0</v>
      </c>
    </row>
    <row r="27" spans="1:16" x14ac:dyDescent="0.3">
      <c r="A27" s="99" t="s">
        <v>123</v>
      </c>
      <c r="B27" s="100">
        <v>0.04</v>
      </c>
      <c r="C27" s="100">
        <v>0.18</v>
      </c>
      <c r="D27" s="101">
        <v>0.48320000000000002</v>
      </c>
      <c r="E27" s="101"/>
      <c r="F27" s="101">
        <v>0.61799999999999999</v>
      </c>
      <c r="G27" s="101"/>
      <c r="H27" s="4">
        <f>PREÇOS!D28</f>
        <v>11.814100000000002</v>
      </c>
      <c r="I27" s="4">
        <f t="shared" ref="I27:I30" si="2">IF(F27=0,,H27*(1+F27)*C27-(H27*B27))</f>
        <v>2.9681744840000004</v>
      </c>
      <c r="J27" s="4">
        <f t="shared" ref="J27:J30" si="3">IF(G27=0,IF(F27=0,,H27*(1+F27)*C27-(H27*B27)),H27*(1+G27)*C27-(H27*B27))</f>
        <v>2.9681744840000004</v>
      </c>
      <c r="L27" s="6"/>
      <c r="N27" s="6"/>
      <c r="P27" s="6"/>
    </row>
    <row r="28" spans="1:16" x14ac:dyDescent="0.3">
      <c r="A28" s="102" t="s">
        <v>124</v>
      </c>
      <c r="B28" s="103">
        <f>B27</f>
        <v>0.04</v>
      </c>
      <c r="C28" s="103">
        <f t="shared" ref="C28:G28" si="4">C27</f>
        <v>0.18</v>
      </c>
      <c r="D28" s="69">
        <f t="shared" si="4"/>
        <v>0.48320000000000002</v>
      </c>
      <c r="E28" s="103">
        <f t="shared" si="4"/>
        <v>0</v>
      </c>
      <c r="F28" s="69">
        <f t="shared" si="4"/>
        <v>0.61799999999999999</v>
      </c>
      <c r="G28" s="103">
        <f t="shared" si="4"/>
        <v>0</v>
      </c>
      <c r="H28" s="96">
        <f>PREÇOS!D29</f>
        <v>11.814100000000002</v>
      </c>
      <c r="I28" s="96">
        <f t="shared" si="2"/>
        <v>2.9681744840000004</v>
      </c>
      <c r="J28" s="96">
        <f t="shared" si="3"/>
        <v>2.9681744840000004</v>
      </c>
      <c r="L28" s="6"/>
      <c r="N28" s="6"/>
      <c r="P28" s="6"/>
    </row>
    <row r="29" spans="1:16" x14ac:dyDescent="0.3">
      <c r="A29" s="99" t="s">
        <v>125</v>
      </c>
      <c r="B29" s="100">
        <v>0.04</v>
      </c>
      <c r="C29" s="100">
        <v>0.04</v>
      </c>
      <c r="D29" s="101"/>
      <c r="E29" s="101"/>
      <c r="F29" s="101"/>
      <c r="G29" s="101"/>
      <c r="H29" s="4">
        <f>PREÇOS!D30</f>
        <v>11.814100000000002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126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v>7.0000000000000007E-2</v>
      </c>
      <c r="C2" s="107">
        <v>7.0000000000000007E-2</v>
      </c>
      <c r="D2" s="101"/>
      <c r="E2" s="101"/>
      <c r="F2" s="101"/>
      <c r="G2" s="101"/>
      <c r="H2" s="7">
        <f>PREÇOS!E3</f>
        <v>7.93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99" t="s">
        <v>100</v>
      </c>
      <c r="B3" s="107">
        <v>7.0000000000000007E-2</v>
      </c>
      <c r="C3" s="107">
        <v>0.19</v>
      </c>
      <c r="D3" s="101">
        <v>0.2</v>
      </c>
      <c r="E3" s="101"/>
      <c r="F3" s="101">
        <v>0.36099999999999999</v>
      </c>
      <c r="G3" s="101"/>
      <c r="H3" s="7">
        <f>PREÇOS!E4</f>
        <v>7.93</v>
      </c>
      <c r="I3" s="4">
        <f t="shared" si="0"/>
        <v>1.4955186999999999</v>
      </c>
      <c r="J3" s="4">
        <f t="shared" si="1"/>
        <v>1.4955186999999999</v>
      </c>
    </row>
    <row r="4" spans="1:10" x14ac:dyDescent="0.3">
      <c r="A4" s="99" t="s">
        <v>101</v>
      </c>
      <c r="B4" s="107">
        <v>7.0000000000000007E-2</v>
      </c>
      <c r="C4" s="107">
        <v>7.0000000000000007E-2</v>
      </c>
      <c r="D4" s="101"/>
      <c r="E4" s="101"/>
      <c r="F4" s="101"/>
      <c r="G4" s="101"/>
      <c r="H4" s="7">
        <f>PREÇOS!E5</f>
        <v>7.93</v>
      </c>
      <c r="I4" s="4">
        <f t="shared" si="0"/>
        <v>0</v>
      </c>
      <c r="J4" s="4">
        <f t="shared" si="1"/>
        <v>0</v>
      </c>
    </row>
    <row r="5" spans="1:10" x14ac:dyDescent="0.3">
      <c r="A5" s="99" t="s">
        <v>102</v>
      </c>
      <c r="B5" s="107">
        <v>7.0000000000000007E-2</v>
      </c>
      <c r="C5" s="107">
        <v>0.18</v>
      </c>
      <c r="D5" s="101">
        <v>0.38</v>
      </c>
      <c r="E5" s="101"/>
      <c r="F5" s="101">
        <v>0.56510000000000005</v>
      </c>
      <c r="G5" s="101"/>
      <c r="H5" s="7">
        <f>PREÇOS!E6</f>
        <v>7.93</v>
      </c>
      <c r="I5" s="4">
        <f t="shared" si="0"/>
        <v>1.6789237400000001</v>
      </c>
      <c r="J5" s="4">
        <f t="shared" si="1"/>
        <v>1.6789237400000001</v>
      </c>
    </row>
    <row r="6" spans="1:10" x14ac:dyDescent="0.3">
      <c r="A6" s="99" t="s">
        <v>103</v>
      </c>
      <c r="B6" s="107">
        <v>7.0000000000000007E-2</v>
      </c>
      <c r="C6" s="107">
        <v>7.0000000000000007E-2</v>
      </c>
      <c r="D6" s="101"/>
      <c r="E6" s="101"/>
      <c r="F6" s="101"/>
      <c r="G6" s="101"/>
      <c r="H6" s="7">
        <f>PREÇOS!E7</f>
        <v>7.93</v>
      </c>
      <c r="I6" s="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v>7.0000000000000007E-2</v>
      </c>
      <c r="C7" s="107">
        <v>7.0000000000000007E-2</v>
      </c>
      <c r="D7" s="101"/>
      <c r="E7" s="101"/>
      <c r="F7" s="101"/>
      <c r="G7" s="101"/>
      <c r="H7" s="7">
        <f>PREÇOS!E8</f>
        <v>7.93</v>
      </c>
      <c r="I7" s="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v>7.0000000000000007E-2</v>
      </c>
      <c r="C8" s="107">
        <v>7.0000000000000007E-2</v>
      </c>
      <c r="D8" s="101"/>
      <c r="E8" s="101"/>
      <c r="F8" s="101"/>
      <c r="G8" s="101"/>
      <c r="H8" s="7">
        <f>PREÇOS!E9</f>
        <v>7.93</v>
      </c>
      <c r="I8" s="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v>7.0000000000000007E-2</v>
      </c>
      <c r="C9" s="100">
        <v>7.0000000000000007E-2</v>
      </c>
      <c r="D9" s="101"/>
      <c r="E9" s="101"/>
      <c r="F9" s="101"/>
      <c r="G9" s="101"/>
      <c r="H9" s="7">
        <f>PREÇOS!E10</f>
        <v>7.93</v>
      </c>
      <c r="I9" s="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v>7.0000000000000007E-2</v>
      </c>
      <c r="C10" s="100">
        <v>7.0000000000000007E-2</v>
      </c>
      <c r="D10" s="101"/>
      <c r="E10" s="101"/>
      <c r="F10" s="101"/>
      <c r="G10" s="101"/>
      <c r="H10" s="7">
        <f>PREÇOS!E11</f>
        <v>7.93</v>
      </c>
      <c r="I10" s="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v>7.0000000000000007E-2</v>
      </c>
      <c r="C11" s="100">
        <v>7.0000000000000007E-2</v>
      </c>
      <c r="D11" s="101"/>
      <c r="E11" s="101"/>
      <c r="F11" s="101"/>
      <c r="G11" s="101"/>
      <c r="H11" s="7">
        <f>PREÇOS!E12</f>
        <v>7.93</v>
      </c>
      <c r="I11" s="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v>0.12</v>
      </c>
      <c r="C12" s="100">
        <v>0.18</v>
      </c>
      <c r="D12" s="101">
        <v>0.35</v>
      </c>
      <c r="E12" s="101"/>
      <c r="F12" s="101">
        <v>0.35</v>
      </c>
      <c r="G12" s="101"/>
      <c r="H12" s="7">
        <f>PREÇOS!E13</f>
        <v>8.4499999999999993</v>
      </c>
      <c r="I12" s="4">
        <f t="shared" si="0"/>
        <v>1.0393500000000002</v>
      </c>
      <c r="J12" s="4">
        <f t="shared" si="1"/>
        <v>1.0393500000000002</v>
      </c>
    </row>
    <row r="13" spans="1:10" x14ac:dyDescent="0.3">
      <c r="A13" s="99" t="s">
        <v>110</v>
      </c>
      <c r="B13" s="107">
        <v>7.0000000000000007E-2</v>
      </c>
      <c r="C13" s="100">
        <v>7.0000000000000007E-2</v>
      </c>
      <c r="D13" s="101"/>
      <c r="E13" s="101"/>
      <c r="F13" s="101"/>
      <c r="G13" s="101"/>
      <c r="H13" s="7">
        <f>PREÇOS!E14</f>
        <v>7.93</v>
      </c>
      <c r="I13" s="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v>7.0000000000000007E-2</v>
      </c>
      <c r="C14" s="100">
        <v>0.17</v>
      </c>
      <c r="D14" s="101">
        <v>0.35449999999999998</v>
      </c>
      <c r="E14" s="101"/>
      <c r="F14" s="101">
        <v>0.35449999999999998</v>
      </c>
      <c r="G14" s="101"/>
      <c r="H14" s="7">
        <f>PREÇOS!E15</f>
        <v>7.93</v>
      </c>
      <c r="I14" s="4">
        <f t="shared" si="0"/>
        <v>1.2709014500000002</v>
      </c>
      <c r="J14" s="4">
        <f t="shared" si="1"/>
        <v>1.2709014500000002</v>
      </c>
    </row>
    <row r="15" spans="1:10" x14ac:dyDescent="0.3">
      <c r="A15" s="99" t="s">
        <v>112</v>
      </c>
      <c r="B15" s="107">
        <v>7.0000000000000007E-2</v>
      </c>
      <c r="C15" s="100">
        <v>7.0000000000000007E-2</v>
      </c>
      <c r="D15" s="101"/>
      <c r="E15" s="101"/>
      <c r="F15" s="101"/>
      <c r="G15" s="101"/>
      <c r="H15" s="7">
        <f>PREÇOS!E16</f>
        <v>7.93</v>
      </c>
      <c r="I15" s="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v>7.0000000000000007E-2</v>
      </c>
      <c r="C16" s="100">
        <v>7.0000000000000007E-2</v>
      </c>
      <c r="D16" s="101"/>
      <c r="E16" s="101"/>
      <c r="F16" s="101"/>
      <c r="G16" s="101"/>
      <c r="H16" s="7">
        <f>PREÇOS!E17</f>
        <v>7.93</v>
      </c>
      <c r="I16" s="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v>7.0000000000000007E-2</v>
      </c>
      <c r="C17" s="100">
        <v>7.0000000000000007E-2</v>
      </c>
      <c r="D17" s="101"/>
      <c r="E17" s="101"/>
      <c r="F17" s="101"/>
      <c r="G17" s="101"/>
      <c r="H17" s="7">
        <f>PREÇOS!E18</f>
        <v>7.93</v>
      </c>
      <c r="I17" s="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v>7.0000000000000007E-2</v>
      </c>
      <c r="C18" s="100">
        <v>7.0000000000000007E-2</v>
      </c>
      <c r="D18" s="101"/>
      <c r="E18" s="101"/>
      <c r="F18" s="101"/>
      <c r="G18" s="101"/>
      <c r="H18" s="7">
        <f>PREÇOS!E19</f>
        <v>7.93</v>
      </c>
      <c r="I18" s="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0">
        <v>0.12</v>
      </c>
      <c r="D19" s="101"/>
      <c r="E19" s="101"/>
      <c r="F19" s="101"/>
      <c r="G19" s="101"/>
      <c r="H19" s="7">
        <f>PREÇOS!E20</f>
        <v>8.4499999999999993</v>
      </c>
      <c r="I19" s="4">
        <f t="shared" si="0"/>
        <v>0</v>
      </c>
      <c r="J19" s="4">
        <f t="shared" si="1"/>
        <v>0</v>
      </c>
    </row>
    <row r="20" spans="1:10" x14ac:dyDescent="0.3">
      <c r="A20" s="99" t="s">
        <v>116</v>
      </c>
      <c r="B20" s="107">
        <v>0.12</v>
      </c>
      <c r="C20" s="100">
        <v>0.12</v>
      </c>
      <c r="D20" s="101"/>
      <c r="E20" s="101"/>
      <c r="F20" s="101"/>
      <c r="G20" s="101"/>
      <c r="H20" s="7">
        <f>PREÇOS!E21</f>
        <v>8.4499999999999993</v>
      </c>
      <c r="I20" s="4">
        <f t="shared" si="0"/>
        <v>0</v>
      </c>
      <c r="J20" s="4">
        <f t="shared" si="1"/>
        <v>0</v>
      </c>
    </row>
    <row r="21" spans="1:10" x14ac:dyDescent="0.3">
      <c r="A21" s="99" t="s">
        <v>117</v>
      </c>
      <c r="B21" s="107">
        <v>7.0000000000000007E-2</v>
      </c>
      <c r="C21" s="100">
        <v>7.0000000000000007E-2</v>
      </c>
      <c r="D21" s="101"/>
      <c r="E21" s="101"/>
      <c r="F21" s="101"/>
      <c r="G21" s="101"/>
      <c r="H21" s="7">
        <f>PREÇOS!E22</f>
        <v>7.93</v>
      </c>
      <c r="I21" s="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v>7.0000000000000007E-2</v>
      </c>
      <c r="C22" s="100">
        <v>7.0000000000000007E-2</v>
      </c>
      <c r="D22" s="101"/>
      <c r="E22" s="101"/>
      <c r="F22" s="101"/>
      <c r="G22" s="101"/>
      <c r="H22" s="7">
        <f>PREÇOS!E23</f>
        <v>7.93</v>
      </c>
      <c r="I22" s="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v>7.0000000000000007E-2</v>
      </c>
      <c r="C23" s="100">
        <v>7.0000000000000007E-2</v>
      </c>
      <c r="D23" s="101"/>
      <c r="E23" s="101"/>
      <c r="F23" s="101"/>
      <c r="G23" s="101"/>
      <c r="H23" s="7">
        <f>PREÇOS!E24</f>
        <v>7.93</v>
      </c>
      <c r="I23" s="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v>0.12</v>
      </c>
      <c r="C24" s="100">
        <v>0.12</v>
      </c>
      <c r="D24" s="101"/>
      <c r="E24" s="101"/>
      <c r="F24" s="101"/>
      <c r="G24" s="101"/>
      <c r="H24" s="7">
        <f>PREÇOS!E25</f>
        <v>8.4499999999999993</v>
      </c>
      <c r="I24" s="4">
        <f t="shared" si="0"/>
        <v>0</v>
      </c>
      <c r="J24" s="4">
        <f t="shared" si="1"/>
        <v>0</v>
      </c>
    </row>
    <row r="25" spans="1:10" x14ac:dyDescent="0.3">
      <c r="A25" s="99" t="s">
        <v>121</v>
      </c>
      <c r="B25" s="107">
        <v>0.12</v>
      </c>
      <c r="C25" s="100">
        <v>0.12</v>
      </c>
      <c r="D25" s="101"/>
      <c r="E25" s="101"/>
      <c r="F25" s="101"/>
      <c r="G25" s="101"/>
      <c r="H25" s="7">
        <f>PREÇOS!E26</f>
        <v>8.4499999999999993</v>
      </c>
      <c r="I25" s="4">
        <f t="shared" si="0"/>
        <v>0</v>
      </c>
      <c r="J25" s="4">
        <f t="shared" si="1"/>
        <v>0</v>
      </c>
    </row>
    <row r="26" spans="1:10" x14ac:dyDescent="0.3">
      <c r="A26" s="99" t="s">
        <v>122</v>
      </c>
      <c r="B26" s="107">
        <v>7.0000000000000007E-2</v>
      </c>
      <c r="C26" s="100">
        <v>7.0000000000000007E-2</v>
      </c>
      <c r="D26" s="101"/>
      <c r="E26" s="101"/>
      <c r="F26" s="101"/>
      <c r="G26" s="101"/>
      <c r="H26" s="7">
        <f>PREÇOS!E27</f>
        <v>7.93</v>
      </c>
      <c r="I26" s="4">
        <f t="shared" si="0"/>
        <v>0</v>
      </c>
      <c r="J26" s="4">
        <f t="shared" si="1"/>
        <v>0</v>
      </c>
    </row>
    <row r="27" spans="1:10" x14ac:dyDescent="0.3">
      <c r="A27" s="99" t="s">
        <v>123</v>
      </c>
      <c r="B27" s="107">
        <v>0.12</v>
      </c>
      <c r="C27" s="100">
        <v>0.12</v>
      </c>
      <c r="D27" s="101"/>
      <c r="E27" s="101"/>
      <c r="F27" s="101"/>
      <c r="G27" s="101"/>
      <c r="H27" s="7">
        <f>PREÇOS!E28</f>
        <v>8.4499999999999993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4">C27</f>
        <v>0.12</v>
      </c>
      <c r="D28" s="70">
        <f t="shared" si="4"/>
        <v>0</v>
      </c>
      <c r="E28" s="70">
        <f t="shared" si="4"/>
        <v>0</v>
      </c>
      <c r="F28" s="70">
        <f t="shared" si="4"/>
        <v>0</v>
      </c>
      <c r="G28" s="70">
        <f t="shared" si="4"/>
        <v>0</v>
      </c>
      <c r="H28" s="97">
        <f>PREÇOS!E29</f>
        <v>8.4499999999999993</v>
      </c>
      <c r="I28" s="96">
        <f t="shared" si="2"/>
        <v>0</v>
      </c>
      <c r="J28" s="96">
        <f t="shared" si="3"/>
        <v>0</v>
      </c>
    </row>
    <row r="29" spans="1:10" x14ac:dyDescent="0.3">
      <c r="A29" s="99" t="s">
        <v>125</v>
      </c>
      <c r="B29" s="107">
        <v>7.0000000000000007E-2</v>
      </c>
      <c r="C29" s="100">
        <v>7.0000000000000007E-2</v>
      </c>
      <c r="D29" s="101"/>
      <c r="E29" s="101"/>
      <c r="F29" s="101"/>
      <c r="G29" s="101"/>
      <c r="H29" s="7">
        <f>PREÇOS!E30</f>
        <v>7.93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126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v>7.0000000000000007E-2</v>
      </c>
      <c r="C2" s="107">
        <v>7.0000000000000007E-2</v>
      </c>
      <c r="D2" s="101"/>
      <c r="E2" s="101"/>
      <c r="F2" s="101"/>
      <c r="G2" s="101"/>
      <c r="H2" s="4">
        <f>PREÇOS!C3</f>
        <v>3.57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99" t="s">
        <v>100</v>
      </c>
      <c r="B3" s="107">
        <v>7.0000000000000007E-2</v>
      </c>
      <c r="C3" s="107">
        <v>0.19</v>
      </c>
      <c r="D3" s="101">
        <v>0.54320000000000002</v>
      </c>
      <c r="E3" s="101"/>
      <c r="F3" s="101">
        <v>0.79400000000000004</v>
      </c>
      <c r="G3" s="101"/>
      <c r="H3" s="4">
        <f>PREÇOS!C4</f>
        <v>3.57</v>
      </c>
      <c r="I3" s="4">
        <f t="shared" ref="I3:I26" si="0">IF(F3=0,,H3*(1+F3)*C3-(H3*B3))</f>
        <v>0.9669702</v>
      </c>
      <c r="J3" s="4">
        <f t="shared" ref="J3:J26" si="1">IF(G3=0,IF(F3=0,,H3*(1+F3)*C3-(H3*B3)),H3*(1+G3)*C3-(H3*B3))</f>
        <v>0.9669702</v>
      </c>
    </row>
    <row r="4" spans="1:10" x14ac:dyDescent="0.3">
      <c r="A4" s="99" t="s">
        <v>101</v>
      </c>
      <c r="B4" s="107">
        <v>7.0000000000000007E-2</v>
      </c>
      <c r="C4" s="107">
        <v>0.18</v>
      </c>
      <c r="D4" s="101"/>
      <c r="E4" s="101"/>
      <c r="F4" s="101"/>
      <c r="G4" s="101"/>
      <c r="H4" s="4">
        <f>PREÇOS!C5</f>
        <v>3.57</v>
      </c>
      <c r="I4" s="4">
        <f t="shared" si="0"/>
        <v>0</v>
      </c>
      <c r="J4" s="4">
        <f t="shared" si="1"/>
        <v>0</v>
      </c>
    </row>
    <row r="5" spans="1:10" x14ac:dyDescent="0.3">
      <c r="A5" s="99" t="s">
        <v>102</v>
      </c>
      <c r="B5" s="107">
        <v>7.0000000000000007E-2</v>
      </c>
      <c r="C5" s="107">
        <v>0.18</v>
      </c>
      <c r="D5" s="101">
        <v>0.41</v>
      </c>
      <c r="E5" s="101"/>
      <c r="F5" s="101">
        <v>0.59909999999999997</v>
      </c>
      <c r="G5" s="101"/>
      <c r="H5" s="4">
        <f>PREÇOS!C6</f>
        <v>3.57</v>
      </c>
      <c r="I5" s="4">
        <f t="shared" si="0"/>
        <v>0.77768166000000005</v>
      </c>
      <c r="J5" s="4">
        <f t="shared" si="1"/>
        <v>0.77768166000000005</v>
      </c>
    </row>
    <row r="6" spans="1:10" x14ac:dyDescent="0.3">
      <c r="A6" s="99" t="s">
        <v>103</v>
      </c>
      <c r="B6" s="107">
        <v>7.0000000000000007E-2</v>
      </c>
      <c r="C6" s="107">
        <v>7.0000000000000007E-2</v>
      </c>
      <c r="D6" s="101"/>
      <c r="E6" s="101"/>
      <c r="F6" s="101"/>
      <c r="G6" s="101"/>
      <c r="H6" s="4">
        <f>PREÇOS!C7</f>
        <v>3.57</v>
      </c>
      <c r="I6" s="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v>7.0000000000000007E-2</v>
      </c>
      <c r="C7" s="107">
        <v>7.0000000000000007E-2</v>
      </c>
      <c r="D7" s="101"/>
      <c r="E7" s="101"/>
      <c r="F7" s="101"/>
      <c r="G7" s="101"/>
      <c r="H7" s="4">
        <f>PREÇOS!C8</f>
        <v>3.57</v>
      </c>
      <c r="I7" s="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v>7.0000000000000007E-2</v>
      </c>
      <c r="C8" s="107">
        <v>7.0000000000000007E-2</v>
      </c>
      <c r="D8" s="101"/>
      <c r="E8" s="101"/>
      <c r="F8" s="101"/>
      <c r="G8" s="101"/>
      <c r="H8" s="4">
        <f>PREÇOS!C9</f>
        <v>3.57</v>
      </c>
      <c r="I8" s="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v>7.0000000000000007E-2</v>
      </c>
      <c r="C9" s="100">
        <v>7.0000000000000007E-2</v>
      </c>
      <c r="D9" s="101"/>
      <c r="E9" s="101"/>
      <c r="F9" s="101"/>
      <c r="G9" s="101"/>
      <c r="H9" s="4">
        <f>PREÇOS!C10</f>
        <v>3.57</v>
      </c>
      <c r="I9" s="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v>7.0000000000000007E-2</v>
      </c>
      <c r="C10" s="100">
        <v>7.0000000000000007E-2</v>
      </c>
      <c r="D10" s="101"/>
      <c r="E10" s="101"/>
      <c r="F10" s="101"/>
      <c r="G10" s="101"/>
      <c r="H10" s="4">
        <f>PREÇOS!C11</f>
        <v>3.57</v>
      </c>
      <c r="I10" s="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v>7.0000000000000007E-2</v>
      </c>
      <c r="C11" s="100">
        <v>7.0000000000000007E-2</v>
      </c>
      <c r="D11" s="101"/>
      <c r="E11" s="101"/>
      <c r="F11" s="101"/>
      <c r="G11" s="101"/>
      <c r="H11" s="4">
        <f>PREÇOS!C12</f>
        <v>3.57</v>
      </c>
      <c r="I11" s="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v>0.12</v>
      </c>
      <c r="C12" s="100">
        <v>0.18</v>
      </c>
      <c r="D12" s="101">
        <v>0.4</v>
      </c>
      <c r="E12" s="101"/>
      <c r="F12" s="101">
        <v>0.50239999999999996</v>
      </c>
      <c r="G12" s="101"/>
      <c r="H12" s="4">
        <f>PREÇOS!C13</f>
        <v>3.78</v>
      </c>
      <c r="I12" s="4">
        <f t="shared" si="0"/>
        <v>0.56863295999999997</v>
      </c>
      <c r="J12" s="4">
        <f t="shared" si="1"/>
        <v>0.56863295999999997</v>
      </c>
    </row>
    <row r="13" spans="1:10" x14ac:dyDescent="0.3">
      <c r="A13" s="99" t="s">
        <v>110</v>
      </c>
      <c r="B13" s="107">
        <v>7.0000000000000007E-2</v>
      </c>
      <c r="C13" s="100">
        <v>7.0000000000000007E-2</v>
      </c>
      <c r="D13" s="101"/>
      <c r="E13" s="101"/>
      <c r="F13" s="101"/>
      <c r="G13" s="101"/>
      <c r="H13" s="4">
        <f>PREÇOS!C14</f>
        <v>3.57</v>
      </c>
      <c r="I13" s="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v>7.0000000000000007E-2</v>
      </c>
      <c r="C14" s="100">
        <v>0.17</v>
      </c>
      <c r="D14" s="101">
        <v>0.45519999999999999</v>
      </c>
      <c r="E14" s="101"/>
      <c r="F14" s="101">
        <v>0.63049999999999995</v>
      </c>
      <c r="G14" s="101"/>
      <c r="H14" s="4">
        <f>PREÇOS!C15</f>
        <v>3.57</v>
      </c>
      <c r="I14" s="4">
        <f t="shared" si="0"/>
        <v>0.73965044999999996</v>
      </c>
      <c r="J14" s="4">
        <f t="shared" si="1"/>
        <v>0.73965044999999996</v>
      </c>
    </row>
    <row r="15" spans="1:10" x14ac:dyDescent="0.3">
      <c r="A15" s="99" t="s">
        <v>112</v>
      </c>
      <c r="B15" s="107">
        <v>7.0000000000000007E-2</v>
      </c>
      <c r="C15" s="100">
        <v>7.0000000000000007E-2</v>
      </c>
      <c r="D15" s="101"/>
      <c r="E15" s="101"/>
      <c r="F15" s="101"/>
      <c r="G15" s="101"/>
      <c r="H15" s="4">
        <f>PREÇOS!C16</f>
        <v>3.57</v>
      </c>
      <c r="I15" s="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v>7.0000000000000007E-2</v>
      </c>
      <c r="C16" s="100">
        <v>7.0000000000000007E-2</v>
      </c>
      <c r="D16" s="101"/>
      <c r="E16" s="101"/>
      <c r="F16" s="101"/>
      <c r="G16" s="101"/>
      <c r="H16" s="4">
        <f>PREÇOS!C17</f>
        <v>3.57</v>
      </c>
      <c r="I16" s="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v>7.0000000000000007E-2</v>
      </c>
      <c r="C17" s="100">
        <v>7.0000000000000007E-2</v>
      </c>
      <c r="D17" s="101"/>
      <c r="E17" s="101"/>
      <c r="F17" s="101"/>
      <c r="G17" s="101"/>
      <c r="H17" s="4">
        <f>PREÇOS!C18</f>
        <v>3.57</v>
      </c>
      <c r="I17" s="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v>7.0000000000000007E-2</v>
      </c>
      <c r="C18" s="100">
        <v>7.0000000000000007E-2</v>
      </c>
      <c r="D18" s="101"/>
      <c r="E18" s="101"/>
      <c r="F18" s="101"/>
      <c r="G18" s="101"/>
      <c r="H18" s="4">
        <f>PREÇOS!C19</f>
        <v>3.57</v>
      </c>
      <c r="I18" s="4">
        <f t="shared" si="0"/>
        <v>0</v>
      </c>
      <c r="J18" s="4">
        <f t="shared" si="1"/>
        <v>0</v>
      </c>
    </row>
    <row r="19" spans="1:10" x14ac:dyDescent="0.3">
      <c r="A19" s="102" t="s">
        <v>6</v>
      </c>
      <c r="B19" s="70">
        <v>0.12</v>
      </c>
      <c r="C19" s="103">
        <v>0.19500000000000001</v>
      </c>
      <c r="D19" s="69">
        <v>0.54320000000000002</v>
      </c>
      <c r="E19" s="69">
        <v>0.16300000000000001</v>
      </c>
      <c r="F19" s="69">
        <v>0.68700000000000006</v>
      </c>
      <c r="G19" s="69">
        <v>0.1968</v>
      </c>
      <c r="H19" s="4">
        <f>PREÇOS!C20</f>
        <v>3.78</v>
      </c>
      <c r="I19" s="4">
        <f t="shared" si="0"/>
        <v>0.78988769999999997</v>
      </c>
      <c r="J19" s="4">
        <f t="shared" si="1"/>
        <v>0.4285612800000001</v>
      </c>
    </row>
    <row r="20" spans="1:10" x14ac:dyDescent="0.3">
      <c r="A20" s="102" t="s">
        <v>116</v>
      </c>
      <c r="B20" s="70">
        <v>0.12</v>
      </c>
      <c r="C20" s="103">
        <v>0.22</v>
      </c>
      <c r="D20" s="69">
        <v>0.4698</v>
      </c>
      <c r="E20" s="69"/>
      <c r="F20" s="69">
        <v>0.65820000000000001</v>
      </c>
      <c r="G20" s="69"/>
      <c r="H20" s="4">
        <f>PREÇOS!C21</f>
        <v>3.78</v>
      </c>
      <c r="I20" s="4">
        <f t="shared" si="0"/>
        <v>0.92535911999999976</v>
      </c>
      <c r="J20" s="4">
        <f t="shared" si="1"/>
        <v>0.92535911999999976</v>
      </c>
    </row>
    <row r="21" spans="1:10" x14ac:dyDescent="0.3">
      <c r="A21" s="99" t="s">
        <v>117</v>
      </c>
      <c r="B21" s="107">
        <v>7.0000000000000007E-2</v>
      </c>
      <c r="C21" s="100">
        <v>7.0000000000000007E-2</v>
      </c>
      <c r="D21" s="101"/>
      <c r="E21" s="101"/>
      <c r="F21" s="101"/>
      <c r="G21" s="101"/>
      <c r="H21" s="4">
        <f>PREÇOS!C22</f>
        <v>3.57</v>
      </c>
      <c r="I21" s="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v>7.0000000000000007E-2</v>
      </c>
      <c r="C22" s="100">
        <v>7.0000000000000007E-2</v>
      </c>
      <c r="D22" s="101"/>
      <c r="E22" s="101"/>
      <c r="F22" s="101"/>
      <c r="G22" s="101"/>
      <c r="H22" s="4">
        <f>PREÇOS!C23</f>
        <v>3.57</v>
      </c>
      <c r="I22" s="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v>7.0000000000000007E-2</v>
      </c>
      <c r="C23" s="100">
        <v>7.0000000000000007E-2</v>
      </c>
      <c r="D23" s="101"/>
      <c r="E23" s="101"/>
      <c r="F23" s="101"/>
      <c r="G23" s="101"/>
      <c r="H23" s="4">
        <f>PREÇOS!C24</f>
        <v>3.57</v>
      </c>
      <c r="I23" s="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v>0.12</v>
      </c>
      <c r="C24" s="100">
        <v>0.12</v>
      </c>
      <c r="D24" s="101"/>
      <c r="E24" s="101"/>
      <c r="F24" s="101"/>
      <c r="G24" s="101"/>
      <c r="H24" s="4">
        <f>PREÇOS!C25</f>
        <v>3.78</v>
      </c>
      <c r="I24" s="4">
        <f t="shared" si="0"/>
        <v>0</v>
      </c>
      <c r="J24" s="4">
        <f t="shared" si="1"/>
        <v>0</v>
      </c>
    </row>
    <row r="25" spans="1:10" x14ac:dyDescent="0.3">
      <c r="A25" s="99" t="s">
        <v>121</v>
      </c>
      <c r="B25" s="107">
        <v>0.12</v>
      </c>
      <c r="C25" s="100">
        <v>0.12</v>
      </c>
      <c r="D25" s="101"/>
      <c r="E25" s="101"/>
      <c r="F25" s="101"/>
      <c r="G25" s="101"/>
      <c r="H25" s="4">
        <f>PREÇOS!C26</f>
        <v>3.78</v>
      </c>
      <c r="I25" s="4">
        <f t="shared" si="0"/>
        <v>0</v>
      </c>
      <c r="J25" s="4">
        <f t="shared" si="1"/>
        <v>0</v>
      </c>
    </row>
    <row r="26" spans="1:10" x14ac:dyDescent="0.3">
      <c r="A26" s="99" t="s">
        <v>122</v>
      </c>
      <c r="B26" s="107">
        <v>7.0000000000000007E-2</v>
      </c>
      <c r="C26" s="100">
        <v>7.0000000000000007E-2</v>
      </c>
      <c r="D26" s="101"/>
      <c r="E26" s="101"/>
      <c r="F26" s="101"/>
      <c r="G26" s="101"/>
      <c r="H26" s="4">
        <f>PREÇOS!C27</f>
        <v>3.57</v>
      </c>
      <c r="I26" s="4">
        <f t="shared" si="0"/>
        <v>0</v>
      </c>
      <c r="J26" s="4">
        <f t="shared" si="1"/>
        <v>0</v>
      </c>
    </row>
    <row r="27" spans="1:10" x14ac:dyDescent="0.3">
      <c r="A27" s="99" t="s">
        <v>123</v>
      </c>
      <c r="B27" s="107">
        <v>0.12</v>
      </c>
      <c r="C27" s="100">
        <v>0.18</v>
      </c>
      <c r="D27" s="101"/>
      <c r="E27" s="101"/>
      <c r="F27" s="101"/>
      <c r="G27" s="101"/>
      <c r="H27" s="4">
        <f>PREÇOS!C28</f>
        <v>3.78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02" t="s">
        <v>124</v>
      </c>
      <c r="B28" s="70">
        <f>B27</f>
        <v>0.12</v>
      </c>
      <c r="C28" s="70">
        <f t="shared" ref="C28" si="4">C27</f>
        <v>0.18</v>
      </c>
      <c r="D28" s="69"/>
      <c r="E28" s="69"/>
      <c r="F28" s="69"/>
      <c r="G28" s="70"/>
      <c r="H28" s="96">
        <f>PREÇOS!C29</f>
        <v>3.78</v>
      </c>
      <c r="I28" s="96">
        <f t="shared" si="2"/>
        <v>0</v>
      </c>
      <c r="J28" s="96">
        <f t="shared" si="3"/>
        <v>0</v>
      </c>
    </row>
    <row r="29" spans="1:10" x14ac:dyDescent="0.3">
      <c r="A29" s="99" t="s">
        <v>125</v>
      </c>
      <c r="B29" s="107">
        <v>7.0000000000000007E-2</v>
      </c>
      <c r="C29" s="100">
        <v>7.0000000000000007E-2</v>
      </c>
      <c r="D29" s="101"/>
      <c r="E29" s="101"/>
      <c r="F29" s="101"/>
      <c r="G29" s="101"/>
      <c r="H29" s="4">
        <f>PREÇOS!C30</f>
        <v>3.57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126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v>7.0000000000000007E-2</v>
      </c>
      <c r="C2" s="107">
        <f>VLOOKUP(A2,[2]DIFAL!$C$13:$H$39,6,)</f>
        <v>0.19</v>
      </c>
      <c r="D2" s="101"/>
      <c r="E2" s="101"/>
      <c r="F2" s="101"/>
      <c r="G2" s="101"/>
      <c r="H2" s="37">
        <f>PREÇOS!H3</f>
        <v>7.93</v>
      </c>
      <c r="I2" s="34">
        <f t="shared" ref="I2:I26" si="0">IF(F2=0,,H2*(1+F2)*C2-(H2*B2))</f>
        <v>0</v>
      </c>
      <c r="J2" s="34">
        <f t="shared" ref="J2:J26" si="1">IF(G2=0,IF(F2=0,,H2*(1+F2)*C2-(H2*B2)),H2*(1+G2)*C2-(H2*B2))</f>
        <v>0</v>
      </c>
    </row>
    <row r="3" spans="1:10" x14ac:dyDescent="0.3">
      <c r="A3" s="99" t="s">
        <v>100</v>
      </c>
      <c r="B3" s="107">
        <v>7.0000000000000007E-2</v>
      </c>
      <c r="C3" s="107">
        <v>0.2</v>
      </c>
      <c r="D3" s="101"/>
      <c r="E3" s="101"/>
      <c r="F3" s="101">
        <v>0.51129999999999998</v>
      </c>
      <c r="G3" s="101"/>
      <c r="H3" s="37">
        <f>PREÇOS!H4</f>
        <v>7.93</v>
      </c>
      <c r="I3" s="34">
        <f>IF(F3=0,,H3*(1+F3)*C3-(H3*B3))</f>
        <v>1.8418218</v>
      </c>
      <c r="J3" s="34">
        <f t="shared" si="1"/>
        <v>1.8418218</v>
      </c>
    </row>
    <row r="4" spans="1:10" x14ac:dyDescent="0.3">
      <c r="A4" s="99" t="s">
        <v>101</v>
      </c>
      <c r="B4" s="107">
        <v>7.0000000000000007E-2</v>
      </c>
      <c r="C4" s="107">
        <f>VLOOKUP(A4,[2]DIFAL!$C$13:$H$39,6,)</f>
        <v>0.2</v>
      </c>
      <c r="D4" s="101"/>
      <c r="E4" s="101"/>
      <c r="F4" s="101"/>
      <c r="G4" s="101"/>
      <c r="H4" s="37">
        <f>PREÇOS!H5</f>
        <v>7.93</v>
      </c>
      <c r="I4" s="34">
        <f t="shared" si="0"/>
        <v>0</v>
      </c>
      <c r="J4" s="34">
        <f t="shared" si="1"/>
        <v>0</v>
      </c>
    </row>
    <row r="5" spans="1:10" x14ac:dyDescent="0.3">
      <c r="A5" s="99" t="s">
        <v>102</v>
      </c>
      <c r="B5" s="107">
        <v>7.0000000000000007E-2</v>
      </c>
      <c r="C5" s="107">
        <f>VLOOKUP(A5,[2]DIFAL!$C$13:$H$39,5,)</f>
        <v>0.18</v>
      </c>
      <c r="D5" s="101"/>
      <c r="E5" s="101"/>
      <c r="F5" s="101">
        <v>0.51980000000000004</v>
      </c>
      <c r="G5" s="101"/>
      <c r="H5" s="37">
        <f>PREÇOS!H6</f>
        <v>7.93</v>
      </c>
      <c r="I5" s="34">
        <f t="shared" si="0"/>
        <v>1.61426252</v>
      </c>
      <c r="J5" s="34">
        <f t="shared" si="1"/>
        <v>1.61426252</v>
      </c>
    </row>
    <row r="6" spans="1:10" x14ac:dyDescent="0.3">
      <c r="A6" s="99" t="s">
        <v>103</v>
      </c>
      <c r="B6" s="107">
        <v>7.0000000000000007E-2</v>
      </c>
      <c r="C6" s="107">
        <f>VLOOKUP(A6,[2]DIFAL!$C$13:$H$39,6,)</f>
        <v>0.19</v>
      </c>
      <c r="D6" s="101"/>
      <c r="E6" s="101"/>
      <c r="F6" s="101"/>
      <c r="G6" s="101"/>
      <c r="H6" s="37">
        <f>PREÇOS!H7</f>
        <v>7.93</v>
      </c>
      <c r="I6" s="34">
        <f t="shared" si="0"/>
        <v>0</v>
      </c>
      <c r="J6" s="34">
        <f t="shared" si="1"/>
        <v>0</v>
      </c>
    </row>
    <row r="7" spans="1:10" x14ac:dyDescent="0.3">
      <c r="A7" s="99" t="s">
        <v>104</v>
      </c>
      <c r="B7" s="107">
        <v>7.0000000000000007E-2</v>
      </c>
      <c r="C7" s="107">
        <f>VLOOKUP(A7,[2]DIFAL!$C$13:$H$39,6,)</f>
        <v>0.2</v>
      </c>
      <c r="D7" s="101"/>
      <c r="E7" s="101"/>
      <c r="F7" s="101"/>
      <c r="G7" s="101"/>
      <c r="H7" s="37">
        <f>PREÇOS!H8</f>
        <v>7.93</v>
      </c>
      <c r="I7" s="34">
        <f t="shared" si="0"/>
        <v>0</v>
      </c>
      <c r="J7" s="34">
        <f t="shared" si="1"/>
        <v>0</v>
      </c>
    </row>
    <row r="8" spans="1:10" x14ac:dyDescent="0.3">
      <c r="A8" s="99" t="s">
        <v>105</v>
      </c>
      <c r="B8" s="107">
        <v>7.0000000000000007E-2</v>
      </c>
      <c r="C8" s="107">
        <f>VLOOKUP(A8,[2]DIFAL!$C$13:$H$39,5,)</f>
        <v>0.18</v>
      </c>
      <c r="D8" s="101"/>
      <c r="E8" s="101"/>
      <c r="F8" s="101"/>
      <c r="G8" s="101"/>
      <c r="H8" s="37">
        <f>PREÇOS!H9</f>
        <v>7.93</v>
      </c>
      <c r="I8" s="34">
        <f t="shared" si="0"/>
        <v>0</v>
      </c>
      <c r="J8" s="34">
        <f t="shared" si="1"/>
        <v>0</v>
      </c>
    </row>
    <row r="9" spans="1:10" x14ac:dyDescent="0.3">
      <c r="A9" s="99" t="s">
        <v>106</v>
      </c>
      <c r="B9" s="107">
        <v>7.0000000000000007E-2</v>
      </c>
      <c r="C9" s="107">
        <f>VLOOKUP(A9,[2]DIFAL!$C$13:$H$39,5,)</f>
        <v>0.17</v>
      </c>
      <c r="D9" s="101"/>
      <c r="E9" s="101"/>
      <c r="F9" s="101"/>
      <c r="G9" s="101"/>
      <c r="H9" s="37">
        <f>PREÇOS!H10</f>
        <v>7.93</v>
      </c>
      <c r="I9" s="34">
        <f t="shared" si="0"/>
        <v>0</v>
      </c>
      <c r="J9" s="34">
        <f t="shared" si="1"/>
        <v>0</v>
      </c>
    </row>
    <row r="10" spans="1:10" x14ac:dyDescent="0.3">
      <c r="A10" s="99" t="s">
        <v>107</v>
      </c>
      <c r="B10" s="107">
        <v>7.0000000000000007E-2</v>
      </c>
      <c r="C10" s="107">
        <f>VLOOKUP(A10,[2]DIFAL!$C$13:$H$39,5,)</f>
        <v>0.17</v>
      </c>
      <c r="D10" s="101"/>
      <c r="E10" s="101"/>
      <c r="F10" s="101"/>
      <c r="G10" s="101"/>
      <c r="H10" s="37">
        <f>PREÇOS!H11</f>
        <v>7.93</v>
      </c>
      <c r="I10" s="34">
        <f t="shared" si="0"/>
        <v>0</v>
      </c>
      <c r="J10" s="34">
        <f t="shared" si="1"/>
        <v>0</v>
      </c>
    </row>
    <row r="11" spans="1:10" x14ac:dyDescent="0.3">
      <c r="A11" s="99" t="s">
        <v>108</v>
      </c>
      <c r="B11" s="107">
        <v>7.0000000000000007E-2</v>
      </c>
      <c r="C11" s="107">
        <f>VLOOKUP(A11,[2]DIFAL!$C$13:$H$39,6,)</f>
        <v>0.2</v>
      </c>
      <c r="D11" s="101"/>
      <c r="E11" s="101"/>
      <c r="F11" s="101"/>
      <c r="G11" s="101"/>
      <c r="H11" s="37">
        <f>PREÇOS!H12</f>
        <v>7.93</v>
      </c>
      <c r="I11" s="34">
        <f t="shared" si="0"/>
        <v>0</v>
      </c>
      <c r="J11" s="34">
        <f t="shared" si="1"/>
        <v>0</v>
      </c>
    </row>
    <row r="12" spans="1:10" x14ac:dyDescent="0.3">
      <c r="A12" s="99" t="s">
        <v>109</v>
      </c>
      <c r="B12" s="107">
        <v>0.12</v>
      </c>
      <c r="C12" s="107">
        <v>0.12</v>
      </c>
      <c r="D12" s="101"/>
      <c r="E12" s="101"/>
      <c r="F12" s="101">
        <v>0.25</v>
      </c>
      <c r="G12" s="101"/>
      <c r="H12" s="66">
        <f>PREÇOS!H13</f>
        <v>8.4</v>
      </c>
      <c r="I12" s="68">
        <f t="shared" si="0"/>
        <v>0.252</v>
      </c>
      <c r="J12" s="68">
        <f t="shared" si="1"/>
        <v>0.252</v>
      </c>
    </row>
    <row r="13" spans="1:10" x14ac:dyDescent="0.3">
      <c r="A13" s="99" t="s">
        <v>110</v>
      </c>
      <c r="B13" s="107">
        <v>7.0000000000000007E-2</v>
      </c>
      <c r="C13" s="107">
        <f>VLOOKUP(A13,[2]DIFAL!$C$13:$H$39,5,)</f>
        <v>0.17</v>
      </c>
      <c r="D13" s="101"/>
      <c r="E13" s="101"/>
      <c r="F13" s="101"/>
      <c r="G13" s="101"/>
      <c r="H13" s="37">
        <f>PREÇOS!H14</f>
        <v>7.93</v>
      </c>
      <c r="I13" s="34">
        <f t="shared" si="0"/>
        <v>0</v>
      </c>
      <c r="J13" s="34">
        <f t="shared" si="1"/>
        <v>0</v>
      </c>
    </row>
    <row r="14" spans="1:10" x14ac:dyDescent="0.3">
      <c r="A14" s="99" t="s">
        <v>111</v>
      </c>
      <c r="B14" s="107">
        <v>7.0000000000000007E-2</v>
      </c>
      <c r="C14" s="107">
        <f>VLOOKUP(A14,[2]DIFAL!$C$13:$H$39,5,)</f>
        <v>0.17</v>
      </c>
      <c r="D14" s="101"/>
      <c r="E14" s="101"/>
      <c r="F14" s="101">
        <v>0.39779999999999999</v>
      </c>
      <c r="G14" s="101"/>
      <c r="H14" s="37">
        <f>PREÇOS!H15</f>
        <v>7.93</v>
      </c>
      <c r="I14" s="34">
        <f t="shared" si="0"/>
        <v>1.3292741800000001</v>
      </c>
      <c r="J14" s="34">
        <f t="shared" si="1"/>
        <v>1.3292741800000001</v>
      </c>
    </row>
    <row r="15" spans="1:10" x14ac:dyDescent="0.3">
      <c r="A15" s="99" t="s">
        <v>112</v>
      </c>
      <c r="B15" s="107">
        <v>7.0000000000000007E-2</v>
      </c>
      <c r="C15" s="107">
        <f>VLOOKUP(A15,[2]DIFAL!$C$13:$H$39,6,)</f>
        <v>0.19</v>
      </c>
      <c r="D15" s="101"/>
      <c r="E15" s="101"/>
      <c r="F15" s="101"/>
      <c r="G15" s="101"/>
      <c r="H15" s="37">
        <f>PREÇOS!H16</f>
        <v>7.93</v>
      </c>
      <c r="I15" s="34">
        <f t="shared" si="0"/>
        <v>0</v>
      </c>
      <c r="J15" s="34">
        <f t="shared" si="1"/>
        <v>0</v>
      </c>
    </row>
    <row r="16" spans="1:10" x14ac:dyDescent="0.3">
      <c r="A16" s="99" t="s">
        <v>113</v>
      </c>
      <c r="B16" s="107">
        <v>7.0000000000000007E-2</v>
      </c>
      <c r="C16" s="107">
        <f>VLOOKUP(A16,[2]DIFAL!$C$13:$H$39,5,)</f>
        <v>0.18</v>
      </c>
      <c r="D16" s="101"/>
      <c r="E16" s="101"/>
      <c r="F16" s="101"/>
      <c r="G16" s="101"/>
      <c r="H16" s="37">
        <f>PREÇOS!H17</f>
        <v>7.93</v>
      </c>
      <c r="I16" s="34">
        <f t="shared" si="0"/>
        <v>0</v>
      </c>
      <c r="J16" s="34">
        <f t="shared" si="1"/>
        <v>0</v>
      </c>
    </row>
    <row r="17" spans="1:10" x14ac:dyDescent="0.3">
      <c r="A17" s="99" t="s">
        <v>114</v>
      </c>
      <c r="B17" s="107">
        <v>7.0000000000000007E-2</v>
      </c>
      <c r="C17" s="107">
        <f>VLOOKUP(A17,[2]DIFAL!$C$13:$H$39,5,)</f>
        <v>0.18</v>
      </c>
      <c r="D17" s="101"/>
      <c r="E17" s="101"/>
      <c r="F17" s="101"/>
      <c r="G17" s="101"/>
      <c r="H17" s="37">
        <f>PREÇOS!H18</f>
        <v>7.93</v>
      </c>
      <c r="I17" s="34">
        <f t="shared" si="0"/>
        <v>0</v>
      </c>
      <c r="J17" s="34">
        <f t="shared" si="1"/>
        <v>0</v>
      </c>
    </row>
    <row r="18" spans="1:10" x14ac:dyDescent="0.3">
      <c r="A18" s="99" t="s">
        <v>115</v>
      </c>
      <c r="B18" s="107">
        <v>7.0000000000000007E-2</v>
      </c>
      <c r="C18" s="107">
        <f>VLOOKUP(A18,[2]DIFAL!$C$13:$H$39,6,)</f>
        <v>0.21</v>
      </c>
      <c r="D18" s="101"/>
      <c r="E18" s="101"/>
      <c r="F18" s="101"/>
      <c r="G18" s="101"/>
      <c r="H18" s="37">
        <f>PREÇOS!H19</f>
        <v>7.93</v>
      </c>
      <c r="I18" s="34">
        <f t="shared" si="0"/>
        <v>0</v>
      </c>
      <c r="J18" s="3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0.12</v>
      </c>
      <c r="D19" s="101"/>
      <c r="E19" s="101"/>
      <c r="F19" s="101"/>
      <c r="G19" s="101"/>
      <c r="H19" s="66">
        <f>PREÇOS!H20</f>
        <v>8.4</v>
      </c>
      <c r="I19" s="68">
        <f t="shared" si="0"/>
        <v>0</v>
      </c>
      <c r="J19" s="68">
        <f t="shared" si="1"/>
        <v>0</v>
      </c>
    </row>
    <row r="20" spans="1:10" x14ac:dyDescent="0.3">
      <c r="A20" s="102" t="s">
        <v>116</v>
      </c>
      <c r="B20" s="70">
        <v>0.12</v>
      </c>
      <c r="C20" s="70">
        <v>0.22</v>
      </c>
      <c r="D20" s="69"/>
      <c r="E20" s="69"/>
      <c r="F20" s="69">
        <v>0.52529999999999999</v>
      </c>
      <c r="G20" s="69"/>
      <c r="H20" s="66">
        <f>PREÇOS!H21</f>
        <v>8.4</v>
      </c>
      <c r="I20" s="68">
        <f t="shared" si="0"/>
        <v>1.8107544000000004</v>
      </c>
      <c r="J20" s="68">
        <f t="shared" si="1"/>
        <v>1.8107544000000004</v>
      </c>
    </row>
    <row r="21" spans="1:10" x14ac:dyDescent="0.3">
      <c r="A21" s="99" t="s">
        <v>117</v>
      </c>
      <c r="B21" s="107">
        <v>7.0000000000000007E-2</v>
      </c>
      <c r="C21" s="107">
        <f>VLOOKUP(A21,[2]DIFAL!$C$13:$H$39,6,)</f>
        <v>0.2</v>
      </c>
      <c r="D21" s="101"/>
      <c r="E21" s="101"/>
      <c r="F21" s="101"/>
      <c r="G21" s="101"/>
      <c r="H21" s="37">
        <f>PREÇOS!H22</f>
        <v>7.93</v>
      </c>
      <c r="I21" s="34">
        <f t="shared" si="0"/>
        <v>0</v>
      </c>
      <c r="J21" s="34">
        <f t="shared" si="1"/>
        <v>0</v>
      </c>
    </row>
    <row r="22" spans="1:10" x14ac:dyDescent="0.3">
      <c r="A22" s="99" t="s">
        <v>118</v>
      </c>
      <c r="B22" s="107">
        <v>7.0000000000000007E-2</v>
      </c>
      <c r="C22" s="107">
        <f>VLOOKUP(A22,[2]DIFAL!$C$13:$H$39,5,)</f>
        <v>0.17499999999999999</v>
      </c>
      <c r="D22" s="101"/>
      <c r="E22" s="101"/>
      <c r="F22" s="101"/>
      <c r="G22" s="101"/>
      <c r="H22" s="37">
        <f>PREÇOS!H23</f>
        <v>7.93</v>
      </c>
      <c r="I22" s="34">
        <f t="shared" si="0"/>
        <v>0</v>
      </c>
      <c r="J22" s="34">
        <f t="shared" si="1"/>
        <v>0</v>
      </c>
    </row>
    <row r="23" spans="1:10" x14ac:dyDescent="0.3">
      <c r="A23" s="99" t="s">
        <v>119</v>
      </c>
      <c r="B23" s="107">
        <v>7.0000000000000007E-2</v>
      </c>
      <c r="C23" s="107">
        <f>VLOOKUP(A23,[2]DIFAL!$C$13:$H$39,6,)</f>
        <v>0.2</v>
      </c>
      <c r="D23" s="101"/>
      <c r="E23" s="101"/>
      <c r="F23" s="101"/>
      <c r="G23" s="101"/>
      <c r="H23" s="37">
        <f>PREÇOS!H24</f>
        <v>7.93</v>
      </c>
      <c r="I23" s="34">
        <f t="shared" si="0"/>
        <v>0</v>
      </c>
      <c r="J23" s="34">
        <f t="shared" si="1"/>
        <v>0</v>
      </c>
    </row>
    <row r="24" spans="1:10" x14ac:dyDescent="0.3">
      <c r="A24" s="99" t="s">
        <v>120</v>
      </c>
      <c r="B24" s="107">
        <v>0.12</v>
      </c>
      <c r="C24" s="107">
        <f>VLOOKUP(A24,[2]DIFAL!$C$13:$H$39,5,)</f>
        <v>0.17</v>
      </c>
      <c r="D24" s="101"/>
      <c r="E24" s="101"/>
      <c r="F24" s="101"/>
      <c r="G24" s="101"/>
      <c r="H24" s="66">
        <f>PREÇOS!H25</f>
        <v>8.4</v>
      </c>
      <c r="I24" s="68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v>0.12</v>
      </c>
      <c r="C25" s="107">
        <f>VLOOKUP(A25,[2]DIFAL!$C$13:$H$39,5,)</f>
        <v>0.17</v>
      </c>
      <c r="D25" s="101"/>
      <c r="E25" s="101"/>
      <c r="F25" s="101"/>
      <c r="G25" s="101"/>
      <c r="H25" s="66">
        <f>PREÇOS!H26</f>
        <v>8.4</v>
      </c>
      <c r="I25" s="68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v>7.0000000000000007E-2</v>
      </c>
      <c r="C26" s="107">
        <v>0.2</v>
      </c>
      <c r="D26" s="101"/>
      <c r="E26" s="101"/>
      <c r="F26" s="101"/>
      <c r="G26" s="101"/>
      <c r="H26" s="37">
        <f>PREÇOS!H27</f>
        <v>7.93</v>
      </c>
      <c r="I26" s="34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v>0.12</v>
      </c>
      <c r="C27" s="107">
        <f>VLOOKUP(A27,[2]DIFAL!$C$13:$H$39,5,)</f>
        <v>0.18</v>
      </c>
      <c r="D27" s="101">
        <v>0.5917</v>
      </c>
      <c r="E27" s="101"/>
      <c r="F27" s="101">
        <v>0.5917</v>
      </c>
      <c r="G27" s="101"/>
      <c r="H27" s="66">
        <f>PREÇOS!H28</f>
        <v>8.4</v>
      </c>
      <c r="I27" s="68">
        <f t="shared" ref="I27:I29" si="2">IF(F27=0,,H27*(1+F27)*C27-(H27*B27))</f>
        <v>1.3986503999999997</v>
      </c>
      <c r="J27" s="68">
        <f t="shared" ref="J27:J29" si="3">IF(G27=0,IF(F27=0,,H27*(1+F27)*C27-(H27*B27)),H27*(1+G27)*C27-(H27*B27))</f>
        <v>1.3986503999999997</v>
      </c>
    </row>
    <row r="28" spans="1:10" x14ac:dyDescent="0.3">
      <c r="A28" s="99" t="s">
        <v>124</v>
      </c>
      <c r="B28" s="107">
        <f>B27</f>
        <v>0.12</v>
      </c>
      <c r="C28" s="107">
        <f t="shared" ref="C28:G28" si="4">C27</f>
        <v>0.18</v>
      </c>
      <c r="D28" s="101">
        <v>0.48320000000000002</v>
      </c>
      <c r="E28" s="101">
        <f t="shared" si="4"/>
        <v>0</v>
      </c>
      <c r="F28" s="101">
        <v>0.48320000000000002</v>
      </c>
      <c r="G28" s="107">
        <f t="shared" si="4"/>
        <v>0</v>
      </c>
      <c r="H28" s="97">
        <f>PREÇOS!H29</f>
        <v>8.4</v>
      </c>
      <c r="I28" s="96">
        <f t="shared" si="2"/>
        <v>1.2345983999999999</v>
      </c>
      <c r="J28" s="96">
        <f t="shared" si="3"/>
        <v>1.2345983999999999</v>
      </c>
    </row>
    <row r="29" spans="1:10" x14ac:dyDescent="0.3">
      <c r="A29" s="99" t="s">
        <v>125</v>
      </c>
      <c r="B29" s="107">
        <v>7.0000000000000007E-2</v>
      </c>
      <c r="C29" s="107">
        <f>VLOOKUP(A29,[2]DIFAL!$C$13:$H$39,6,)</f>
        <v>0.2</v>
      </c>
      <c r="D29" s="101"/>
      <c r="E29" s="101"/>
      <c r="F29" s="101"/>
      <c r="G29" s="101"/>
      <c r="H29" s="37">
        <f>PREÇOS!H30</f>
        <v>7.93</v>
      </c>
      <c r="I29" s="34">
        <f t="shared" si="2"/>
        <v>0</v>
      </c>
      <c r="J29" s="34">
        <f t="shared" si="3"/>
        <v>0</v>
      </c>
    </row>
    <row r="30" spans="1:10" x14ac:dyDescent="0.3">
      <c r="A30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PREÇOS!G3</f>
        <v>7.85</v>
      </c>
      <c r="I2" s="6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PREÇOS!G4</f>
        <v>7.85</v>
      </c>
      <c r="I3" s="64">
        <f>IF(F3=0,,H3*(1+F3)*C3-(H3*B3))</f>
        <v>2.1351999999999998</v>
      </c>
      <c r="J3" s="4">
        <f t="shared" si="1"/>
        <v>2.1351999999999998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PREÇOS!G5</f>
        <v>7.85</v>
      </c>
      <c r="I4" s="64">
        <f t="shared" si="0"/>
        <v>1.8899659999999998</v>
      </c>
      <c r="J4" s="4">
        <f t="shared" si="1"/>
        <v>1.8899659999999998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PREÇOS!G6</f>
        <v>7.85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PREÇOS!G7</f>
        <v>7.85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PREÇOS!G8</f>
        <v>7.85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PREÇOS!G9</f>
        <v>7.85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PREÇOS!G10</f>
        <v>7.85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PREÇOS!G11</f>
        <v>7.85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PREÇOS!G12</f>
        <v>7.85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66">
        <f>PREÇOS!G13</f>
        <v>8.3000000000000007</v>
      </c>
      <c r="I12" s="67">
        <f t="shared" si="0"/>
        <v>1.1685072000000001</v>
      </c>
      <c r="J12" s="68">
        <f t="shared" si="1"/>
        <v>1.1685072000000001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PREÇOS!G14</f>
        <v>7.85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PREÇOS!G15</f>
        <v>7.85</v>
      </c>
      <c r="I14" s="64">
        <f t="shared" si="0"/>
        <v>1.3924644000000002</v>
      </c>
      <c r="J14" s="4">
        <f t="shared" si="1"/>
        <v>1.3924644000000002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PREÇOS!G16</f>
        <v>7.85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PREÇOS!G17</f>
        <v>7.85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PREÇOS!G18</f>
        <v>7.85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PREÇOS!G19</f>
        <v>7.85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66">
        <f>PREÇOS!G20</f>
        <v>8.3000000000000007</v>
      </c>
      <c r="I19" s="67">
        <f>IF(F19=0,,H19*(1+F19)*C19-(H19*B19))</f>
        <v>1.6065480000000005</v>
      </c>
      <c r="J19" s="68">
        <f t="shared" si="1"/>
        <v>1.6065480000000005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66">
        <f>PREÇOS!G21</f>
        <v>8.3000000000000007</v>
      </c>
      <c r="I20" s="67">
        <f t="shared" si="0"/>
        <v>1.8293697999999998</v>
      </c>
      <c r="J20" s="68">
        <f t="shared" si="1"/>
        <v>1.8293697999999998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PREÇOS!G22</f>
        <v>7.85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PREÇOS!G23</f>
        <v>7.85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PREÇOS!G24</f>
        <v>7.85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66">
        <f>PREÇOS!G25</f>
        <v>8.3000000000000007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66">
        <f>PREÇOS!G26</f>
        <v>8.3000000000000007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PREÇOS!G27</f>
        <v>7.85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66">
        <f>PREÇOS!G28</f>
        <v>8.3000000000000007</v>
      </c>
      <c r="I27" s="67">
        <f t="shared" ref="I27:I30" si="2">IF(F27=0,,H27*(1+F27)*C27-(H27*B27))</f>
        <v>1.1897220000000002</v>
      </c>
      <c r="J27" s="68">
        <f t="shared" ref="J27:J30" si="3">IF(G27=0,IF(F27=0,,H27*(1+F27)*C27-(H27*B27)),H27*(1+G27)*C27-(H27*B27))</f>
        <v>1.1897220000000002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4">C27</f>
        <v>0.18</v>
      </c>
      <c r="D28" s="69">
        <f t="shared" si="4"/>
        <v>0</v>
      </c>
      <c r="E28" s="69">
        <f t="shared" si="4"/>
        <v>0</v>
      </c>
      <c r="F28" s="69">
        <f t="shared" si="4"/>
        <v>0.46300000000000002</v>
      </c>
      <c r="G28" s="69">
        <f t="shared" si="4"/>
        <v>0</v>
      </c>
      <c r="H28" s="97">
        <f>PREÇOS!G29</f>
        <v>8.3000000000000007</v>
      </c>
      <c r="I28" s="98">
        <f t="shared" si="2"/>
        <v>1.1897220000000002</v>
      </c>
      <c r="J28" s="96">
        <f t="shared" si="3"/>
        <v>1.1897220000000002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PREÇOS!G30</f>
        <v>7.85</v>
      </c>
      <c r="I29" s="65">
        <f t="shared" si="2"/>
        <v>0</v>
      </c>
      <c r="J29" s="34">
        <f t="shared" si="3"/>
        <v>0</v>
      </c>
    </row>
    <row r="30" spans="1:10" x14ac:dyDescent="0.3">
      <c r="A30" s="3" t="s">
        <v>126</v>
      </c>
      <c r="H30" s="7">
        <f>PREÇOS!G31</f>
        <v>0</v>
      </c>
      <c r="I30" s="65">
        <f t="shared" si="2"/>
        <v>0</v>
      </c>
      <c r="J30" s="34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PREÇOS!J3</f>
        <v>6.35</v>
      </c>
      <c r="I2" s="6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PREÇOS!J4</f>
        <v>6.35</v>
      </c>
      <c r="I3" s="64">
        <f>IF(F3=0,,H3*(1+F3)*C3-(H3*B3))</f>
        <v>1.7271999999999998</v>
      </c>
      <c r="J3" s="4">
        <f t="shared" si="1"/>
        <v>1.7271999999999998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PREÇOS!J5</f>
        <v>6.35</v>
      </c>
      <c r="I4" s="64">
        <f t="shared" si="0"/>
        <v>1.528826</v>
      </c>
      <c r="J4" s="4">
        <f t="shared" si="1"/>
        <v>1.528826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PREÇOS!J6</f>
        <v>6.35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PREÇOS!J7</f>
        <v>6.35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PREÇOS!J8</f>
        <v>6.35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PREÇOS!J9</f>
        <v>6.35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PREÇOS!J10</f>
        <v>5.82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PREÇOS!J11</f>
        <v>6.35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PREÇOS!J12</f>
        <v>6.35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7">
        <f>PREÇOS!J13</f>
        <v>6.15</v>
      </c>
      <c r="I12" s="67">
        <f t="shared" si="0"/>
        <v>0.86582159999999986</v>
      </c>
      <c r="J12" s="68">
        <f t="shared" si="1"/>
        <v>0.86582159999999986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PREÇOS!J14</f>
        <v>6.35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PREÇOS!J15</f>
        <v>6.35</v>
      </c>
      <c r="I14" s="64">
        <f t="shared" si="0"/>
        <v>1.1263884000000002</v>
      </c>
      <c r="J14" s="4">
        <f t="shared" si="1"/>
        <v>1.1263884000000002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PREÇOS!J16</f>
        <v>6.35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PREÇOS!J17</f>
        <v>6.35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PREÇOS!J18</f>
        <v>6.35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PREÇOS!J19</f>
        <v>6.35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7">
        <f>PREÇOS!J20</f>
        <v>6.15</v>
      </c>
      <c r="I19" s="67">
        <f>IF(F19=0,,H19*(1+F19)*C19-(H19*B19))</f>
        <v>1.1903940000000002</v>
      </c>
      <c r="J19" s="68">
        <f t="shared" si="1"/>
        <v>1.1903940000000002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7">
        <f>PREÇOS!J21</f>
        <v>6.15</v>
      </c>
      <c r="I20" s="67">
        <f t="shared" si="0"/>
        <v>1.3554969000000003</v>
      </c>
      <c r="J20" s="68">
        <f t="shared" si="1"/>
        <v>1.3554969000000003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PREÇOS!J22</f>
        <v>6.35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PREÇOS!J23</f>
        <v>6.35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PREÇOS!J24</f>
        <v>6.35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7">
        <f>PREÇOS!J25</f>
        <v>6.15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7">
        <f>PREÇOS!J26</f>
        <v>6.15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PREÇOS!J27</f>
        <v>6.35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7">
        <f>PREÇOS!J28</f>
        <v>6.15</v>
      </c>
      <c r="I27" s="67">
        <f t="shared" si="0"/>
        <v>0.88154100000000013</v>
      </c>
      <c r="J27" s="68">
        <f t="shared" si="1"/>
        <v>0.88154100000000013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2">C27</f>
        <v>0.18</v>
      </c>
      <c r="D28" s="69">
        <f t="shared" si="2"/>
        <v>0</v>
      </c>
      <c r="E28" s="69">
        <f t="shared" si="2"/>
        <v>0</v>
      </c>
      <c r="F28" s="69">
        <f t="shared" si="2"/>
        <v>0.46300000000000002</v>
      </c>
      <c r="G28" s="69">
        <f t="shared" si="2"/>
        <v>0</v>
      </c>
      <c r="H28" s="7">
        <f>PREÇOS!J29</f>
        <v>6.15</v>
      </c>
      <c r="I28" s="98">
        <f t="shared" si="0"/>
        <v>0.88154100000000013</v>
      </c>
      <c r="J28" s="96">
        <f t="shared" si="1"/>
        <v>0.88154100000000013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PREÇOS!J30</f>
        <v>6.35</v>
      </c>
      <c r="I29" s="65">
        <f t="shared" si="0"/>
        <v>0</v>
      </c>
      <c r="J29" s="34">
        <f t="shared" si="1"/>
        <v>0</v>
      </c>
    </row>
    <row r="30" spans="1:10" x14ac:dyDescent="0.3">
      <c r="A30" s="3" t="s">
        <v>126</v>
      </c>
      <c r="H30" s="7">
        <f>PREÇOS!J31</f>
        <v>0</v>
      </c>
      <c r="I30" s="65">
        <f t="shared" si="0"/>
        <v>0</v>
      </c>
      <c r="J30" s="3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PREÇOS!K3</f>
        <v>5.25</v>
      </c>
      <c r="I2" s="6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PREÇOS!K4</f>
        <v>5.25</v>
      </c>
      <c r="I3" s="64">
        <f>IF(F3=0,,H3*(1+F3)*C3-(H3*B3))</f>
        <v>1.4279999999999999</v>
      </c>
      <c r="J3" s="4">
        <f t="shared" si="1"/>
        <v>1.4279999999999999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PREÇOS!K5</f>
        <v>5.25</v>
      </c>
      <c r="I4" s="64">
        <f t="shared" si="0"/>
        <v>1.2639899999999997</v>
      </c>
      <c r="J4" s="4">
        <f t="shared" si="1"/>
        <v>1.2639899999999997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PREÇOS!K6</f>
        <v>5.25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PREÇOS!K7</f>
        <v>5.25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PREÇOS!K8</f>
        <v>5.25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PREÇOS!K9</f>
        <v>5.25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PREÇOS!K10</f>
        <v>5.82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PREÇOS!K11</f>
        <v>5.25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PREÇOS!K12</f>
        <v>5.25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7">
        <f>PREÇOS!K13</f>
        <v>6.15</v>
      </c>
      <c r="I12" s="67">
        <f t="shared" si="0"/>
        <v>0.86582159999999986</v>
      </c>
      <c r="J12" s="68">
        <f t="shared" si="1"/>
        <v>0.86582159999999986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PREÇOS!K14</f>
        <v>5.25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PREÇOS!K15</f>
        <v>5.25</v>
      </c>
      <c r="I14" s="64">
        <f t="shared" si="0"/>
        <v>0.93126600000000004</v>
      </c>
      <c r="J14" s="4">
        <f t="shared" si="1"/>
        <v>0.93126600000000004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PREÇOS!K16</f>
        <v>5.25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PREÇOS!K17</f>
        <v>5.25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PREÇOS!K18</f>
        <v>5.25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PREÇOS!K19</f>
        <v>5.25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7">
        <f>PREÇOS!K20</f>
        <v>6.15</v>
      </c>
      <c r="I19" s="67">
        <f>IF(F19=0,,H19*(1+F19)*C19-(H19*B19))</f>
        <v>1.1903940000000002</v>
      </c>
      <c r="J19" s="68">
        <f t="shared" si="1"/>
        <v>1.1903940000000002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7">
        <f>PREÇOS!K21</f>
        <v>6.15</v>
      </c>
      <c r="I20" s="67">
        <f t="shared" si="0"/>
        <v>1.3554969000000003</v>
      </c>
      <c r="J20" s="68">
        <f t="shared" si="1"/>
        <v>1.3554969000000003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PREÇOS!K22</f>
        <v>5.25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PREÇOS!K23</f>
        <v>5.25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PREÇOS!K24</f>
        <v>5.25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7">
        <f>PREÇOS!K25</f>
        <v>6.15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7">
        <f>PREÇOS!K26</f>
        <v>6.15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PREÇOS!K27</f>
        <v>5.25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7">
        <f>PREÇOS!K28</f>
        <v>6.15</v>
      </c>
      <c r="I27" s="67">
        <f t="shared" si="0"/>
        <v>0.88154100000000013</v>
      </c>
      <c r="J27" s="68">
        <f t="shared" si="1"/>
        <v>0.88154100000000013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2">C27</f>
        <v>0.18</v>
      </c>
      <c r="D28" s="69">
        <f t="shared" si="2"/>
        <v>0</v>
      </c>
      <c r="E28" s="69">
        <f t="shared" si="2"/>
        <v>0</v>
      </c>
      <c r="F28" s="69">
        <f t="shared" si="2"/>
        <v>0.46300000000000002</v>
      </c>
      <c r="G28" s="69">
        <f t="shared" si="2"/>
        <v>0</v>
      </c>
      <c r="H28" s="7">
        <f>PREÇOS!K29</f>
        <v>6.15</v>
      </c>
      <c r="I28" s="98">
        <f t="shared" si="0"/>
        <v>0.88154100000000013</v>
      </c>
      <c r="J28" s="96">
        <f t="shared" si="1"/>
        <v>0.88154100000000013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PREÇOS!K30</f>
        <v>5.25</v>
      </c>
      <c r="I29" s="65">
        <f t="shared" si="0"/>
        <v>0</v>
      </c>
      <c r="J29" s="34">
        <f t="shared" si="1"/>
        <v>0</v>
      </c>
    </row>
    <row r="30" spans="1:10" x14ac:dyDescent="0.3">
      <c r="A30" s="3" t="s">
        <v>126</v>
      </c>
      <c r="H30" s="7">
        <f>PREÇOS!K31</f>
        <v>0</v>
      </c>
      <c r="I30" s="65">
        <f t="shared" si="0"/>
        <v>0</v>
      </c>
      <c r="J30" s="3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PREÇOS!L3</f>
        <v>13.4</v>
      </c>
      <c r="I2" s="6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PREÇOS!L4</f>
        <v>13.4</v>
      </c>
      <c r="I3" s="64">
        <f>IF(F3=0,,H3*(1+F3)*C3-(H3*B3))</f>
        <v>3.6448000000000005</v>
      </c>
      <c r="J3" s="4">
        <f t="shared" si="1"/>
        <v>3.6448000000000005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PREÇOS!L5</f>
        <v>13.4</v>
      </c>
      <c r="I4" s="64">
        <f t="shared" si="0"/>
        <v>3.2261839999999995</v>
      </c>
      <c r="J4" s="4">
        <f t="shared" si="1"/>
        <v>3.2261839999999995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PREÇOS!L6</f>
        <v>13.4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PREÇOS!L7</f>
        <v>13.4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PREÇOS!L8</f>
        <v>13.4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PREÇOS!L9</f>
        <v>13.4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PREÇOS!L10</f>
        <v>14.18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PREÇOS!L11</f>
        <v>13.4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PREÇOS!L12</f>
        <v>13.4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7">
        <f>PREÇOS!L13</f>
        <v>14.99</v>
      </c>
      <c r="I12" s="67">
        <f t="shared" si="0"/>
        <v>2.1103521599999997</v>
      </c>
      <c r="J12" s="68">
        <f t="shared" si="1"/>
        <v>2.1103521599999997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PREÇOS!L14</f>
        <v>13.4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PREÇOS!L15</f>
        <v>13.4</v>
      </c>
      <c r="I14" s="64">
        <f t="shared" si="0"/>
        <v>2.3769456000000004</v>
      </c>
      <c r="J14" s="4">
        <f t="shared" si="1"/>
        <v>2.3769456000000004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PREÇOS!L16</f>
        <v>13.4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PREÇOS!L17</f>
        <v>13.4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PREÇOS!L18</f>
        <v>13.4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PREÇOS!L19</f>
        <v>13.4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7">
        <f>PREÇOS!L20</f>
        <v>14.99</v>
      </c>
      <c r="I19" s="67">
        <f>IF(F19=0,,H19*(1+F19)*C19-(H19*B19))</f>
        <v>2.9014644000000009</v>
      </c>
      <c r="J19" s="68">
        <f t="shared" si="1"/>
        <v>2.9014644000000009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7">
        <f>PREÇOS!L21</f>
        <v>14.99</v>
      </c>
      <c r="I20" s="67">
        <f t="shared" si="0"/>
        <v>3.3038859399999998</v>
      </c>
      <c r="J20" s="68">
        <f t="shared" si="1"/>
        <v>3.3038859399999998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PREÇOS!L22</f>
        <v>13.4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PREÇOS!L23</f>
        <v>13.4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PREÇOS!L24</f>
        <v>13.4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7">
        <f>PREÇOS!L25</f>
        <v>14.99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7">
        <f>PREÇOS!L26</f>
        <v>14.99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PREÇOS!L27</f>
        <v>13.4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7">
        <f>PREÇOS!L28</f>
        <v>14.99</v>
      </c>
      <c r="I27" s="67">
        <f t="shared" si="0"/>
        <v>2.1486665999999999</v>
      </c>
      <c r="J27" s="68">
        <f t="shared" si="1"/>
        <v>2.1486665999999999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2">C27</f>
        <v>0.18</v>
      </c>
      <c r="D28" s="69">
        <f t="shared" si="2"/>
        <v>0</v>
      </c>
      <c r="E28" s="69">
        <f t="shared" si="2"/>
        <v>0</v>
      </c>
      <c r="F28" s="69">
        <f t="shared" si="2"/>
        <v>0.46300000000000002</v>
      </c>
      <c r="G28" s="69">
        <f t="shared" si="2"/>
        <v>0</v>
      </c>
      <c r="H28" s="7">
        <f>PREÇOS!L29</f>
        <v>14.99</v>
      </c>
      <c r="I28" s="98">
        <f t="shared" si="0"/>
        <v>2.1486665999999999</v>
      </c>
      <c r="J28" s="96">
        <f t="shared" si="1"/>
        <v>2.1486665999999999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PREÇOS!L30</f>
        <v>13.4</v>
      </c>
      <c r="I29" s="65">
        <f t="shared" si="0"/>
        <v>0</v>
      </c>
      <c r="J29" s="34">
        <f t="shared" si="1"/>
        <v>0</v>
      </c>
    </row>
    <row r="30" spans="1:10" x14ac:dyDescent="0.3">
      <c r="A30" s="3" t="s">
        <v>126</v>
      </c>
      <c r="H30" s="7">
        <f>PREÇOS!L31</f>
        <v>0</v>
      </c>
      <c r="I30" s="65">
        <f t="shared" si="0"/>
        <v>0</v>
      </c>
      <c r="J30" s="3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O33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15" ht="15.6" x14ac:dyDescent="0.3">
      <c r="A1" s="71" t="s">
        <v>127</v>
      </c>
      <c r="B1" s="72" t="s">
        <v>128</v>
      </c>
      <c r="C1" s="73"/>
      <c r="D1" s="73">
        <v>1.03</v>
      </c>
      <c r="E1" s="73"/>
      <c r="F1" s="73"/>
      <c r="G1" s="108"/>
      <c r="H1" s="73"/>
      <c r="I1" s="73">
        <v>1.1000000000000001</v>
      </c>
      <c r="J1" s="73"/>
      <c r="K1" s="73"/>
      <c r="L1" s="73"/>
      <c r="M1" s="73"/>
      <c r="N1" s="73">
        <v>1.05</v>
      </c>
      <c r="O1" s="73"/>
    </row>
    <row r="2" spans="1:15" ht="31.2" x14ac:dyDescent="0.3">
      <c r="A2" s="74" t="s">
        <v>89</v>
      </c>
      <c r="B2" s="109" t="s">
        <v>129</v>
      </c>
      <c r="C2" s="74" t="s">
        <v>130</v>
      </c>
      <c r="D2" s="109" t="s">
        <v>131</v>
      </c>
      <c r="E2" s="74" t="s">
        <v>132</v>
      </c>
      <c r="F2" s="74" t="s">
        <v>133</v>
      </c>
      <c r="G2" s="110" t="s">
        <v>134</v>
      </c>
      <c r="H2" s="1" t="s">
        <v>135</v>
      </c>
      <c r="I2" s="75" t="s">
        <v>136</v>
      </c>
      <c r="J2" s="110" t="s">
        <v>137</v>
      </c>
      <c r="K2" s="111" t="s">
        <v>138</v>
      </c>
      <c r="L2" s="111" t="s">
        <v>139</v>
      </c>
      <c r="M2" s="1" t="s">
        <v>140</v>
      </c>
      <c r="N2" s="1" t="s">
        <v>141</v>
      </c>
      <c r="O2" s="1" t="s">
        <v>142</v>
      </c>
    </row>
    <row r="3" spans="1:15" x14ac:dyDescent="0.3">
      <c r="A3" s="8" t="s">
        <v>99</v>
      </c>
      <c r="B3" s="9">
        <v>5.67</v>
      </c>
      <c r="C3" s="9">
        <v>3.57</v>
      </c>
      <c r="D3" s="9">
        <v>11.814100000000002</v>
      </c>
      <c r="E3" s="9">
        <v>7.93</v>
      </c>
      <c r="F3" s="10">
        <v>11.1</v>
      </c>
      <c r="G3" s="10">
        <v>7.85</v>
      </c>
      <c r="H3" s="10">
        <v>7.93</v>
      </c>
      <c r="I3" s="9">
        <v>8.0850000000000009</v>
      </c>
      <c r="J3" s="10">
        <v>6.35</v>
      </c>
      <c r="K3" s="10">
        <v>5.25</v>
      </c>
      <c r="L3" s="10">
        <v>13.4</v>
      </c>
      <c r="M3" s="6">
        <v>5.67</v>
      </c>
      <c r="N3" s="10">
        <v>11.907</v>
      </c>
      <c r="O3" s="6"/>
    </row>
    <row r="4" spans="1:15" x14ac:dyDescent="0.3">
      <c r="A4" s="8" t="s">
        <v>100</v>
      </c>
      <c r="B4" s="9">
        <v>5.67</v>
      </c>
      <c r="C4" s="9">
        <v>3.57</v>
      </c>
      <c r="D4" s="9">
        <v>11.814100000000002</v>
      </c>
      <c r="E4" s="9">
        <v>7.93</v>
      </c>
      <c r="F4" s="10">
        <v>11.1</v>
      </c>
      <c r="G4" s="10">
        <v>7.85</v>
      </c>
      <c r="H4" s="10">
        <v>7.93</v>
      </c>
      <c r="I4" s="9">
        <v>8.0850000000000009</v>
      </c>
      <c r="J4" s="10">
        <v>6.35</v>
      </c>
      <c r="K4" s="10">
        <v>5.25</v>
      </c>
      <c r="L4" s="10">
        <v>13.4</v>
      </c>
      <c r="M4" s="6">
        <v>5.67</v>
      </c>
      <c r="N4" s="10">
        <v>11.907</v>
      </c>
      <c r="O4" s="6"/>
    </row>
    <row r="5" spans="1:15" x14ac:dyDescent="0.3">
      <c r="A5" s="8" t="s">
        <v>101</v>
      </c>
      <c r="B5" s="9">
        <v>5.67</v>
      </c>
      <c r="C5" s="9">
        <v>3.57</v>
      </c>
      <c r="D5" s="9">
        <v>11.814100000000002</v>
      </c>
      <c r="E5" s="9">
        <v>7.93</v>
      </c>
      <c r="F5" s="10">
        <v>11.1</v>
      </c>
      <c r="G5" s="10">
        <v>7.85</v>
      </c>
      <c r="H5" s="10">
        <v>7.93</v>
      </c>
      <c r="I5" s="9">
        <v>8.0850000000000009</v>
      </c>
      <c r="J5" s="10">
        <v>6.35</v>
      </c>
      <c r="K5" s="10">
        <v>5.25</v>
      </c>
      <c r="L5" s="10">
        <v>13.4</v>
      </c>
      <c r="M5" s="6">
        <v>5.67</v>
      </c>
      <c r="N5" s="10">
        <v>11.907</v>
      </c>
      <c r="O5" s="6"/>
    </row>
    <row r="6" spans="1:15" x14ac:dyDescent="0.3">
      <c r="A6" s="8" t="s">
        <v>102</v>
      </c>
      <c r="B6" s="9">
        <v>5.67</v>
      </c>
      <c r="C6" s="9">
        <v>3.57</v>
      </c>
      <c r="D6" s="9">
        <v>11.814100000000002</v>
      </c>
      <c r="E6" s="9">
        <v>7.93</v>
      </c>
      <c r="F6" s="10">
        <v>11.1</v>
      </c>
      <c r="G6" s="10">
        <v>7.85</v>
      </c>
      <c r="H6" s="10">
        <v>7.93</v>
      </c>
      <c r="I6" s="9">
        <v>8.0850000000000009</v>
      </c>
      <c r="J6" s="10">
        <v>6.35</v>
      </c>
      <c r="K6" s="10">
        <v>5.25</v>
      </c>
      <c r="L6" s="10">
        <v>13.4</v>
      </c>
      <c r="M6" s="6">
        <v>5.67</v>
      </c>
      <c r="N6" s="10">
        <v>11.907</v>
      </c>
      <c r="O6" s="6"/>
    </row>
    <row r="7" spans="1:15" x14ac:dyDescent="0.3">
      <c r="A7" s="8" t="s">
        <v>103</v>
      </c>
      <c r="B7" s="9">
        <v>5.67</v>
      </c>
      <c r="C7" s="9">
        <v>3.57</v>
      </c>
      <c r="D7" s="9">
        <v>11.814100000000002</v>
      </c>
      <c r="E7" s="9">
        <v>7.93</v>
      </c>
      <c r="F7" s="10">
        <v>11.1</v>
      </c>
      <c r="G7" s="10">
        <v>7.85</v>
      </c>
      <c r="H7" s="10">
        <v>7.93</v>
      </c>
      <c r="I7" s="9">
        <v>8.0850000000000009</v>
      </c>
      <c r="J7" s="10">
        <v>6.35</v>
      </c>
      <c r="K7" s="10">
        <v>5.25</v>
      </c>
      <c r="L7" s="10">
        <v>13.4</v>
      </c>
      <c r="M7" s="6">
        <v>5.67</v>
      </c>
      <c r="N7" s="10">
        <v>11.907</v>
      </c>
      <c r="O7" s="6"/>
    </row>
    <row r="8" spans="1:15" x14ac:dyDescent="0.3">
      <c r="A8" s="8" t="s">
        <v>104</v>
      </c>
      <c r="B8" s="9">
        <v>5.67</v>
      </c>
      <c r="C8" s="9">
        <v>3.57</v>
      </c>
      <c r="D8" s="9">
        <v>11.814100000000002</v>
      </c>
      <c r="E8" s="9">
        <v>7.93</v>
      </c>
      <c r="F8" s="10">
        <v>11.1</v>
      </c>
      <c r="G8" s="10">
        <v>7.85</v>
      </c>
      <c r="H8" s="10">
        <v>7.93</v>
      </c>
      <c r="I8" s="9">
        <v>8.0850000000000009</v>
      </c>
      <c r="J8" s="10">
        <v>6.35</v>
      </c>
      <c r="K8" s="10">
        <v>5.25</v>
      </c>
      <c r="L8" s="10">
        <v>13.4</v>
      </c>
      <c r="M8" s="6">
        <v>5.67</v>
      </c>
      <c r="N8" s="10">
        <v>11.907</v>
      </c>
      <c r="O8" s="6"/>
    </row>
    <row r="9" spans="1:15" x14ac:dyDescent="0.3">
      <c r="A9" s="8" t="s">
        <v>105</v>
      </c>
      <c r="B9" s="9">
        <v>5.67</v>
      </c>
      <c r="C9" s="9">
        <v>3.57</v>
      </c>
      <c r="D9" s="9">
        <v>11.814100000000002</v>
      </c>
      <c r="E9" s="9">
        <v>7.93</v>
      </c>
      <c r="F9" s="10">
        <v>11.1</v>
      </c>
      <c r="G9" s="10">
        <v>7.85</v>
      </c>
      <c r="H9" s="10">
        <v>7.93</v>
      </c>
      <c r="I9" s="9">
        <v>8.0850000000000009</v>
      </c>
      <c r="J9" s="10">
        <v>6.35</v>
      </c>
      <c r="K9" s="10">
        <v>5.25</v>
      </c>
      <c r="L9" s="10">
        <v>13.4</v>
      </c>
      <c r="M9" s="6">
        <v>5.67</v>
      </c>
      <c r="N9" s="10">
        <v>11.907</v>
      </c>
      <c r="O9" s="6"/>
    </row>
    <row r="10" spans="1:15" x14ac:dyDescent="0.3">
      <c r="A10" s="11" t="s">
        <v>106</v>
      </c>
      <c r="B10" s="9">
        <v>5.67</v>
      </c>
      <c r="C10" s="9">
        <v>3.57</v>
      </c>
      <c r="D10" s="9">
        <v>11.814100000000002</v>
      </c>
      <c r="E10" s="9">
        <v>7.93</v>
      </c>
      <c r="F10" s="10">
        <v>11.1</v>
      </c>
      <c r="G10" s="10">
        <v>7.85</v>
      </c>
      <c r="H10" s="10">
        <v>7.93</v>
      </c>
      <c r="I10" s="9">
        <v>8.0850000000000009</v>
      </c>
      <c r="J10" s="113">
        <v>5.82</v>
      </c>
      <c r="K10" s="113">
        <v>5.82</v>
      </c>
      <c r="L10" s="113">
        <v>14.18</v>
      </c>
      <c r="M10" s="6">
        <v>5.67</v>
      </c>
      <c r="N10" s="10">
        <v>11.907</v>
      </c>
      <c r="O10" s="6"/>
    </row>
    <row r="11" spans="1:15" x14ac:dyDescent="0.3">
      <c r="A11" s="8" t="s">
        <v>107</v>
      </c>
      <c r="B11" s="9">
        <v>5.67</v>
      </c>
      <c r="C11" s="9">
        <v>3.57</v>
      </c>
      <c r="D11" s="9">
        <v>11.814100000000002</v>
      </c>
      <c r="E11" s="9">
        <v>7.93</v>
      </c>
      <c r="F11" s="10">
        <v>11.1</v>
      </c>
      <c r="G11" s="10">
        <v>7.85</v>
      </c>
      <c r="H11" s="10">
        <v>7.93</v>
      </c>
      <c r="I11" s="9">
        <v>8.0850000000000009</v>
      </c>
      <c r="J11" s="10">
        <v>6.35</v>
      </c>
      <c r="K11" s="10">
        <v>5.25</v>
      </c>
      <c r="L11" s="10">
        <v>13.4</v>
      </c>
      <c r="M11" s="6">
        <v>5.67</v>
      </c>
      <c r="N11" s="10">
        <v>11.907</v>
      </c>
      <c r="O11" s="6"/>
    </row>
    <row r="12" spans="1:15" x14ac:dyDescent="0.3">
      <c r="A12" s="8" t="s">
        <v>108</v>
      </c>
      <c r="B12" s="9">
        <v>5.67</v>
      </c>
      <c r="C12" s="9">
        <v>3.57</v>
      </c>
      <c r="D12" s="9">
        <v>11.814100000000002</v>
      </c>
      <c r="E12" s="9">
        <v>7.93</v>
      </c>
      <c r="F12" s="10">
        <v>11.1</v>
      </c>
      <c r="G12" s="10">
        <v>7.85</v>
      </c>
      <c r="H12" s="10">
        <v>7.93</v>
      </c>
      <c r="I12" s="9">
        <v>8.0850000000000009</v>
      </c>
      <c r="J12" s="10">
        <v>6.35</v>
      </c>
      <c r="K12" s="10">
        <v>5.25</v>
      </c>
      <c r="L12" s="10">
        <v>13.4</v>
      </c>
      <c r="M12" s="6">
        <v>5.67</v>
      </c>
      <c r="N12" s="10">
        <v>11.907</v>
      </c>
      <c r="O12" s="6"/>
    </row>
    <row r="13" spans="1:15" x14ac:dyDescent="0.3">
      <c r="A13" s="12" t="s">
        <v>109</v>
      </c>
      <c r="B13" s="9">
        <v>5.67</v>
      </c>
      <c r="C13" s="76">
        <v>3.78</v>
      </c>
      <c r="D13" s="9">
        <v>11.814100000000002</v>
      </c>
      <c r="E13" s="76">
        <v>8.4499999999999993</v>
      </c>
      <c r="F13" s="77">
        <v>11.8</v>
      </c>
      <c r="G13" s="77">
        <v>8.3000000000000007</v>
      </c>
      <c r="H13" s="77">
        <v>8.4</v>
      </c>
      <c r="I13" s="9">
        <v>8.0850000000000009</v>
      </c>
      <c r="J13" s="77">
        <v>6.15</v>
      </c>
      <c r="K13" s="77">
        <v>6.15</v>
      </c>
      <c r="L13" s="77">
        <v>14.99</v>
      </c>
      <c r="M13" s="77">
        <v>5.67</v>
      </c>
      <c r="N13" s="77">
        <v>12.936000000000002</v>
      </c>
      <c r="O13" s="6"/>
    </row>
    <row r="14" spans="1:15" x14ac:dyDescent="0.3">
      <c r="A14" s="8" t="s">
        <v>110</v>
      </c>
      <c r="B14" s="9">
        <v>5.67</v>
      </c>
      <c r="C14" s="9">
        <v>3.57</v>
      </c>
      <c r="D14" s="9">
        <v>11.814100000000002</v>
      </c>
      <c r="E14" s="9">
        <v>7.93</v>
      </c>
      <c r="F14" s="10">
        <v>11.1</v>
      </c>
      <c r="G14" s="10">
        <v>7.85</v>
      </c>
      <c r="H14" s="10">
        <v>7.93</v>
      </c>
      <c r="I14" s="9">
        <v>8.0850000000000009</v>
      </c>
      <c r="J14" s="10">
        <v>6.35</v>
      </c>
      <c r="K14" s="10">
        <v>5.25</v>
      </c>
      <c r="L14" s="10">
        <v>13.4</v>
      </c>
      <c r="M14" s="6">
        <v>5.67</v>
      </c>
      <c r="N14" s="10">
        <v>11.907</v>
      </c>
      <c r="O14" s="6"/>
    </row>
    <row r="15" spans="1:15" x14ac:dyDescent="0.3">
      <c r="A15" s="8" t="s">
        <v>111</v>
      </c>
      <c r="B15" s="9">
        <v>5.67</v>
      </c>
      <c r="C15" s="9">
        <v>3.57</v>
      </c>
      <c r="D15" s="9">
        <v>11.814100000000002</v>
      </c>
      <c r="E15" s="9">
        <v>7.93</v>
      </c>
      <c r="F15" s="10">
        <v>11.1</v>
      </c>
      <c r="G15" s="10">
        <v>7.85</v>
      </c>
      <c r="H15" s="10">
        <v>7.93</v>
      </c>
      <c r="I15" s="9">
        <v>8.0850000000000009</v>
      </c>
      <c r="J15" s="10">
        <v>6.35</v>
      </c>
      <c r="K15" s="10">
        <v>5.25</v>
      </c>
      <c r="L15" s="10">
        <v>13.4</v>
      </c>
      <c r="M15" s="6">
        <v>5.67</v>
      </c>
      <c r="N15" s="10">
        <v>11.907</v>
      </c>
      <c r="O15" s="6"/>
    </row>
    <row r="16" spans="1:15" x14ac:dyDescent="0.3">
      <c r="A16" s="8" t="s">
        <v>112</v>
      </c>
      <c r="B16" s="9">
        <v>5.67</v>
      </c>
      <c r="C16" s="9">
        <v>3.57</v>
      </c>
      <c r="D16" s="9">
        <v>11.814100000000002</v>
      </c>
      <c r="E16" s="9">
        <v>7.93</v>
      </c>
      <c r="F16" s="10">
        <v>11.1</v>
      </c>
      <c r="G16" s="10">
        <v>7.85</v>
      </c>
      <c r="H16" s="10">
        <v>7.93</v>
      </c>
      <c r="I16" s="9">
        <v>8.0850000000000009</v>
      </c>
      <c r="J16" s="10">
        <v>6.35</v>
      </c>
      <c r="K16" s="10">
        <v>5.25</v>
      </c>
      <c r="L16" s="10">
        <v>13.4</v>
      </c>
      <c r="M16" s="6">
        <v>5.67</v>
      </c>
      <c r="N16" s="10">
        <v>11.907</v>
      </c>
      <c r="O16" s="6"/>
    </row>
    <row r="17" spans="1:15" x14ac:dyDescent="0.3">
      <c r="A17" s="8" t="s">
        <v>113</v>
      </c>
      <c r="B17" s="9">
        <v>5.67</v>
      </c>
      <c r="C17" s="9">
        <v>3.57</v>
      </c>
      <c r="D17" s="9">
        <v>11.814100000000002</v>
      </c>
      <c r="E17" s="9">
        <v>7.93</v>
      </c>
      <c r="F17" s="10">
        <v>11.1</v>
      </c>
      <c r="G17" s="10">
        <v>7.85</v>
      </c>
      <c r="H17" s="10">
        <v>7.93</v>
      </c>
      <c r="I17" s="9">
        <v>8.0850000000000009</v>
      </c>
      <c r="J17" s="10">
        <v>6.35</v>
      </c>
      <c r="K17" s="10">
        <v>5.25</v>
      </c>
      <c r="L17" s="10">
        <v>13.4</v>
      </c>
      <c r="M17" s="6">
        <v>5.67</v>
      </c>
      <c r="N17" s="10">
        <v>11.907</v>
      </c>
      <c r="O17" s="6"/>
    </row>
    <row r="18" spans="1:15" x14ac:dyDescent="0.3">
      <c r="A18" s="8" t="s">
        <v>114</v>
      </c>
      <c r="B18" s="9">
        <v>5.67</v>
      </c>
      <c r="C18" s="9">
        <v>3.57</v>
      </c>
      <c r="D18" s="9">
        <v>11.814100000000002</v>
      </c>
      <c r="E18" s="9">
        <v>7.93</v>
      </c>
      <c r="F18" s="10">
        <v>11.1</v>
      </c>
      <c r="G18" s="10">
        <v>7.85</v>
      </c>
      <c r="H18" s="10">
        <v>7.93</v>
      </c>
      <c r="I18" s="9">
        <v>8.0850000000000009</v>
      </c>
      <c r="J18" s="10">
        <v>6.35</v>
      </c>
      <c r="K18" s="10">
        <v>5.25</v>
      </c>
      <c r="L18" s="10">
        <v>13.4</v>
      </c>
      <c r="M18" s="6">
        <v>5.67</v>
      </c>
      <c r="N18" s="10">
        <v>11.907</v>
      </c>
      <c r="O18" s="6"/>
    </row>
    <row r="19" spans="1:15" x14ac:dyDescent="0.3">
      <c r="A19" s="8" t="s">
        <v>115</v>
      </c>
      <c r="B19" s="9">
        <v>5.67</v>
      </c>
      <c r="C19" s="9">
        <v>3.57</v>
      </c>
      <c r="D19" s="9">
        <v>11.814100000000002</v>
      </c>
      <c r="E19" s="9">
        <v>7.93</v>
      </c>
      <c r="F19" s="10">
        <v>11.1</v>
      </c>
      <c r="G19" s="10">
        <v>7.85</v>
      </c>
      <c r="H19" s="10">
        <v>7.93</v>
      </c>
      <c r="I19" s="9">
        <v>8.0850000000000009</v>
      </c>
      <c r="J19" s="10">
        <v>6.35</v>
      </c>
      <c r="K19" s="10">
        <v>5.25</v>
      </c>
      <c r="L19" s="10">
        <v>13.4</v>
      </c>
      <c r="M19" s="6">
        <v>5.67</v>
      </c>
      <c r="N19" s="10">
        <v>11.907</v>
      </c>
      <c r="O19" s="6"/>
    </row>
    <row r="20" spans="1:15" x14ac:dyDescent="0.3">
      <c r="A20" s="13" t="s">
        <v>6</v>
      </c>
      <c r="B20" s="14">
        <v>6.24</v>
      </c>
      <c r="C20" s="76">
        <v>3.78</v>
      </c>
      <c r="D20" s="14">
        <v>12.9574</v>
      </c>
      <c r="E20" s="76">
        <v>8.4499999999999993</v>
      </c>
      <c r="F20" s="77">
        <v>11.8</v>
      </c>
      <c r="G20" s="77">
        <v>8.3000000000000007</v>
      </c>
      <c r="H20" s="77">
        <v>8.4</v>
      </c>
      <c r="I20" s="14">
        <v>8.8990000000000009</v>
      </c>
      <c r="J20" s="77">
        <v>6.15</v>
      </c>
      <c r="K20" s="77">
        <v>6.15</v>
      </c>
      <c r="L20" s="77">
        <v>14.99</v>
      </c>
      <c r="M20" s="77">
        <v>5.67</v>
      </c>
      <c r="N20" s="77">
        <v>12.936000000000002</v>
      </c>
      <c r="O20" s="6"/>
    </row>
    <row r="21" spans="1:15" x14ac:dyDescent="0.3">
      <c r="A21" s="12" t="s">
        <v>116</v>
      </c>
      <c r="B21" s="9">
        <v>5.67</v>
      </c>
      <c r="C21" s="76">
        <v>3.78</v>
      </c>
      <c r="D21" s="9">
        <v>11.814100000000002</v>
      </c>
      <c r="E21" s="76">
        <v>8.4499999999999993</v>
      </c>
      <c r="F21" s="77">
        <v>11.8</v>
      </c>
      <c r="G21" s="77">
        <v>8.3000000000000007</v>
      </c>
      <c r="H21" s="77">
        <v>8.4</v>
      </c>
      <c r="I21" s="9">
        <v>8.0850000000000009</v>
      </c>
      <c r="J21" s="77">
        <v>6.15</v>
      </c>
      <c r="K21" s="77">
        <v>6.15</v>
      </c>
      <c r="L21" s="77">
        <v>14.99</v>
      </c>
      <c r="M21" s="77">
        <v>5.67</v>
      </c>
      <c r="N21" s="77">
        <v>12.936000000000002</v>
      </c>
      <c r="O21" s="6"/>
    </row>
    <row r="22" spans="1:15" x14ac:dyDescent="0.3">
      <c r="A22" s="8" t="s">
        <v>117</v>
      </c>
      <c r="B22" s="9">
        <v>5.67</v>
      </c>
      <c r="C22" s="9">
        <v>3.57</v>
      </c>
      <c r="D22" s="9">
        <v>11.814100000000002</v>
      </c>
      <c r="E22" s="9">
        <v>7.93</v>
      </c>
      <c r="F22" s="10">
        <v>11.1</v>
      </c>
      <c r="G22" s="10">
        <v>7.85</v>
      </c>
      <c r="H22" s="10">
        <v>7.93</v>
      </c>
      <c r="I22" s="9">
        <v>8.0850000000000009</v>
      </c>
      <c r="J22" s="10">
        <v>6.35</v>
      </c>
      <c r="K22" s="10">
        <v>5.25</v>
      </c>
      <c r="L22" s="10">
        <v>13.4</v>
      </c>
      <c r="M22" s="6">
        <v>5.67</v>
      </c>
      <c r="N22" s="10">
        <v>11.907</v>
      </c>
      <c r="O22" s="6"/>
    </row>
    <row r="23" spans="1:15" x14ac:dyDescent="0.3">
      <c r="A23" s="8" t="s">
        <v>118</v>
      </c>
      <c r="B23" s="9">
        <v>5.67</v>
      </c>
      <c r="C23" s="9">
        <v>3.57</v>
      </c>
      <c r="D23" s="9">
        <v>11.814100000000002</v>
      </c>
      <c r="E23" s="9">
        <v>7.93</v>
      </c>
      <c r="F23" s="10">
        <v>11.1</v>
      </c>
      <c r="G23" s="10">
        <v>7.85</v>
      </c>
      <c r="H23" s="10">
        <v>7.93</v>
      </c>
      <c r="I23" s="9">
        <v>8.0850000000000009</v>
      </c>
      <c r="J23" s="10">
        <v>6.35</v>
      </c>
      <c r="K23" s="10">
        <v>5.25</v>
      </c>
      <c r="L23" s="10">
        <v>13.4</v>
      </c>
      <c r="M23" s="6">
        <v>5.67</v>
      </c>
      <c r="N23" s="10">
        <v>11.907</v>
      </c>
      <c r="O23" s="6"/>
    </row>
    <row r="24" spans="1:15" x14ac:dyDescent="0.3">
      <c r="A24" s="8" t="s">
        <v>119</v>
      </c>
      <c r="B24" s="9">
        <v>5.67</v>
      </c>
      <c r="C24" s="9">
        <v>3.57</v>
      </c>
      <c r="D24" s="9">
        <v>11.814100000000002</v>
      </c>
      <c r="E24" s="9">
        <v>7.93</v>
      </c>
      <c r="F24" s="10">
        <v>11.1</v>
      </c>
      <c r="G24" s="10">
        <v>7.85</v>
      </c>
      <c r="H24" s="10">
        <v>7.93</v>
      </c>
      <c r="I24" s="9">
        <v>8.0850000000000009</v>
      </c>
      <c r="J24" s="10">
        <v>6.35</v>
      </c>
      <c r="K24" s="10">
        <v>5.25</v>
      </c>
      <c r="L24" s="10">
        <v>13.4</v>
      </c>
      <c r="M24" s="6">
        <v>5.67</v>
      </c>
      <c r="N24" s="10">
        <v>11.907</v>
      </c>
      <c r="O24" s="6"/>
    </row>
    <row r="25" spans="1:15" x14ac:dyDescent="0.3">
      <c r="A25" s="12" t="s">
        <v>120</v>
      </c>
      <c r="B25" s="9">
        <v>5.67</v>
      </c>
      <c r="C25" s="76">
        <v>3.78</v>
      </c>
      <c r="D25" s="9">
        <v>11.814100000000002</v>
      </c>
      <c r="E25" s="76">
        <v>8.4499999999999993</v>
      </c>
      <c r="F25" s="77">
        <v>11.8</v>
      </c>
      <c r="G25" s="77">
        <v>8.3000000000000007</v>
      </c>
      <c r="H25" s="77">
        <v>8.4</v>
      </c>
      <c r="I25" s="9">
        <v>8.0850000000000009</v>
      </c>
      <c r="J25" s="77">
        <v>6.15</v>
      </c>
      <c r="K25" s="77">
        <v>6.15</v>
      </c>
      <c r="L25" s="77">
        <v>14.99</v>
      </c>
      <c r="M25" s="77">
        <v>5.67</v>
      </c>
      <c r="N25" s="77">
        <v>12.936000000000002</v>
      </c>
      <c r="O25" s="6"/>
    </row>
    <row r="26" spans="1:15" x14ac:dyDescent="0.3">
      <c r="A26" s="12" t="s">
        <v>121</v>
      </c>
      <c r="B26" s="9">
        <v>5.67</v>
      </c>
      <c r="C26" s="76">
        <v>3.78</v>
      </c>
      <c r="D26" s="9">
        <v>11.814100000000002</v>
      </c>
      <c r="E26" s="76">
        <v>8.4499999999999993</v>
      </c>
      <c r="F26" s="77">
        <v>11.8</v>
      </c>
      <c r="G26" s="77">
        <v>8.3000000000000007</v>
      </c>
      <c r="H26" s="77">
        <v>8.4</v>
      </c>
      <c r="I26" s="9">
        <v>8.0850000000000009</v>
      </c>
      <c r="J26" s="77">
        <v>6.15</v>
      </c>
      <c r="K26" s="77">
        <v>6.15</v>
      </c>
      <c r="L26" s="77">
        <v>14.99</v>
      </c>
      <c r="M26" s="77">
        <v>5.67</v>
      </c>
      <c r="N26" s="77">
        <v>12.936000000000002</v>
      </c>
      <c r="O26" s="6"/>
    </row>
    <row r="27" spans="1:15" x14ac:dyDescent="0.3">
      <c r="A27" s="8" t="s">
        <v>122</v>
      </c>
      <c r="B27" s="9">
        <v>5.67</v>
      </c>
      <c r="C27" s="9">
        <v>3.57</v>
      </c>
      <c r="D27" s="9">
        <v>11.814100000000002</v>
      </c>
      <c r="E27" s="9">
        <v>7.93</v>
      </c>
      <c r="F27" s="10">
        <v>11.1</v>
      </c>
      <c r="G27" s="10">
        <v>7.85</v>
      </c>
      <c r="H27" s="10">
        <v>7.93</v>
      </c>
      <c r="I27" s="9">
        <v>8.0850000000000009</v>
      </c>
      <c r="J27" s="10">
        <v>6.35</v>
      </c>
      <c r="K27" s="10">
        <v>5.25</v>
      </c>
      <c r="L27" s="10">
        <v>13.4</v>
      </c>
      <c r="M27" s="6">
        <v>5.67</v>
      </c>
      <c r="N27" s="10">
        <v>11.907</v>
      </c>
      <c r="O27" s="6"/>
    </row>
    <row r="28" spans="1:15" x14ac:dyDescent="0.3">
      <c r="A28" s="12" t="s">
        <v>123</v>
      </c>
      <c r="B28" s="9">
        <v>5.67</v>
      </c>
      <c r="C28" s="76">
        <v>3.78</v>
      </c>
      <c r="D28" s="9">
        <v>11.814100000000002</v>
      </c>
      <c r="E28" s="76">
        <v>8.4499999999999993</v>
      </c>
      <c r="F28" s="77">
        <v>11.8</v>
      </c>
      <c r="G28" s="77">
        <v>8.3000000000000007</v>
      </c>
      <c r="H28" s="77">
        <v>8.4</v>
      </c>
      <c r="I28" s="9">
        <v>8.0850000000000009</v>
      </c>
      <c r="J28" s="77">
        <v>6.15</v>
      </c>
      <c r="K28" s="77">
        <v>6.15</v>
      </c>
      <c r="L28" s="77">
        <v>14.99</v>
      </c>
      <c r="M28" s="77">
        <v>5.67</v>
      </c>
      <c r="N28" s="77">
        <v>12.936000000000002</v>
      </c>
      <c r="O28" s="6"/>
    </row>
    <row r="29" spans="1:15" x14ac:dyDescent="0.3">
      <c r="A29" s="92" t="s">
        <v>124</v>
      </c>
      <c r="B29" s="93">
        <v>5.67</v>
      </c>
      <c r="C29" s="94">
        <v>3.78</v>
      </c>
      <c r="D29" s="93">
        <v>11.814100000000002</v>
      </c>
      <c r="E29" s="94">
        <v>8.4499999999999993</v>
      </c>
      <c r="F29" s="95">
        <v>11.8</v>
      </c>
      <c r="G29" s="95">
        <v>8.3000000000000007</v>
      </c>
      <c r="H29" s="95">
        <v>8.4</v>
      </c>
      <c r="I29" s="93">
        <v>8.0850000000000009</v>
      </c>
      <c r="J29" s="95">
        <v>6.15</v>
      </c>
      <c r="K29" s="95">
        <v>6.15</v>
      </c>
      <c r="L29" s="95">
        <v>14.99</v>
      </c>
      <c r="M29" s="95">
        <v>5.67</v>
      </c>
      <c r="N29" s="77">
        <v>12.936000000000002</v>
      </c>
      <c r="O29" s="6"/>
    </row>
    <row r="30" spans="1:15" x14ac:dyDescent="0.3">
      <c r="A30" s="8" t="s">
        <v>125</v>
      </c>
      <c r="B30" s="9">
        <v>5.67</v>
      </c>
      <c r="C30" s="9">
        <v>3.57</v>
      </c>
      <c r="D30" s="9">
        <v>11.814100000000002</v>
      </c>
      <c r="E30" s="9">
        <v>7.93</v>
      </c>
      <c r="F30" s="10">
        <v>11.1</v>
      </c>
      <c r="G30" s="10">
        <v>7.85</v>
      </c>
      <c r="H30" s="10">
        <v>7.93</v>
      </c>
      <c r="I30" s="9">
        <v>8.0850000000000009</v>
      </c>
      <c r="J30" s="10">
        <v>6.35</v>
      </c>
      <c r="K30" s="10">
        <v>5.25</v>
      </c>
      <c r="L30" s="10">
        <v>13.4</v>
      </c>
      <c r="M30" s="6">
        <v>5.67</v>
      </c>
      <c r="N30" s="10">
        <v>11.907</v>
      </c>
      <c r="O30" s="6"/>
    </row>
    <row r="31" spans="1:15" x14ac:dyDescent="0.3">
      <c r="A31" s="78"/>
      <c r="B31" s="121"/>
      <c r="C31" s="121"/>
      <c r="D31" s="121"/>
      <c r="E31" s="121"/>
      <c r="F31" s="121"/>
      <c r="G31" s="121"/>
      <c r="H31" s="121"/>
      <c r="I31" s="121"/>
      <c r="J31" s="122"/>
      <c r="K31" s="122"/>
      <c r="L31" s="122"/>
      <c r="M31" s="122"/>
    </row>
    <row r="33" spans="1:15" x14ac:dyDescent="0.3">
      <c r="A33" s="80" t="s">
        <v>12</v>
      </c>
      <c r="B33" s="81">
        <v>9.49</v>
      </c>
      <c r="C33" s="82">
        <v>5.99</v>
      </c>
      <c r="D33" s="82">
        <v>19.489999999999998</v>
      </c>
      <c r="E33" s="82">
        <v>12.99</v>
      </c>
      <c r="F33" s="82">
        <v>18.989999999999998</v>
      </c>
      <c r="G33" s="82">
        <v>14.39</v>
      </c>
      <c r="H33" s="82">
        <v>13.49</v>
      </c>
      <c r="I33" s="82">
        <v>12.49</v>
      </c>
      <c r="J33" s="82">
        <v>10.99</v>
      </c>
      <c r="K33" s="82">
        <v>10.99</v>
      </c>
      <c r="L33" s="82">
        <v>25.49</v>
      </c>
      <c r="M33" s="82">
        <v>9.49</v>
      </c>
      <c r="N33" s="6"/>
      <c r="O33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O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15" x14ac:dyDescent="0.3">
      <c r="A1" s="114" t="s">
        <v>143</v>
      </c>
      <c r="B1" s="114" t="s">
        <v>143</v>
      </c>
      <c r="C1" s="114" t="s">
        <v>143</v>
      </c>
      <c r="D1" s="114" t="s">
        <v>143</v>
      </c>
      <c r="E1" s="114" t="s">
        <v>143</v>
      </c>
      <c r="F1" s="114" t="s">
        <v>143</v>
      </c>
      <c r="G1" s="114" t="s">
        <v>143</v>
      </c>
      <c r="H1" s="114" t="s">
        <v>143</v>
      </c>
      <c r="I1" s="114" t="s">
        <v>143</v>
      </c>
      <c r="J1" s="114" t="s">
        <v>143</v>
      </c>
      <c r="K1" s="114" t="s">
        <v>143</v>
      </c>
      <c r="L1" s="114" t="s">
        <v>143</v>
      </c>
      <c r="M1" s="114" t="s">
        <v>143</v>
      </c>
      <c r="N1" s="114" t="s">
        <v>143</v>
      </c>
      <c r="O1" s="114" t="s">
        <v>143</v>
      </c>
    </row>
    <row r="2" spans="1:15" ht="31.2" x14ac:dyDescent="0.3">
      <c r="A2" s="74" t="s">
        <v>89</v>
      </c>
      <c r="B2" s="115" t="s">
        <v>129</v>
      </c>
      <c r="C2" s="74" t="s">
        <v>130</v>
      </c>
      <c r="D2" s="115" t="s">
        <v>131</v>
      </c>
      <c r="E2" s="74" t="s">
        <v>132</v>
      </c>
      <c r="F2" s="74" t="s">
        <v>133</v>
      </c>
      <c r="G2" s="1" t="s">
        <v>134</v>
      </c>
      <c r="H2" s="1" t="s">
        <v>135</v>
      </c>
      <c r="I2" s="75" t="s">
        <v>136</v>
      </c>
      <c r="J2" s="110" t="s">
        <v>137</v>
      </c>
      <c r="K2" s="111" t="s">
        <v>138</v>
      </c>
      <c r="L2" s="111" t="s">
        <v>139</v>
      </c>
      <c r="M2" s="1" t="s">
        <v>140</v>
      </c>
      <c r="N2" s="1" t="s">
        <v>141</v>
      </c>
      <c r="O2" s="1" t="s">
        <v>142</v>
      </c>
    </row>
    <row r="3" spans="1:15" x14ac:dyDescent="0.3">
      <c r="A3" s="8" t="s">
        <v>99</v>
      </c>
      <c r="B3" s="9">
        <v>9.49</v>
      </c>
      <c r="C3" s="116">
        <v>5.79</v>
      </c>
      <c r="D3" s="9">
        <v>19.989999999999998</v>
      </c>
      <c r="E3" s="116">
        <v>13.69</v>
      </c>
      <c r="F3" s="116">
        <v>17.989999999999998</v>
      </c>
      <c r="G3" s="116">
        <v>13.89</v>
      </c>
      <c r="H3" s="116">
        <v>13.49</v>
      </c>
      <c r="I3" s="9">
        <v>13.49</v>
      </c>
      <c r="J3" s="9">
        <v>8.99</v>
      </c>
      <c r="K3" s="117">
        <v>7.99</v>
      </c>
      <c r="L3" s="117">
        <v>19.989999999999998</v>
      </c>
      <c r="M3" s="10">
        <v>9.49</v>
      </c>
      <c r="N3" s="10">
        <v>18.989999999999998</v>
      </c>
      <c r="O3" s="10"/>
    </row>
    <row r="4" spans="1:15" x14ac:dyDescent="0.3">
      <c r="A4" s="8" t="s">
        <v>100</v>
      </c>
      <c r="B4" s="9">
        <v>9.49</v>
      </c>
      <c r="C4" s="116">
        <v>5.79</v>
      </c>
      <c r="D4" s="9">
        <v>19.989999999999998</v>
      </c>
      <c r="E4" s="116">
        <v>13.69</v>
      </c>
      <c r="F4" s="116">
        <v>17.989999999999998</v>
      </c>
      <c r="G4" s="116">
        <v>13.89</v>
      </c>
      <c r="H4" s="116">
        <v>13.49</v>
      </c>
      <c r="I4" s="9">
        <v>13.49</v>
      </c>
      <c r="J4" s="9">
        <v>8.99</v>
      </c>
      <c r="K4" s="117">
        <v>7.99</v>
      </c>
      <c r="L4" s="117">
        <v>19.989999999999998</v>
      </c>
      <c r="M4" s="10">
        <v>9.49</v>
      </c>
      <c r="N4" s="10">
        <v>18.989999999999998</v>
      </c>
      <c r="O4" s="10"/>
    </row>
    <row r="5" spans="1:15" x14ac:dyDescent="0.3">
      <c r="A5" s="8" t="s">
        <v>101</v>
      </c>
      <c r="B5" s="9">
        <v>9.49</v>
      </c>
      <c r="C5" s="116">
        <v>5.79</v>
      </c>
      <c r="D5" s="9">
        <v>19.989999999999998</v>
      </c>
      <c r="E5" s="116">
        <v>13.69</v>
      </c>
      <c r="F5" s="116">
        <v>17.989999999999998</v>
      </c>
      <c r="G5" s="116">
        <v>13.89</v>
      </c>
      <c r="H5" s="116">
        <v>13.49</v>
      </c>
      <c r="I5" s="9">
        <v>13.49</v>
      </c>
      <c r="J5" s="9">
        <v>8.99</v>
      </c>
      <c r="K5" s="117">
        <v>7.99</v>
      </c>
      <c r="L5" s="117">
        <v>19.989999999999998</v>
      </c>
      <c r="M5" s="10">
        <v>9.49</v>
      </c>
      <c r="N5" s="10">
        <v>18.989999999999998</v>
      </c>
      <c r="O5" s="10"/>
    </row>
    <row r="6" spans="1:15" x14ac:dyDescent="0.3">
      <c r="A6" s="8" t="s">
        <v>102</v>
      </c>
      <c r="B6" s="9">
        <v>9.49</v>
      </c>
      <c r="C6" s="116">
        <v>5.79</v>
      </c>
      <c r="D6" s="9">
        <v>19.989999999999998</v>
      </c>
      <c r="E6" s="116">
        <v>13.69</v>
      </c>
      <c r="F6" s="116">
        <v>17.989999999999998</v>
      </c>
      <c r="G6" s="116">
        <v>13.89</v>
      </c>
      <c r="H6" s="116">
        <v>13.49</v>
      </c>
      <c r="I6" s="9">
        <v>13.49</v>
      </c>
      <c r="J6" s="9">
        <v>8.99</v>
      </c>
      <c r="K6" s="117">
        <v>7.99</v>
      </c>
      <c r="L6" s="117">
        <v>19.989999999999998</v>
      </c>
      <c r="M6" s="10">
        <v>9.49</v>
      </c>
      <c r="N6" s="10">
        <v>18.989999999999998</v>
      </c>
      <c r="O6" s="10"/>
    </row>
    <row r="7" spans="1:15" x14ac:dyDescent="0.3">
      <c r="A7" s="8" t="s">
        <v>103</v>
      </c>
      <c r="B7" s="9">
        <v>9.49</v>
      </c>
      <c r="C7" s="116">
        <v>5.79</v>
      </c>
      <c r="D7" s="9">
        <v>19.989999999999998</v>
      </c>
      <c r="E7" s="116">
        <v>13.69</v>
      </c>
      <c r="F7" s="116">
        <v>17.989999999999998</v>
      </c>
      <c r="G7" s="116">
        <v>13.89</v>
      </c>
      <c r="H7" s="116">
        <v>13.49</v>
      </c>
      <c r="I7" s="9">
        <v>13.49</v>
      </c>
      <c r="J7" s="9">
        <v>8.99</v>
      </c>
      <c r="K7" s="117">
        <v>7.99</v>
      </c>
      <c r="L7" s="117">
        <v>19.989999999999998</v>
      </c>
      <c r="M7" s="10">
        <v>9.49</v>
      </c>
      <c r="N7" s="10">
        <v>18.989999999999998</v>
      </c>
      <c r="O7" s="10"/>
    </row>
    <row r="8" spans="1:15" x14ac:dyDescent="0.3">
      <c r="A8" s="8" t="s">
        <v>104</v>
      </c>
      <c r="B8" s="9">
        <v>9.49</v>
      </c>
      <c r="C8" s="116">
        <v>5.79</v>
      </c>
      <c r="D8" s="9">
        <v>19.989999999999998</v>
      </c>
      <c r="E8" s="116">
        <v>13.69</v>
      </c>
      <c r="F8" s="116">
        <v>17.989999999999998</v>
      </c>
      <c r="G8" s="116">
        <v>13.89</v>
      </c>
      <c r="H8" s="116">
        <v>13.49</v>
      </c>
      <c r="I8" s="9">
        <v>13.49</v>
      </c>
      <c r="J8" s="9">
        <v>8.99</v>
      </c>
      <c r="K8" s="117">
        <v>7.99</v>
      </c>
      <c r="L8" s="117">
        <v>19.989999999999998</v>
      </c>
      <c r="M8" s="10">
        <v>9.49</v>
      </c>
      <c r="N8" s="10">
        <v>18.989999999999998</v>
      </c>
      <c r="O8" s="10"/>
    </row>
    <row r="9" spans="1:15" x14ac:dyDescent="0.3">
      <c r="A9" s="8" t="s">
        <v>105</v>
      </c>
      <c r="B9" s="9">
        <v>9.49</v>
      </c>
      <c r="C9" s="116">
        <v>5.79</v>
      </c>
      <c r="D9" s="9">
        <v>19.989999999999998</v>
      </c>
      <c r="E9" s="116">
        <v>13.69</v>
      </c>
      <c r="F9" s="116">
        <v>17.989999999999998</v>
      </c>
      <c r="G9" s="116">
        <v>13.89</v>
      </c>
      <c r="H9" s="116">
        <v>13.49</v>
      </c>
      <c r="I9" s="9">
        <v>13.49</v>
      </c>
      <c r="J9" s="9">
        <v>8.99</v>
      </c>
      <c r="K9" s="117">
        <v>7.99</v>
      </c>
      <c r="L9" s="117">
        <v>19.989999999999998</v>
      </c>
      <c r="M9" s="10">
        <v>9.49</v>
      </c>
      <c r="N9" s="10">
        <v>18.989999999999998</v>
      </c>
      <c r="O9" s="10"/>
    </row>
    <row r="10" spans="1:15" ht="18" x14ac:dyDescent="0.35">
      <c r="A10" s="11" t="s">
        <v>106</v>
      </c>
      <c r="B10" s="9">
        <v>9.49</v>
      </c>
      <c r="C10" s="116">
        <v>5.79</v>
      </c>
      <c r="D10" s="9">
        <v>19.989999999999998</v>
      </c>
      <c r="E10" s="116">
        <v>13.69</v>
      </c>
      <c r="F10" s="116">
        <v>17.989999999999998</v>
      </c>
      <c r="G10" s="116">
        <v>13.89</v>
      </c>
      <c r="H10" s="116">
        <v>13.49</v>
      </c>
      <c r="I10" s="9">
        <v>13.49</v>
      </c>
      <c r="J10" s="120">
        <v>9.99</v>
      </c>
      <c r="K10" s="120">
        <v>9.99</v>
      </c>
      <c r="L10" s="120">
        <v>24.99</v>
      </c>
      <c r="M10" s="10">
        <v>9.49</v>
      </c>
      <c r="N10" s="10">
        <v>18.989999999999998</v>
      </c>
      <c r="O10" s="10"/>
    </row>
    <row r="11" spans="1:15" x14ac:dyDescent="0.3">
      <c r="A11" s="8" t="s">
        <v>107</v>
      </c>
      <c r="B11" s="9">
        <v>9.49</v>
      </c>
      <c r="C11" s="116">
        <v>5.79</v>
      </c>
      <c r="D11" s="9">
        <v>19.989999999999998</v>
      </c>
      <c r="E11" s="116">
        <v>13.69</v>
      </c>
      <c r="F11" s="116">
        <v>17.989999999999998</v>
      </c>
      <c r="G11" s="116">
        <v>13.89</v>
      </c>
      <c r="H11" s="116">
        <v>13.49</v>
      </c>
      <c r="I11" s="9">
        <v>13.49</v>
      </c>
      <c r="J11" s="9">
        <v>8.99</v>
      </c>
      <c r="K11" s="117">
        <v>7.99</v>
      </c>
      <c r="L11" s="117">
        <v>19.989999999999998</v>
      </c>
      <c r="M11" s="10">
        <v>9.49</v>
      </c>
      <c r="N11" s="10">
        <v>18.989999999999998</v>
      </c>
      <c r="O11" s="10"/>
    </row>
    <row r="12" spans="1:15" x14ac:dyDescent="0.3">
      <c r="A12" s="8" t="s">
        <v>108</v>
      </c>
      <c r="B12" s="9">
        <v>9.49</v>
      </c>
      <c r="C12" s="116">
        <v>5.79</v>
      </c>
      <c r="D12" s="9">
        <v>19.989999999999998</v>
      </c>
      <c r="E12" s="116">
        <v>13.69</v>
      </c>
      <c r="F12" s="116">
        <v>17.989999999999998</v>
      </c>
      <c r="G12" s="116">
        <v>13.89</v>
      </c>
      <c r="H12" s="116">
        <v>13.49</v>
      </c>
      <c r="I12" s="9">
        <v>13.49</v>
      </c>
      <c r="J12" s="9">
        <v>8.99</v>
      </c>
      <c r="K12" s="117">
        <v>7.99</v>
      </c>
      <c r="L12" s="117">
        <v>19.989999999999998</v>
      </c>
      <c r="M12" s="10">
        <v>9.49</v>
      </c>
      <c r="N12" s="10">
        <v>18.989999999999998</v>
      </c>
      <c r="O12" s="10"/>
    </row>
    <row r="13" spans="1:15" x14ac:dyDescent="0.3">
      <c r="A13" s="12" t="s">
        <v>109</v>
      </c>
      <c r="B13" s="9">
        <v>9.49</v>
      </c>
      <c r="C13" s="76">
        <v>5.79</v>
      </c>
      <c r="D13" s="9">
        <v>19.989999999999998</v>
      </c>
      <c r="E13" s="76">
        <v>13.69</v>
      </c>
      <c r="F13" s="76">
        <v>17.989999999999998</v>
      </c>
      <c r="G13" s="76">
        <v>13.89</v>
      </c>
      <c r="H13" s="76">
        <v>13.49</v>
      </c>
      <c r="I13" s="9">
        <v>13.49</v>
      </c>
      <c r="J13" s="77">
        <v>9.99</v>
      </c>
      <c r="K13" s="77">
        <v>9.99</v>
      </c>
      <c r="L13" s="77">
        <v>24.99</v>
      </c>
      <c r="M13" s="77">
        <v>9.49</v>
      </c>
      <c r="N13" s="10">
        <v>18.989999999999998</v>
      </c>
      <c r="O13" s="77"/>
    </row>
    <row r="14" spans="1:15" x14ac:dyDescent="0.3">
      <c r="A14" s="8" t="s">
        <v>110</v>
      </c>
      <c r="B14" s="9">
        <v>9.49</v>
      </c>
      <c r="C14" s="116">
        <v>5.79</v>
      </c>
      <c r="D14" s="9">
        <v>19.989999999999998</v>
      </c>
      <c r="E14" s="116">
        <v>13.69</v>
      </c>
      <c r="F14" s="116">
        <v>17.989999999999998</v>
      </c>
      <c r="G14" s="116">
        <v>13.89</v>
      </c>
      <c r="H14" s="116">
        <v>13.49</v>
      </c>
      <c r="I14" s="9">
        <v>13.49</v>
      </c>
      <c r="J14" s="9">
        <v>8.99</v>
      </c>
      <c r="K14" s="117">
        <v>7.99</v>
      </c>
      <c r="L14" s="117">
        <v>19.989999999999998</v>
      </c>
      <c r="M14" s="10">
        <v>9.49</v>
      </c>
      <c r="N14" s="10">
        <v>18.989999999999998</v>
      </c>
      <c r="O14" s="10"/>
    </row>
    <row r="15" spans="1:15" x14ac:dyDescent="0.3">
      <c r="A15" s="8" t="s">
        <v>111</v>
      </c>
      <c r="B15" s="9">
        <v>9.49</v>
      </c>
      <c r="C15" s="116">
        <v>5.79</v>
      </c>
      <c r="D15" s="9">
        <v>19.989999999999998</v>
      </c>
      <c r="E15" s="116">
        <v>13.69</v>
      </c>
      <c r="F15" s="116">
        <v>17.989999999999998</v>
      </c>
      <c r="G15" s="116">
        <v>13.89</v>
      </c>
      <c r="H15" s="116">
        <v>13.49</v>
      </c>
      <c r="I15" s="9">
        <v>13.49</v>
      </c>
      <c r="J15" s="9">
        <v>8.99</v>
      </c>
      <c r="K15" s="117">
        <v>7.99</v>
      </c>
      <c r="L15" s="117">
        <v>19.989999999999998</v>
      </c>
      <c r="M15" s="10">
        <v>9.49</v>
      </c>
      <c r="N15" s="10">
        <v>18.989999999999998</v>
      </c>
      <c r="O15" s="10"/>
    </row>
    <row r="16" spans="1:15" x14ac:dyDescent="0.3">
      <c r="A16" s="8" t="s">
        <v>112</v>
      </c>
      <c r="B16" s="9">
        <v>9.49</v>
      </c>
      <c r="C16" s="116">
        <v>5.79</v>
      </c>
      <c r="D16" s="9">
        <v>19.989999999999998</v>
      </c>
      <c r="E16" s="116">
        <v>13.69</v>
      </c>
      <c r="F16" s="116">
        <v>17.989999999999998</v>
      </c>
      <c r="G16" s="116">
        <v>13.89</v>
      </c>
      <c r="H16" s="116">
        <v>13.49</v>
      </c>
      <c r="I16" s="9">
        <v>13.49</v>
      </c>
      <c r="J16" s="9">
        <v>8.99</v>
      </c>
      <c r="K16" s="117">
        <v>7.99</v>
      </c>
      <c r="L16" s="117">
        <v>19.989999999999998</v>
      </c>
      <c r="M16" s="10">
        <v>9.49</v>
      </c>
      <c r="N16" s="10">
        <v>18.989999999999998</v>
      </c>
      <c r="O16" s="10"/>
    </row>
    <row r="17" spans="1:15" x14ac:dyDescent="0.3">
      <c r="A17" s="8" t="s">
        <v>113</v>
      </c>
      <c r="B17" s="9">
        <v>9.49</v>
      </c>
      <c r="C17" s="116">
        <v>5.79</v>
      </c>
      <c r="D17" s="9">
        <v>19.989999999999998</v>
      </c>
      <c r="E17" s="116">
        <v>13.69</v>
      </c>
      <c r="F17" s="116">
        <v>17.989999999999998</v>
      </c>
      <c r="G17" s="116">
        <v>13.89</v>
      </c>
      <c r="H17" s="116">
        <v>13.49</v>
      </c>
      <c r="I17" s="9">
        <v>13.49</v>
      </c>
      <c r="J17" s="9">
        <v>8.99</v>
      </c>
      <c r="K17" s="117">
        <v>7.99</v>
      </c>
      <c r="L17" s="117">
        <v>19.989999999999998</v>
      </c>
      <c r="M17" s="10">
        <v>9.49</v>
      </c>
      <c r="N17" s="10">
        <v>18.989999999999998</v>
      </c>
      <c r="O17" s="10"/>
    </row>
    <row r="18" spans="1:15" x14ac:dyDescent="0.3">
      <c r="A18" s="8" t="s">
        <v>114</v>
      </c>
      <c r="B18" s="9">
        <v>9.49</v>
      </c>
      <c r="C18" s="116">
        <v>5.79</v>
      </c>
      <c r="D18" s="9">
        <v>19.989999999999998</v>
      </c>
      <c r="E18" s="116">
        <v>13.69</v>
      </c>
      <c r="F18" s="116">
        <v>17.989999999999998</v>
      </c>
      <c r="G18" s="116">
        <v>13.89</v>
      </c>
      <c r="H18" s="116">
        <v>13.49</v>
      </c>
      <c r="I18" s="9">
        <v>13.49</v>
      </c>
      <c r="J18" s="9">
        <v>8.99</v>
      </c>
      <c r="K18" s="117">
        <v>7.99</v>
      </c>
      <c r="L18" s="117">
        <v>19.989999999999998</v>
      </c>
      <c r="M18" s="10">
        <v>9.49</v>
      </c>
      <c r="N18" s="10">
        <v>18.989999999999998</v>
      </c>
      <c r="O18" s="10"/>
    </row>
    <row r="19" spans="1:15" x14ac:dyDescent="0.3">
      <c r="A19" s="8" t="s">
        <v>115</v>
      </c>
      <c r="B19" s="9">
        <v>9.49</v>
      </c>
      <c r="C19" s="116">
        <v>5.79</v>
      </c>
      <c r="D19" s="9">
        <v>19.989999999999998</v>
      </c>
      <c r="E19" s="116">
        <v>13.69</v>
      </c>
      <c r="F19" s="116">
        <v>17.989999999999998</v>
      </c>
      <c r="G19" s="116">
        <v>13.89</v>
      </c>
      <c r="H19" s="116">
        <v>13.49</v>
      </c>
      <c r="I19" s="9">
        <v>13.49</v>
      </c>
      <c r="J19" s="9">
        <v>8.99</v>
      </c>
      <c r="K19" s="117">
        <v>7.99</v>
      </c>
      <c r="L19" s="117">
        <v>19.989999999999998</v>
      </c>
      <c r="M19" s="10">
        <v>9.49</v>
      </c>
      <c r="N19" s="10">
        <v>18.989999999999998</v>
      </c>
      <c r="O19" s="10"/>
    </row>
    <row r="20" spans="1:15" x14ac:dyDescent="0.3">
      <c r="A20" s="13" t="s">
        <v>6</v>
      </c>
      <c r="B20" s="14">
        <v>9.49</v>
      </c>
      <c r="C20" s="76">
        <v>5.79</v>
      </c>
      <c r="D20" s="14">
        <v>19.989999999999998</v>
      </c>
      <c r="E20" s="76">
        <v>13.69</v>
      </c>
      <c r="F20" s="76">
        <v>17.989999999999998</v>
      </c>
      <c r="G20" s="76">
        <v>13.89</v>
      </c>
      <c r="H20" s="76">
        <v>13.49</v>
      </c>
      <c r="I20" s="9">
        <v>13.49</v>
      </c>
      <c r="J20" s="77">
        <v>9.99</v>
      </c>
      <c r="K20" s="77">
        <v>9.99</v>
      </c>
      <c r="L20" s="77">
        <v>24.99</v>
      </c>
      <c r="M20" s="77">
        <v>9.49</v>
      </c>
      <c r="N20" s="10">
        <v>18.989999999999998</v>
      </c>
      <c r="O20" s="77"/>
    </row>
    <row r="21" spans="1:15" x14ac:dyDescent="0.3">
      <c r="A21" s="12" t="s">
        <v>116</v>
      </c>
      <c r="B21" s="9">
        <v>9.49</v>
      </c>
      <c r="C21" s="76">
        <v>5.79</v>
      </c>
      <c r="D21" s="9">
        <v>19.989999999999998</v>
      </c>
      <c r="E21" s="76">
        <v>13.69</v>
      </c>
      <c r="F21" s="76">
        <v>17.989999999999998</v>
      </c>
      <c r="G21" s="76">
        <v>13.89</v>
      </c>
      <c r="H21" s="76">
        <v>13.49</v>
      </c>
      <c r="I21" s="9">
        <v>13.49</v>
      </c>
      <c r="J21" s="77">
        <v>9.99</v>
      </c>
      <c r="K21" s="77">
        <v>9.99</v>
      </c>
      <c r="L21" s="77">
        <v>24.99</v>
      </c>
      <c r="M21" s="77">
        <v>9.49</v>
      </c>
      <c r="N21" s="10">
        <v>18.989999999999998</v>
      </c>
      <c r="O21" s="77"/>
    </row>
    <row r="22" spans="1:15" x14ac:dyDescent="0.3">
      <c r="A22" s="8" t="s">
        <v>117</v>
      </c>
      <c r="B22" s="9">
        <v>9.49</v>
      </c>
      <c r="C22" s="116">
        <v>5.79</v>
      </c>
      <c r="D22" s="9">
        <v>19.989999999999998</v>
      </c>
      <c r="E22" s="116">
        <v>13.69</v>
      </c>
      <c r="F22" s="116">
        <v>17.989999999999998</v>
      </c>
      <c r="G22" s="116">
        <v>13.89</v>
      </c>
      <c r="H22" s="116">
        <v>13.49</v>
      </c>
      <c r="I22" s="9">
        <v>13.49</v>
      </c>
      <c r="J22" s="9">
        <v>8.99</v>
      </c>
      <c r="K22" s="117">
        <v>7.99</v>
      </c>
      <c r="L22" s="117">
        <v>19.989999999999998</v>
      </c>
      <c r="M22" s="10">
        <v>9.49</v>
      </c>
      <c r="N22" s="10">
        <v>18.989999999999998</v>
      </c>
      <c r="O22" s="10"/>
    </row>
    <row r="23" spans="1:15" x14ac:dyDescent="0.3">
      <c r="A23" s="8" t="s">
        <v>118</v>
      </c>
      <c r="B23" s="9">
        <v>9.49</v>
      </c>
      <c r="C23" s="116">
        <v>5.79</v>
      </c>
      <c r="D23" s="9">
        <v>19.989999999999998</v>
      </c>
      <c r="E23" s="116">
        <v>13.69</v>
      </c>
      <c r="F23" s="116">
        <v>17.989999999999998</v>
      </c>
      <c r="G23" s="116">
        <v>13.89</v>
      </c>
      <c r="H23" s="116">
        <v>13.49</v>
      </c>
      <c r="I23" s="9">
        <v>13.49</v>
      </c>
      <c r="J23" s="9">
        <v>8.99</v>
      </c>
      <c r="K23" s="117">
        <v>7.99</v>
      </c>
      <c r="L23" s="117">
        <v>19.989999999999998</v>
      </c>
      <c r="M23" s="10">
        <v>9.49</v>
      </c>
      <c r="N23" s="10">
        <v>18.989999999999998</v>
      </c>
      <c r="O23" s="10"/>
    </row>
    <row r="24" spans="1:15" x14ac:dyDescent="0.3">
      <c r="A24" s="8" t="s">
        <v>119</v>
      </c>
      <c r="B24" s="9">
        <v>9.49</v>
      </c>
      <c r="C24" s="116">
        <v>5.79</v>
      </c>
      <c r="D24" s="9">
        <v>19.989999999999998</v>
      </c>
      <c r="E24" s="116">
        <v>13.69</v>
      </c>
      <c r="F24" s="116">
        <v>17.989999999999998</v>
      </c>
      <c r="G24" s="116">
        <v>13.89</v>
      </c>
      <c r="H24" s="116">
        <v>13.49</v>
      </c>
      <c r="I24" s="9">
        <v>13.49</v>
      </c>
      <c r="J24" s="9">
        <v>8.99</v>
      </c>
      <c r="K24" s="117">
        <v>7.99</v>
      </c>
      <c r="L24" s="117">
        <v>19.989999999999998</v>
      </c>
      <c r="M24" s="10">
        <v>9.49</v>
      </c>
      <c r="N24" s="10">
        <v>18.989999999999998</v>
      </c>
      <c r="O24" s="10"/>
    </row>
    <row r="25" spans="1:15" x14ac:dyDescent="0.3">
      <c r="A25" s="12" t="s">
        <v>120</v>
      </c>
      <c r="B25" s="9">
        <v>9.49</v>
      </c>
      <c r="C25" s="76">
        <v>5.79</v>
      </c>
      <c r="D25" s="9">
        <v>19.989999999999998</v>
      </c>
      <c r="E25" s="76">
        <v>13.69</v>
      </c>
      <c r="F25" s="76">
        <v>17.989999999999998</v>
      </c>
      <c r="G25" s="76">
        <v>13.89</v>
      </c>
      <c r="H25" s="76">
        <v>13.49</v>
      </c>
      <c r="I25" s="9">
        <v>13.49</v>
      </c>
      <c r="J25" s="77">
        <v>9.99</v>
      </c>
      <c r="K25" s="77">
        <v>9.99</v>
      </c>
      <c r="L25" s="77">
        <v>24.99</v>
      </c>
      <c r="M25" s="77">
        <v>9.49</v>
      </c>
      <c r="N25" s="10">
        <v>18.989999999999998</v>
      </c>
      <c r="O25" s="77"/>
    </row>
    <row r="26" spans="1:15" x14ac:dyDescent="0.3">
      <c r="A26" s="12" t="s">
        <v>121</v>
      </c>
      <c r="B26" s="9">
        <v>9.49</v>
      </c>
      <c r="C26" s="76">
        <v>5.79</v>
      </c>
      <c r="D26" s="9">
        <v>19.989999999999998</v>
      </c>
      <c r="E26" s="76">
        <v>13.69</v>
      </c>
      <c r="F26" s="76">
        <v>17.989999999999998</v>
      </c>
      <c r="G26" s="76">
        <v>13.89</v>
      </c>
      <c r="H26" s="76">
        <v>13.49</v>
      </c>
      <c r="I26" s="9">
        <v>13.49</v>
      </c>
      <c r="J26" s="77">
        <v>9.99</v>
      </c>
      <c r="K26" s="77">
        <v>9.99</v>
      </c>
      <c r="L26" s="77">
        <v>24.99</v>
      </c>
      <c r="M26" s="77">
        <v>9.49</v>
      </c>
      <c r="N26" s="10">
        <v>18.989999999999998</v>
      </c>
      <c r="O26" s="77"/>
    </row>
    <row r="27" spans="1:15" x14ac:dyDescent="0.3">
      <c r="A27" s="8" t="s">
        <v>122</v>
      </c>
      <c r="B27" s="9">
        <v>9.49</v>
      </c>
      <c r="C27" s="116">
        <v>5.79</v>
      </c>
      <c r="D27" s="9">
        <v>19.989999999999998</v>
      </c>
      <c r="E27" s="116">
        <v>13.69</v>
      </c>
      <c r="F27" s="116">
        <v>17.989999999999998</v>
      </c>
      <c r="G27" s="116">
        <v>13.89</v>
      </c>
      <c r="H27" s="116">
        <v>13.49</v>
      </c>
      <c r="I27" s="9">
        <v>13.49</v>
      </c>
      <c r="J27" s="9">
        <v>8.99</v>
      </c>
      <c r="K27" s="117">
        <v>7.99</v>
      </c>
      <c r="L27" s="117">
        <v>19.989999999999998</v>
      </c>
      <c r="M27" s="10">
        <v>9.49</v>
      </c>
      <c r="N27" s="10">
        <v>18.989999999999998</v>
      </c>
      <c r="O27" s="10"/>
    </row>
    <row r="28" spans="1:15" x14ac:dyDescent="0.3">
      <c r="A28" s="12" t="s">
        <v>123</v>
      </c>
      <c r="B28" s="9">
        <v>9.49</v>
      </c>
      <c r="C28" s="76">
        <v>5.79</v>
      </c>
      <c r="D28" s="9">
        <v>19.989999999999998</v>
      </c>
      <c r="E28" s="76">
        <v>13.69</v>
      </c>
      <c r="F28" s="76">
        <v>17.989999999999998</v>
      </c>
      <c r="G28" s="76">
        <v>13.89</v>
      </c>
      <c r="H28" s="76">
        <v>13.49</v>
      </c>
      <c r="I28" s="9">
        <v>13.49</v>
      </c>
      <c r="J28" s="77">
        <v>9.99</v>
      </c>
      <c r="K28" s="77">
        <v>9.99</v>
      </c>
      <c r="L28" s="77">
        <v>24.99</v>
      </c>
      <c r="M28" s="77">
        <v>9.49</v>
      </c>
      <c r="N28" s="10">
        <v>18.989999999999998</v>
      </c>
      <c r="O28" s="77"/>
    </row>
    <row r="29" spans="1:15" x14ac:dyDescent="0.3">
      <c r="A29" s="118" t="s">
        <v>124</v>
      </c>
      <c r="B29" s="9">
        <v>9.49</v>
      </c>
      <c r="C29" s="76">
        <v>5.79</v>
      </c>
      <c r="D29" s="9">
        <v>19.989999999999998</v>
      </c>
      <c r="E29" s="76">
        <v>13.69</v>
      </c>
      <c r="F29" s="76">
        <v>17.989999999999998</v>
      </c>
      <c r="G29" s="76">
        <v>13.89</v>
      </c>
      <c r="H29" s="76">
        <v>13.49</v>
      </c>
      <c r="I29" s="9">
        <v>13.49</v>
      </c>
      <c r="J29" s="77">
        <v>9.99</v>
      </c>
      <c r="K29" s="77">
        <v>9.99</v>
      </c>
      <c r="L29" s="77">
        <v>24.99</v>
      </c>
      <c r="M29" s="77">
        <v>9.49</v>
      </c>
      <c r="N29" s="10">
        <v>18.989999999999998</v>
      </c>
      <c r="O29" s="77"/>
    </row>
    <row r="30" spans="1:15" x14ac:dyDescent="0.3">
      <c r="A30" s="8" t="s">
        <v>125</v>
      </c>
      <c r="B30" s="9">
        <v>9.49</v>
      </c>
      <c r="C30" s="116">
        <v>5.79</v>
      </c>
      <c r="D30" s="9">
        <v>19.989999999999998</v>
      </c>
      <c r="E30" s="116">
        <v>13.69</v>
      </c>
      <c r="F30" s="116">
        <v>17.989999999999998</v>
      </c>
      <c r="G30" s="116">
        <v>13.89</v>
      </c>
      <c r="H30" s="116">
        <v>13.49</v>
      </c>
      <c r="I30" s="9">
        <v>13.49</v>
      </c>
      <c r="J30" s="9">
        <v>8.99</v>
      </c>
      <c r="K30" s="117">
        <v>7.99</v>
      </c>
      <c r="L30" s="117">
        <v>19.989999999999998</v>
      </c>
      <c r="M30" s="10">
        <v>9.49</v>
      </c>
      <c r="N30" s="10">
        <v>18.989999999999998</v>
      </c>
      <c r="O30" s="10"/>
    </row>
    <row r="31" spans="1:15" x14ac:dyDescent="0.3">
      <c r="A31" s="78" t="s">
        <v>126</v>
      </c>
      <c r="B31" s="119"/>
      <c r="C31" s="79"/>
      <c r="D31" s="11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3" spans="1:15" x14ac:dyDescent="0.3">
      <c r="A33" s="80" t="s">
        <v>12</v>
      </c>
      <c r="B33" s="81">
        <v>9.49</v>
      </c>
      <c r="C33" s="82">
        <v>5.79</v>
      </c>
      <c r="D33" s="82">
        <v>19.989999999999998</v>
      </c>
      <c r="E33" s="82">
        <v>13.69</v>
      </c>
      <c r="F33" s="82">
        <v>17.989999999999998</v>
      </c>
      <c r="G33" s="82">
        <v>13.89</v>
      </c>
      <c r="H33" s="82">
        <v>13.49</v>
      </c>
      <c r="I33" s="82">
        <v>12.49</v>
      </c>
      <c r="J33" s="82">
        <v>9.99</v>
      </c>
      <c r="K33" s="82">
        <v>9.99</v>
      </c>
      <c r="L33" s="82">
        <v>24.99</v>
      </c>
      <c r="M33" s="82">
        <v>9.49</v>
      </c>
      <c r="N33" s="82">
        <v>18.989999999999998</v>
      </c>
      <c r="O33" s="82">
        <v>0</v>
      </c>
    </row>
    <row r="34" spans="1:15" x14ac:dyDescent="0.3">
      <c r="I34" t="s">
        <v>144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2EC2-6726-492A-94B4-C8C972019649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14" t="s">
        <v>143</v>
      </c>
      <c r="B1" s="114" t="s">
        <v>143</v>
      </c>
      <c r="C1" s="114" t="s">
        <v>143</v>
      </c>
      <c r="D1" s="114" t="s">
        <v>143</v>
      </c>
      <c r="E1" s="114" t="s">
        <v>143</v>
      </c>
      <c r="F1" s="114" t="s">
        <v>143</v>
      </c>
      <c r="G1" s="114" t="s">
        <v>143</v>
      </c>
      <c r="H1" s="114" t="s">
        <v>143</v>
      </c>
      <c r="I1" s="114" t="s">
        <v>143</v>
      </c>
      <c r="J1" s="114" t="s">
        <v>143</v>
      </c>
      <c r="K1" s="114" t="s">
        <v>143</v>
      </c>
      <c r="L1" s="114" t="s">
        <v>143</v>
      </c>
      <c r="M1" s="114" t="s">
        <v>143</v>
      </c>
      <c r="N1" s="114" t="s">
        <v>143</v>
      </c>
      <c r="O1" s="114" t="s">
        <v>143</v>
      </c>
    </row>
    <row r="2" spans="1:22" ht="31.2" x14ac:dyDescent="0.3">
      <c r="A2" s="74" t="s">
        <v>89</v>
      </c>
      <c r="B2" s="152" t="s">
        <v>129</v>
      </c>
      <c r="C2" s="153" t="s">
        <v>130</v>
      </c>
      <c r="D2" s="152" t="s">
        <v>131</v>
      </c>
      <c r="E2" s="152" t="s">
        <v>132</v>
      </c>
      <c r="F2" s="153" t="s">
        <v>133</v>
      </c>
      <c r="G2" s="152" t="s">
        <v>134</v>
      </c>
      <c r="H2" s="153" t="s">
        <v>135</v>
      </c>
      <c r="I2" s="152" t="s">
        <v>136</v>
      </c>
      <c r="J2" s="154" t="s">
        <v>137</v>
      </c>
      <c r="K2" s="154" t="s">
        <v>138</v>
      </c>
      <c r="L2" s="154" t="s">
        <v>139</v>
      </c>
      <c r="M2" s="152" t="s">
        <v>140</v>
      </c>
      <c r="N2" s="153" t="s">
        <v>141</v>
      </c>
      <c r="O2" s="152" t="s">
        <v>178</v>
      </c>
      <c r="P2" s="152" t="s">
        <v>179</v>
      </c>
      <c r="Q2" s="152" t="s">
        <v>180</v>
      </c>
      <c r="R2" s="152" t="s">
        <v>181</v>
      </c>
      <c r="S2" s="152" t="s">
        <v>182</v>
      </c>
      <c r="T2" s="152" t="s">
        <v>183</v>
      </c>
      <c r="U2" s="152" t="s">
        <v>184</v>
      </c>
      <c r="V2" t="s">
        <v>185</v>
      </c>
    </row>
    <row r="3" spans="1:22" x14ac:dyDescent="0.3">
      <c r="A3" s="8" t="s">
        <v>99</v>
      </c>
      <c r="B3" s="9">
        <v>9.49</v>
      </c>
      <c r="C3" s="116">
        <v>5.79</v>
      </c>
      <c r="D3" s="9">
        <v>19.989999999999998</v>
      </c>
      <c r="E3" s="116">
        <v>13.69</v>
      </c>
      <c r="F3" s="116">
        <v>18.989999999999998</v>
      </c>
      <c r="G3" s="116">
        <v>13.89</v>
      </c>
      <c r="H3" s="116">
        <v>13.49</v>
      </c>
      <c r="I3" s="9">
        <v>13.49</v>
      </c>
      <c r="J3" s="9">
        <v>8.99</v>
      </c>
      <c r="K3" s="117">
        <v>7.99</v>
      </c>
      <c r="L3" s="117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 x14ac:dyDescent="0.3">
      <c r="A4" s="8" t="s">
        <v>100</v>
      </c>
      <c r="B4" s="9">
        <v>9.49</v>
      </c>
      <c r="C4" s="116">
        <v>5.79</v>
      </c>
      <c r="D4" s="9">
        <v>19.989999999999998</v>
      </c>
      <c r="E4" s="116">
        <v>13.69</v>
      </c>
      <c r="F4" s="116">
        <v>18.989999999999998</v>
      </c>
      <c r="G4" s="116">
        <v>13.89</v>
      </c>
      <c r="H4" s="116">
        <v>13.49</v>
      </c>
      <c r="I4" s="9">
        <v>13.49</v>
      </c>
      <c r="J4" s="9">
        <v>8.99</v>
      </c>
      <c r="K4" s="117">
        <v>7.99</v>
      </c>
      <c r="L4" s="117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 x14ac:dyDescent="0.3">
      <c r="A5" s="8" t="s">
        <v>101</v>
      </c>
      <c r="B5" s="9">
        <v>9.49</v>
      </c>
      <c r="C5" s="116">
        <v>5.79</v>
      </c>
      <c r="D5" s="9">
        <v>19.989999999999998</v>
      </c>
      <c r="E5" s="116">
        <v>13.69</v>
      </c>
      <c r="F5" s="116">
        <v>18.989999999999998</v>
      </c>
      <c r="G5" s="116">
        <v>13.89</v>
      </c>
      <c r="H5" s="116">
        <v>13.49</v>
      </c>
      <c r="I5" s="9">
        <v>13.49</v>
      </c>
      <c r="J5" s="9">
        <v>8.99</v>
      </c>
      <c r="K5" s="117">
        <v>7.99</v>
      </c>
      <c r="L5" s="117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 x14ac:dyDescent="0.3">
      <c r="A6" s="8" t="s">
        <v>102</v>
      </c>
      <c r="B6" s="9">
        <v>9.49</v>
      </c>
      <c r="C6" s="116">
        <v>5.79</v>
      </c>
      <c r="D6" s="9">
        <v>19.989999999999998</v>
      </c>
      <c r="E6" s="116">
        <v>13.69</v>
      </c>
      <c r="F6" s="116">
        <v>18.989999999999998</v>
      </c>
      <c r="G6" s="116">
        <v>13.89</v>
      </c>
      <c r="H6" s="116">
        <v>13.49</v>
      </c>
      <c r="I6" s="9">
        <v>13.49</v>
      </c>
      <c r="J6" s="9">
        <v>8.99</v>
      </c>
      <c r="K6" s="117">
        <v>7.99</v>
      </c>
      <c r="L6" s="117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 x14ac:dyDescent="0.3">
      <c r="A7" s="8" t="s">
        <v>103</v>
      </c>
      <c r="B7" s="9">
        <v>9.49</v>
      </c>
      <c r="C7" s="116">
        <v>5.79</v>
      </c>
      <c r="D7" s="9">
        <v>19.989999999999998</v>
      </c>
      <c r="E7" s="116">
        <v>13.69</v>
      </c>
      <c r="F7" s="116">
        <v>18.989999999999998</v>
      </c>
      <c r="G7" s="116">
        <v>13.89</v>
      </c>
      <c r="H7" s="116">
        <v>13.49</v>
      </c>
      <c r="I7" s="9">
        <v>13.49</v>
      </c>
      <c r="J7" s="9">
        <v>8.99</v>
      </c>
      <c r="K7" s="117">
        <v>7.99</v>
      </c>
      <c r="L7" s="117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 x14ac:dyDescent="0.3">
      <c r="A8" s="8" t="s">
        <v>104</v>
      </c>
      <c r="B8" s="9">
        <v>9.49</v>
      </c>
      <c r="C8" s="116">
        <v>5.79</v>
      </c>
      <c r="D8" s="9">
        <v>19.989999999999998</v>
      </c>
      <c r="E8" s="116">
        <v>13.69</v>
      </c>
      <c r="F8" s="116">
        <v>18.989999999999998</v>
      </c>
      <c r="G8" s="116">
        <v>13.89</v>
      </c>
      <c r="H8" s="116">
        <v>13.49</v>
      </c>
      <c r="I8" s="9">
        <v>13.49</v>
      </c>
      <c r="J8" s="9">
        <v>8.99</v>
      </c>
      <c r="K8" s="117">
        <v>7.99</v>
      </c>
      <c r="L8" s="117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 x14ac:dyDescent="0.3">
      <c r="A9" s="8" t="s">
        <v>105</v>
      </c>
      <c r="B9" s="9">
        <v>9.49</v>
      </c>
      <c r="C9" s="116">
        <v>5.79</v>
      </c>
      <c r="D9" s="9">
        <v>19.989999999999998</v>
      </c>
      <c r="E9" s="116">
        <v>13.69</v>
      </c>
      <c r="F9" s="116">
        <v>18.989999999999998</v>
      </c>
      <c r="G9" s="116">
        <v>13.89</v>
      </c>
      <c r="H9" s="116">
        <v>13.49</v>
      </c>
      <c r="I9" s="9">
        <v>13.49</v>
      </c>
      <c r="J9" s="9">
        <v>8.99</v>
      </c>
      <c r="K9" s="117">
        <v>7.99</v>
      </c>
      <c r="L9" s="117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 x14ac:dyDescent="0.35">
      <c r="A10" s="11" t="s">
        <v>106</v>
      </c>
      <c r="B10" s="9">
        <v>9.49</v>
      </c>
      <c r="C10" s="116">
        <v>5.79</v>
      </c>
      <c r="D10" s="9">
        <v>19.989999999999998</v>
      </c>
      <c r="E10" s="116">
        <v>13.69</v>
      </c>
      <c r="F10" s="116">
        <v>18.989999999999998</v>
      </c>
      <c r="G10" s="116">
        <v>13.89</v>
      </c>
      <c r="H10" s="116">
        <v>13.49</v>
      </c>
      <c r="I10" s="9">
        <v>13.49</v>
      </c>
      <c r="J10" s="120">
        <v>9.99</v>
      </c>
      <c r="K10" s="120">
        <v>9.99</v>
      </c>
      <c r="L10" s="120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 x14ac:dyDescent="0.3">
      <c r="A11" s="8" t="s">
        <v>107</v>
      </c>
      <c r="B11" s="9">
        <v>9.49</v>
      </c>
      <c r="C11" s="116">
        <v>5.79</v>
      </c>
      <c r="D11" s="9">
        <v>19.989999999999998</v>
      </c>
      <c r="E11" s="116">
        <v>13.69</v>
      </c>
      <c r="F11" s="116">
        <v>18.989999999999998</v>
      </c>
      <c r="G11" s="116">
        <v>13.89</v>
      </c>
      <c r="H11" s="116">
        <v>13.49</v>
      </c>
      <c r="I11" s="9">
        <v>13.49</v>
      </c>
      <c r="J11" s="9">
        <v>8.99</v>
      </c>
      <c r="K11" s="117">
        <v>7.99</v>
      </c>
      <c r="L11" s="117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 x14ac:dyDescent="0.3">
      <c r="A12" s="8" t="s">
        <v>108</v>
      </c>
      <c r="B12" s="9">
        <v>9.49</v>
      </c>
      <c r="C12" s="116">
        <v>5.79</v>
      </c>
      <c r="D12" s="9">
        <v>19.989999999999998</v>
      </c>
      <c r="E12" s="116">
        <v>13.69</v>
      </c>
      <c r="F12" s="116">
        <v>18.989999999999998</v>
      </c>
      <c r="G12" s="116">
        <v>13.89</v>
      </c>
      <c r="H12" s="116">
        <v>13.49</v>
      </c>
      <c r="I12" s="9">
        <v>13.49</v>
      </c>
      <c r="J12" s="9">
        <v>8.99</v>
      </c>
      <c r="K12" s="117">
        <v>7.99</v>
      </c>
      <c r="L12" s="117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 x14ac:dyDescent="0.3">
      <c r="A13" s="12" t="s">
        <v>109</v>
      </c>
      <c r="B13" s="9">
        <v>9.49</v>
      </c>
      <c r="C13" s="116">
        <v>5.79</v>
      </c>
      <c r="D13" s="9">
        <v>19.989999999999998</v>
      </c>
      <c r="E13" s="76">
        <v>13.69</v>
      </c>
      <c r="F13" s="116">
        <v>18.989999999999998</v>
      </c>
      <c r="G13" s="76">
        <v>13.89</v>
      </c>
      <c r="H13" s="116">
        <v>13.49</v>
      </c>
      <c r="I13" s="9">
        <v>13.49</v>
      </c>
      <c r="J13" s="77">
        <v>9.99</v>
      </c>
      <c r="K13" s="77">
        <v>9.99</v>
      </c>
      <c r="L13" s="77">
        <v>24.99</v>
      </c>
      <c r="M13" s="77">
        <v>9.49</v>
      </c>
      <c r="N13" s="10">
        <v>18.989999999999998</v>
      </c>
      <c r="O13" s="77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 x14ac:dyDescent="0.3">
      <c r="A14" s="8" t="s">
        <v>110</v>
      </c>
      <c r="B14" s="9">
        <v>9.49</v>
      </c>
      <c r="C14" s="116">
        <v>5.79</v>
      </c>
      <c r="D14" s="9">
        <v>19.989999999999998</v>
      </c>
      <c r="E14" s="116">
        <v>13.69</v>
      </c>
      <c r="F14" s="116">
        <v>18.989999999999998</v>
      </c>
      <c r="G14" s="116">
        <v>13.89</v>
      </c>
      <c r="H14" s="116">
        <v>13.49</v>
      </c>
      <c r="I14" s="9">
        <v>13.49</v>
      </c>
      <c r="J14" s="9">
        <v>8.99</v>
      </c>
      <c r="K14" s="117">
        <v>7.99</v>
      </c>
      <c r="L14" s="117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 x14ac:dyDescent="0.3">
      <c r="A15" s="8" t="s">
        <v>111</v>
      </c>
      <c r="B15" s="9">
        <v>9.49</v>
      </c>
      <c r="C15" s="116">
        <v>5.79</v>
      </c>
      <c r="D15" s="9">
        <v>19.989999999999998</v>
      </c>
      <c r="E15" s="116">
        <v>13.69</v>
      </c>
      <c r="F15" s="116">
        <v>18.989999999999998</v>
      </c>
      <c r="G15" s="116">
        <v>13.89</v>
      </c>
      <c r="H15" s="116">
        <v>13.49</v>
      </c>
      <c r="I15" s="9">
        <v>13.49</v>
      </c>
      <c r="J15" s="9">
        <v>8.99</v>
      </c>
      <c r="K15" s="117">
        <v>7.99</v>
      </c>
      <c r="L15" s="117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 x14ac:dyDescent="0.3">
      <c r="A16" s="8" t="s">
        <v>112</v>
      </c>
      <c r="B16" s="9">
        <v>9.49</v>
      </c>
      <c r="C16" s="116">
        <v>5.79</v>
      </c>
      <c r="D16" s="9">
        <v>19.989999999999998</v>
      </c>
      <c r="E16" s="116">
        <v>13.69</v>
      </c>
      <c r="F16" s="116">
        <v>18.989999999999998</v>
      </c>
      <c r="G16" s="116">
        <v>13.89</v>
      </c>
      <c r="H16" s="116">
        <v>13.49</v>
      </c>
      <c r="I16" s="9">
        <v>13.49</v>
      </c>
      <c r="J16" s="9">
        <v>8.99</v>
      </c>
      <c r="K16" s="117">
        <v>7.99</v>
      </c>
      <c r="L16" s="117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 x14ac:dyDescent="0.3">
      <c r="A17" s="8" t="s">
        <v>113</v>
      </c>
      <c r="B17" s="9">
        <v>9.49</v>
      </c>
      <c r="C17" s="116">
        <v>5.79</v>
      </c>
      <c r="D17" s="9">
        <v>19.989999999999998</v>
      </c>
      <c r="E17" s="116">
        <v>13.69</v>
      </c>
      <c r="F17" s="116">
        <v>18.989999999999998</v>
      </c>
      <c r="G17" s="116">
        <v>13.89</v>
      </c>
      <c r="H17" s="116">
        <v>13.49</v>
      </c>
      <c r="I17" s="9">
        <v>13.49</v>
      </c>
      <c r="J17" s="9">
        <v>8.99</v>
      </c>
      <c r="K17" s="117">
        <v>7.99</v>
      </c>
      <c r="L17" s="117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 x14ac:dyDescent="0.3">
      <c r="A18" s="8" t="s">
        <v>114</v>
      </c>
      <c r="B18" s="9">
        <v>9.49</v>
      </c>
      <c r="C18" s="116">
        <v>5.79</v>
      </c>
      <c r="D18" s="9">
        <v>19.989999999999998</v>
      </c>
      <c r="E18" s="116">
        <v>13.69</v>
      </c>
      <c r="F18" s="116">
        <v>18.989999999999998</v>
      </c>
      <c r="G18" s="116">
        <v>13.89</v>
      </c>
      <c r="H18" s="116">
        <v>13.49</v>
      </c>
      <c r="I18" s="9">
        <v>13.49</v>
      </c>
      <c r="J18" s="9">
        <v>8.99</v>
      </c>
      <c r="K18" s="117">
        <v>7.99</v>
      </c>
      <c r="L18" s="117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 x14ac:dyDescent="0.3">
      <c r="A19" s="8" t="s">
        <v>115</v>
      </c>
      <c r="B19" s="9">
        <v>9.49</v>
      </c>
      <c r="C19" s="116">
        <v>5.79</v>
      </c>
      <c r="D19" s="9">
        <v>19.989999999999998</v>
      </c>
      <c r="E19" s="116">
        <v>13.69</v>
      </c>
      <c r="F19" s="116">
        <v>18.989999999999998</v>
      </c>
      <c r="G19" s="116">
        <v>13.89</v>
      </c>
      <c r="H19" s="116">
        <v>13.49</v>
      </c>
      <c r="I19" s="9">
        <v>13.49</v>
      </c>
      <c r="J19" s="9">
        <v>8.99</v>
      </c>
      <c r="K19" s="117">
        <v>7.99</v>
      </c>
      <c r="L19" s="117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 x14ac:dyDescent="0.3">
      <c r="A20" s="13" t="s">
        <v>6</v>
      </c>
      <c r="B20" s="14">
        <v>9.49</v>
      </c>
      <c r="C20" s="116">
        <v>5.79</v>
      </c>
      <c r="D20" s="14">
        <v>19.989999999999998</v>
      </c>
      <c r="E20" s="76">
        <v>13.69</v>
      </c>
      <c r="F20" s="116">
        <v>18.989999999999998</v>
      </c>
      <c r="G20" s="76">
        <v>13.89</v>
      </c>
      <c r="H20" s="116">
        <v>13.49</v>
      </c>
      <c r="I20" s="9">
        <v>13.49</v>
      </c>
      <c r="J20" s="77">
        <v>9.99</v>
      </c>
      <c r="K20" s="77">
        <v>9.99</v>
      </c>
      <c r="L20" s="77">
        <v>24.99</v>
      </c>
      <c r="M20" s="77">
        <v>9.49</v>
      </c>
      <c r="N20" s="10">
        <v>18.989999999999998</v>
      </c>
      <c r="O20" s="77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 x14ac:dyDescent="0.3">
      <c r="A21" s="12" t="s">
        <v>116</v>
      </c>
      <c r="B21" s="9">
        <v>9.49</v>
      </c>
      <c r="C21" s="116">
        <v>5.79</v>
      </c>
      <c r="D21" s="9">
        <v>19.989999999999998</v>
      </c>
      <c r="E21" s="76">
        <v>13.69</v>
      </c>
      <c r="F21" s="116">
        <v>18.989999999999998</v>
      </c>
      <c r="G21" s="76">
        <v>13.89</v>
      </c>
      <c r="H21" s="116">
        <v>13.49</v>
      </c>
      <c r="I21" s="9">
        <v>13.49</v>
      </c>
      <c r="J21" s="77">
        <v>9.99</v>
      </c>
      <c r="K21" s="77">
        <v>9.99</v>
      </c>
      <c r="L21" s="77">
        <v>24.99</v>
      </c>
      <c r="M21" s="77">
        <v>9.49</v>
      </c>
      <c r="N21" s="10">
        <v>18.989999999999998</v>
      </c>
      <c r="O21" s="77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 x14ac:dyDescent="0.3">
      <c r="A22" s="8" t="s">
        <v>117</v>
      </c>
      <c r="B22" s="9">
        <v>9.49</v>
      </c>
      <c r="C22" s="116">
        <v>5.79</v>
      </c>
      <c r="D22" s="9">
        <v>19.989999999999998</v>
      </c>
      <c r="E22" s="116">
        <v>13.69</v>
      </c>
      <c r="F22" s="116">
        <v>18.989999999999998</v>
      </c>
      <c r="G22" s="116">
        <v>13.89</v>
      </c>
      <c r="H22" s="116">
        <v>13.49</v>
      </c>
      <c r="I22" s="9">
        <v>13.49</v>
      </c>
      <c r="J22" s="9">
        <v>8.99</v>
      </c>
      <c r="K22" s="117">
        <v>7.99</v>
      </c>
      <c r="L22" s="117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 x14ac:dyDescent="0.3">
      <c r="A23" s="8" t="s">
        <v>118</v>
      </c>
      <c r="B23" s="9">
        <v>9.49</v>
      </c>
      <c r="C23" s="116">
        <v>5.79</v>
      </c>
      <c r="D23" s="9">
        <v>19.989999999999998</v>
      </c>
      <c r="E23" s="116">
        <v>13.69</v>
      </c>
      <c r="F23" s="116">
        <v>18.989999999999998</v>
      </c>
      <c r="G23" s="116">
        <v>13.89</v>
      </c>
      <c r="H23" s="116">
        <v>13.49</v>
      </c>
      <c r="I23" s="9">
        <v>13.49</v>
      </c>
      <c r="J23" s="9">
        <v>8.99</v>
      </c>
      <c r="K23" s="117">
        <v>7.99</v>
      </c>
      <c r="L23" s="117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 x14ac:dyDescent="0.3">
      <c r="A24" s="8" t="s">
        <v>119</v>
      </c>
      <c r="B24" s="9">
        <v>9.49</v>
      </c>
      <c r="C24" s="116">
        <v>5.79</v>
      </c>
      <c r="D24" s="9">
        <v>19.989999999999998</v>
      </c>
      <c r="E24" s="116">
        <v>13.69</v>
      </c>
      <c r="F24" s="116">
        <v>18.989999999999998</v>
      </c>
      <c r="G24" s="116">
        <v>13.89</v>
      </c>
      <c r="H24" s="116">
        <v>13.49</v>
      </c>
      <c r="I24" s="9">
        <v>13.49</v>
      </c>
      <c r="J24" s="9">
        <v>8.99</v>
      </c>
      <c r="K24" s="117">
        <v>7.99</v>
      </c>
      <c r="L24" s="117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 x14ac:dyDescent="0.3">
      <c r="A25" s="12" t="s">
        <v>120</v>
      </c>
      <c r="B25" s="9">
        <v>9.49</v>
      </c>
      <c r="C25" s="116">
        <v>5.79</v>
      </c>
      <c r="D25" s="9">
        <v>19.989999999999998</v>
      </c>
      <c r="E25" s="76">
        <v>13.69</v>
      </c>
      <c r="F25" s="116">
        <v>18.989999999999998</v>
      </c>
      <c r="G25" s="76">
        <v>13.89</v>
      </c>
      <c r="H25" s="116">
        <v>13.49</v>
      </c>
      <c r="I25" s="9">
        <v>13.49</v>
      </c>
      <c r="J25" s="77">
        <v>9.99</v>
      </c>
      <c r="K25" s="77">
        <v>9.99</v>
      </c>
      <c r="L25" s="77">
        <v>24.99</v>
      </c>
      <c r="M25" s="77">
        <v>9.49</v>
      </c>
      <c r="N25" s="10">
        <v>18.989999999999998</v>
      </c>
      <c r="O25" s="77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 x14ac:dyDescent="0.3">
      <c r="A26" s="12" t="s">
        <v>121</v>
      </c>
      <c r="B26" s="9">
        <v>9.49</v>
      </c>
      <c r="C26" s="116">
        <v>5.79</v>
      </c>
      <c r="D26" s="9">
        <v>19.989999999999998</v>
      </c>
      <c r="E26" s="76">
        <v>13.69</v>
      </c>
      <c r="F26" s="116">
        <v>18.989999999999998</v>
      </c>
      <c r="G26" s="76">
        <v>13.89</v>
      </c>
      <c r="H26" s="116">
        <v>13.49</v>
      </c>
      <c r="I26" s="9">
        <v>13.49</v>
      </c>
      <c r="J26" s="77">
        <v>9.99</v>
      </c>
      <c r="K26" s="77">
        <v>9.99</v>
      </c>
      <c r="L26" s="77">
        <v>24.99</v>
      </c>
      <c r="M26" s="77">
        <v>9.49</v>
      </c>
      <c r="N26" s="10">
        <v>18.989999999999998</v>
      </c>
      <c r="O26" s="77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 x14ac:dyDescent="0.3">
      <c r="A27" s="8" t="s">
        <v>122</v>
      </c>
      <c r="B27" s="9">
        <v>9.49</v>
      </c>
      <c r="C27" s="116">
        <v>5.79</v>
      </c>
      <c r="D27" s="9">
        <v>19.989999999999998</v>
      </c>
      <c r="E27" s="116">
        <v>13.69</v>
      </c>
      <c r="F27" s="116">
        <v>18.989999999999998</v>
      </c>
      <c r="G27" s="116">
        <v>13.89</v>
      </c>
      <c r="H27" s="116">
        <v>13.49</v>
      </c>
      <c r="I27" s="9">
        <v>13.49</v>
      </c>
      <c r="J27" s="9">
        <v>8.99</v>
      </c>
      <c r="K27" s="117">
        <v>7.99</v>
      </c>
      <c r="L27" s="117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 x14ac:dyDescent="0.3">
      <c r="A28" s="12" t="s">
        <v>123</v>
      </c>
      <c r="B28" s="9">
        <v>9.49</v>
      </c>
      <c r="C28" s="116">
        <v>5.79</v>
      </c>
      <c r="D28" s="9">
        <v>19.989999999999998</v>
      </c>
      <c r="E28" s="76">
        <v>13.69</v>
      </c>
      <c r="F28" s="116">
        <v>18.989999999999998</v>
      </c>
      <c r="G28" s="76">
        <v>13.89</v>
      </c>
      <c r="H28" s="116">
        <v>13.49</v>
      </c>
      <c r="I28" s="9">
        <v>13.49</v>
      </c>
      <c r="J28" s="77">
        <v>9.99</v>
      </c>
      <c r="K28" s="77">
        <v>9.99</v>
      </c>
      <c r="L28" s="77">
        <v>24.99</v>
      </c>
      <c r="M28" s="77">
        <v>9.49</v>
      </c>
      <c r="N28" s="10">
        <v>18.989999999999998</v>
      </c>
      <c r="O28" s="77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 x14ac:dyDescent="0.3">
      <c r="A29" s="118" t="s">
        <v>124</v>
      </c>
      <c r="B29" s="9">
        <v>9.49</v>
      </c>
      <c r="C29" s="116">
        <v>5.79</v>
      </c>
      <c r="D29" s="9">
        <v>19.989999999999998</v>
      </c>
      <c r="E29" s="76">
        <v>13.69</v>
      </c>
      <c r="F29" s="116">
        <v>18.989999999999998</v>
      </c>
      <c r="G29" s="76">
        <v>13.89</v>
      </c>
      <c r="H29" s="116">
        <v>13.49</v>
      </c>
      <c r="I29" s="9">
        <v>13.49</v>
      </c>
      <c r="J29" s="77">
        <v>9.99</v>
      </c>
      <c r="K29" s="77">
        <v>9.99</v>
      </c>
      <c r="L29" s="77">
        <v>24.99</v>
      </c>
      <c r="M29" s="77">
        <v>9.49</v>
      </c>
      <c r="N29" s="10">
        <v>18.989999999999998</v>
      </c>
      <c r="O29" s="77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 x14ac:dyDescent="0.3">
      <c r="A30" s="8" t="s">
        <v>125</v>
      </c>
      <c r="B30" s="9">
        <v>9.49</v>
      </c>
      <c r="C30" s="116">
        <v>5.79</v>
      </c>
      <c r="D30" s="9">
        <v>19.989999999999998</v>
      </c>
      <c r="E30" s="116">
        <v>13.69</v>
      </c>
      <c r="F30" s="116">
        <v>18.989999999999998</v>
      </c>
      <c r="G30" s="116">
        <v>13.89</v>
      </c>
      <c r="H30" s="116">
        <v>13.49</v>
      </c>
      <c r="I30" s="9">
        <v>13.49</v>
      </c>
      <c r="J30" s="9">
        <v>8.99</v>
      </c>
      <c r="K30" s="117">
        <v>7.99</v>
      </c>
      <c r="L30" s="117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 x14ac:dyDescent="0.3">
      <c r="A31" s="78" t="s">
        <v>126</v>
      </c>
      <c r="B31" s="119"/>
      <c r="C31" s="79"/>
      <c r="D31" s="11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3" spans="1:15" x14ac:dyDescent="0.3">
      <c r="A33" s="80" t="s">
        <v>12</v>
      </c>
      <c r="B33" s="81">
        <v>9.49</v>
      </c>
      <c r="C33" s="82">
        <v>5.79</v>
      </c>
      <c r="D33" s="82">
        <v>19.989999999999998</v>
      </c>
      <c r="E33" s="82">
        <v>13.69</v>
      </c>
      <c r="F33" s="82">
        <v>17.989999999999998</v>
      </c>
      <c r="G33" s="82">
        <v>13.89</v>
      </c>
      <c r="H33" s="82">
        <v>13.49</v>
      </c>
      <c r="I33" s="82">
        <v>12.49</v>
      </c>
      <c r="J33" s="82">
        <v>9.99</v>
      </c>
      <c r="K33" s="82">
        <v>9.99</v>
      </c>
      <c r="L33" s="82">
        <v>24.99</v>
      </c>
      <c r="M33" s="82">
        <v>9.49</v>
      </c>
      <c r="N33" s="82">
        <v>18.989999999999998</v>
      </c>
      <c r="O33" s="82">
        <v>0</v>
      </c>
    </row>
    <row r="34" spans="1:15" x14ac:dyDescent="0.3">
      <c r="I34" t="s">
        <v>144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749FC98D-CCF4-4528-AED5-BE11FA685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03B89-4E86-42C3-8CFA-2C60C30C5718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Cadastro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2026-05-29T11:49:57Z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