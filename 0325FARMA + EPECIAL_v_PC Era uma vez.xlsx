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177" documentId="8_{D496AADB-7EBC-4887-98FA-23976D2A1F4E}" xr6:coauthVersionLast="47" xr6:coauthVersionMax="47" xr10:uidLastSave="{FF931580-05D9-4B4E-B0BF-267D703C7F7E}"/>
  <workbookProtection workbookAlgorithmName="SHA-512" workbookHashValue="2AKidlcn/BcFtaz5RGc/1NLdb8ZAgxYqIO9VPToz0AfSn6BYDVu35B+pym/ZMc2vNvWONEH9YU7nxuxqRUNOkA==" workbookSaltValue="i2DqXewExsbccN9+sQN9eA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4" state="hidden" r:id="rId12"/>
    <sheet name="PREÇOS" sheetId="4" state="hidden" r:id="rId13"/>
    <sheet name="PSC" sheetId="12" state="hidden" r:id="rId14"/>
  </sheet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1" i="4" l="1"/>
  <c r="U31" i="4"/>
  <c r="T31" i="4"/>
  <c r="S31" i="4"/>
  <c r="V30" i="4"/>
  <c r="U30" i="4"/>
  <c r="T30" i="4"/>
  <c r="S30" i="4"/>
  <c r="V29" i="4"/>
  <c r="U29" i="4"/>
  <c r="T29" i="4"/>
  <c r="S29" i="4"/>
  <c r="R29" i="4"/>
  <c r="Q29" i="4"/>
  <c r="P29" i="4"/>
  <c r="H28" i="14" s="1"/>
  <c r="I28" i="14" s="1"/>
  <c r="O29" i="4"/>
  <c r="H28" i="13" s="1"/>
  <c r="V28" i="4"/>
  <c r="U28" i="4"/>
  <c r="T28" i="4"/>
  <c r="S28" i="4"/>
  <c r="R28" i="4"/>
  <c r="Q28" i="4"/>
  <c r="P28" i="4"/>
  <c r="H27" i="14" s="1"/>
  <c r="J27" i="14" s="1"/>
  <c r="O28" i="4"/>
  <c r="V27" i="4"/>
  <c r="U27" i="4"/>
  <c r="T27" i="4"/>
  <c r="S27" i="4"/>
  <c r="V26" i="4"/>
  <c r="U26" i="4"/>
  <c r="T26" i="4"/>
  <c r="S26" i="4"/>
  <c r="R26" i="4"/>
  <c r="Q26" i="4"/>
  <c r="P26" i="4"/>
  <c r="H25" i="14" s="1"/>
  <c r="O26" i="4"/>
  <c r="V25" i="4"/>
  <c r="U25" i="4"/>
  <c r="T25" i="4"/>
  <c r="S25" i="4"/>
  <c r="R25" i="4"/>
  <c r="Q25" i="4"/>
  <c r="P25" i="4"/>
  <c r="H24" i="14" s="1"/>
  <c r="O25" i="4"/>
  <c r="H24" i="13" s="1"/>
  <c r="V24" i="4"/>
  <c r="U24" i="4"/>
  <c r="T24" i="4"/>
  <c r="S24" i="4"/>
  <c r="V23" i="4"/>
  <c r="U23" i="4"/>
  <c r="T23" i="4"/>
  <c r="S23" i="4"/>
  <c r="Q23" i="4"/>
  <c r="V22" i="4"/>
  <c r="U22" i="4"/>
  <c r="T22" i="4"/>
  <c r="S22" i="4"/>
  <c r="V21" i="4"/>
  <c r="U21" i="4"/>
  <c r="T21" i="4"/>
  <c r="S21" i="4"/>
  <c r="R21" i="4"/>
  <c r="Q21" i="4"/>
  <c r="P21" i="4"/>
  <c r="H20" i="14" s="1"/>
  <c r="J20" i="14" s="1"/>
  <c r="O21" i="4"/>
  <c r="H20" i="13" s="1"/>
  <c r="J20" i="13" s="1"/>
  <c r="V20" i="4"/>
  <c r="U20" i="4"/>
  <c r="T20" i="4"/>
  <c r="R20" i="4"/>
  <c r="Q20" i="4"/>
  <c r="P20" i="4"/>
  <c r="O20" i="4"/>
  <c r="H19" i="13" s="1"/>
  <c r="J19" i="13" s="1"/>
  <c r="V19" i="4"/>
  <c r="U19" i="4"/>
  <c r="T19" i="4"/>
  <c r="S19" i="4"/>
  <c r="S20" i="4" s="1"/>
  <c r="V18" i="4"/>
  <c r="U18" i="4"/>
  <c r="T18" i="4"/>
  <c r="S18" i="4"/>
  <c r="V17" i="4"/>
  <c r="U17" i="4"/>
  <c r="T17" i="4"/>
  <c r="S17" i="4"/>
  <c r="Q17" i="4"/>
  <c r="V16" i="4"/>
  <c r="U16" i="4"/>
  <c r="T16" i="4"/>
  <c r="S16" i="4"/>
  <c r="V15" i="4"/>
  <c r="U15" i="4"/>
  <c r="T15" i="4"/>
  <c r="S15" i="4"/>
  <c r="V14" i="4"/>
  <c r="U14" i="4"/>
  <c r="T14" i="4"/>
  <c r="S14" i="4"/>
  <c r="R14" i="4"/>
  <c r="V12" i="4"/>
  <c r="U12" i="4"/>
  <c r="T12" i="4"/>
  <c r="S12" i="4"/>
  <c r="R12" i="4"/>
  <c r="R30" i="4" s="1"/>
  <c r="Q12" i="4"/>
  <c r="Q30" i="4" s="1"/>
  <c r="P12" i="4"/>
  <c r="P16" i="4" s="1"/>
  <c r="H15" i="14" s="1"/>
  <c r="O12" i="4"/>
  <c r="O16" i="4" s="1"/>
  <c r="H15" i="13" s="1"/>
  <c r="V11" i="4"/>
  <c r="U11" i="4"/>
  <c r="T11" i="4"/>
  <c r="S11" i="4"/>
  <c r="V10" i="4"/>
  <c r="U10" i="4"/>
  <c r="T10" i="4"/>
  <c r="S10" i="4"/>
  <c r="Q10" i="4"/>
  <c r="P10" i="4"/>
  <c r="H9" i="14" s="1"/>
  <c r="O10" i="4"/>
  <c r="H9" i="13" s="1"/>
  <c r="V9" i="4"/>
  <c r="U9" i="4"/>
  <c r="T9" i="4"/>
  <c r="S9" i="4"/>
  <c r="V8" i="4"/>
  <c r="U8" i="4"/>
  <c r="T8" i="4"/>
  <c r="S8" i="4"/>
  <c r="V7" i="4"/>
  <c r="U7" i="4"/>
  <c r="T7" i="4"/>
  <c r="S7" i="4"/>
  <c r="V6" i="4"/>
  <c r="U6" i="4"/>
  <c r="T6" i="4"/>
  <c r="S6" i="4"/>
  <c r="R6" i="4"/>
  <c r="V5" i="4"/>
  <c r="U5" i="4"/>
  <c r="T5" i="4"/>
  <c r="S5" i="4"/>
  <c r="V4" i="4"/>
  <c r="U4" i="4"/>
  <c r="T4" i="4"/>
  <c r="S4" i="4"/>
  <c r="R4" i="4"/>
  <c r="V3" i="4"/>
  <c r="U3" i="4"/>
  <c r="T3" i="4"/>
  <c r="S3" i="4"/>
  <c r="R3" i="4"/>
  <c r="Q3" i="4"/>
  <c r="P3" i="4"/>
  <c r="H2" i="14" s="1"/>
  <c r="O3" i="4"/>
  <c r="H2" i="13" s="1"/>
  <c r="K13" i="1"/>
  <c r="K12" i="1"/>
  <c r="K11" i="1"/>
  <c r="K16" i="1"/>
  <c r="K15" i="1"/>
  <c r="K36" i="1"/>
  <c r="K35" i="1"/>
  <c r="K34" i="1"/>
  <c r="K33" i="1"/>
  <c r="K32" i="1"/>
  <c r="K31" i="1"/>
  <c r="K30" i="1"/>
  <c r="K29" i="1"/>
  <c r="K28" i="1"/>
  <c r="K27" i="1"/>
  <c r="K26" i="1"/>
  <c r="K25" i="1"/>
  <c r="H12" i="14"/>
  <c r="J12" i="14" s="1"/>
  <c r="H19" i="14"/>
  <c r="H11" i="14"/>
  <c r="H27" i="13"/>
  <c r="H25" i="13"/>
  <c r="H12" i="13"/>
  <c r="J12" i="13" s="1"/>
  <c r="J29" i="14"/>
  <c r="I29" i="14"/>
  <c r="G28" i="14"/>
  <c r="E28" i="14"/>
  <c r="C28" i="14"/>
  <c r="B28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19" i="14"/>
  <c r="I19" i="14"/>
  <c r="J18" i="14"/>
  <c r="I18" i="14"/>
  <c r="J17" i="14"/>
  <c r="I17" i="14"/>
  <c r="J16" i="14"/>
  <c r="I16" i="14"/>
  <c r="J15" i="14"/>
  <c r="I15" i="14"/>
  <c r="J13" i="14"/>
  <c r="I13" i="14"/>
  <c r="J11" i="14"/>
  <c r="I11" i="14"/>
  <c r="J10" i="14"/>
  <c r="I10" i="14"/>
  <c r="J9" i="14"/>
  <c r="I9" i="14"/>
  <c r="J8" i="14"/>
  <c r="I8" i="14"/>
  <c r="J7" i="14"/>
  <c r="I7" i="14"/>
  <c r="J6" i="14"/>
  <c r="I6" i="14"/>
  <c r="J4" i="14"/>
  <c r="I4" i="14"/>
  <c r="J2" i="14"/>
  <c r="I2" i="14"/>
  <c r="J30" i="13"/>
  <c r="I30" i="13"/>
  <c r="J29" i="13"/>
  <c r="I29" i="13"/>
  <c r="G28" i="13"/>
  <c r="J28" i="13" s="1"/>
  <c r="F28" i="13"/>
  <c r="I28" i="13" s="1"/>
  <c r="E28" i="13"/>
  <c r="D28" i="13"/>
  <c r="C28" i="13"/>
  <c r="B28" i="13"/>
  <c r="J27" i="13"/>
  <c r="I27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G11" i="1"/>
  <c r="P19" i="4" l="1"/>
  <c r="H18" i="14" s="1"/>
  <c r="P17" i="4"/>
  <c r="H16" i="14" s="1"/>
  <c r="O23" i="4"/>
  <c r="H22" i="13" s="1"/>
  <c r="R10" i="4"/>
  <c r="P7" i="4"/>
  <c r="H6" i="14" s="1"/>
  <c r="R23" i="4"/>
  <c r="H11" i="13"/>
  <c r="O7" i="4"/>
  <c r="H6" i="13" s="1"/>
  <c r="O9" i="4"/>
  <c r="H8" i="13" s="1"/>
  <c r="R17" i="4"/>
  <c r="P9" i="4"/>
  <c r="H8" i="14" s="1"/>
  <c r="Q7" i="4"/>
  <c r="Q9" i="4"/>
  <c r="O31" i="4"/>
  <c r="H30" i="13" s="1"/>
  <c r="R7" i="4"/>
  <c r="R9" i="4"/>
  <c r="O4" i="4"/>
  <c r="H3" i="13" s="1"/>
  <c r="J3" i="13" s="1"/>
  <c r="O6" i="4"/>
  <c r="H5" i="13" s="1"/>
  <c r="I5" i="13" s="1"/>
  <c r="O14" i="4"/>
  <c r="H13" i="13" s="1"/>
  <c r="P23" i="4"/>
  <c r="H22" i="14" s="1"/>
  <c r="P4" i="4"/>
  <c r="H3" i="14" s="1"/>
  <c r="J3" i="14" s="1"/>
  <c r="P6" i="4"/>
  <c r="H5" i="14" s="1"/>
  <c r="J5" i="14" s="1"/>
  <c r="P14" i="4"/>
  <c r="H13" i="14" s="1"/>
  <c r="Q4" i="4"/>
  <c r="Q6" i="4"/>
  <c r="Q14" i="4"/>
  <c r="O30" i="4"/>
  <c r="H29" i="13" s="1"/>
  <c r="O27" i="4"/>
  <c r="H26" i="13" s="1"/>
  <c r="O24" i="4"/>
  <c r="H23" i="13" s="1"/>
  <c r="O18" i="4"/>
  <c r="H17" i="13" s="1"/>
  <c r="O15" i="4"/>
  <c r="H14" i="13" s="1"/>
  <c r="J14" i="13" s="1"/>
  <c r="O11" i="4"/>
  <c r="H10" i="13" s="1"/>
  <c r="O8" i="4"/>
  <c r="H7" i="13" s="1"/>
  <c r="O5" i="4"/>
  <c r="H4" i="13" s="1"/>
  <c r="O22" i="4"/>
  <c r="H21" i="13" s="1"/>
  <c r="P30" i="4"/>
  <c r="H29" i="14" s="1"/>
  <c r="P27" i="4"/>
  <c r="H26" i="14" s="1"/>
  <c r="P24" i="4"/>
  <c r="H23" i="14" s="1"/>
  <c r="P18" i="4"/>
  <c r="H17" i="14" s="1"/>
  <c r="P15" i="4"/>
  <c r="H14" i="14" s="1"/>
  <c r="P11" i="4"/>
  <c r="H10" i="14" s="1"/>
  <c r="P8" i="4"/>
  <c r="H7" i="14" s="1"/>
  <c r="P5" i="4"/>
  <c r="H4" i="14" s="1"/>
  <c r="P31" i="4"/>
  <c r="P22" i="4"/>
  <c r="H21" i="14" s="1"/>
  <c r="O17" i="4"/>
  <c r="H16" i="13" s="1"/>
  <c r="O19" i="4"/>
  <c r="H18" i="13" s="1"/>
  <c r="Q16" i="4"/>
  <c r="Q19" i="4"/>
  <c r="Q22" i="4"/>
  <c r="Q31" i="4"/>
  <c r="R16" i="4"/>
  <c r="R19" i="4"/>
  <c r="R22" i="4"/>
  <c r="R31" i="4"/>
  <c r="Q5" i="4"/>
  <c r="Q8" i="4"/>
  <c r="Q11" i="4"/>
  <c r="Q15" i="4"/>
  <c r="Q18" i="4"/>
  <c r="Q24" i="4"/>
  <c r="Q27" i="4"/>
  <c r="R5" i="4"/>
  <c r="R8" i="4"/>
  <c r="R11" i="4"/>
  <c r="R15" i="4"/>
  <c r="R18" i="4"/>
  <c r="R24" i="4"/>
  <c r="R27" i="4"/>
  <c r="J28" i="14"/>
  <c r="I3" i="14"/>
  <c r="I27" i="14"/>
  <c r="I12" i="14"/>
  <c r="I20" i="14"/>
  <c r="J5" i="13"/>
  <c r="I3" i="13"/>
  <c r="I19" i="13"/>
  <c r="I12" i="13"/>
  <c r="I20" i="13"/>
  <c r="L36" i="1"/>
  <c r="L35" i="1"/>
  <c r="L34" i="1"/>
  <c r="L33" i="1"/>
  <c r="L32" i="1"/>
  <c r="L31" i="1"/>
  <c r="L30" i="1"/>
  <c r="L29" i="1"/>
  <c r="L28" i="1"/>
  <c r="L27" i="1"/>
  <c r="L26" i="1"/>
  <c r="L25" i="1"/>
  <c r="G36" i="1"/>
  <c r="G35" i="1"/>
  <c r="G34" i="1"/>
  <c r="G33" i="1"/>
  <c r="G32" i="1"/>
  <c r="G31" i="1"/>
  <c r="G30" i="1"/>
  <c r="G29" i="1"/>
  <c r="G28" i="1"/>
  <c r="G27" i="1"/>
  <c r="G26" i="1"/>
  <c r="G25" i="1"/>
  <c r="M25" i="1" l="1"/>
  <c r="M26" i="1"/>
  <c r="M27" i="1"/>
  <c r="M28" i="1"/>
  <c r="M29" i="1"/>
  <c r="R29" i="1" s="1"/>
  <c r="M30" i="1"/>
  <c r="M31" i="1"/>
  <c r="M32" i="1"/>
  <c r="M33" i="1"/>
  <c r="M34" i="1"/>
  <c r="R34" i="1" s="1"/>
  <c r="M35" i="1"/>
  <c r="R35" i="1" s="1"/>
  <c r="M36" i="1"/>
  <c r="R36" i="1" s="1"/>
  <c r="I5" i="14"/>
  <c r="O32" i="1"/>
  <c r="N16" i="1"/>
  <c r="N15" i="1"/>
  <c r="O33" i="1"/>
  <c r="P33" i="1" s="1"/>
  <c r="S33" i="1"/>
  <c r="O34" i="1"/>
  <c r="O35" i="1"/>
  <c r="O36" i="1"/>
  <c r="R25" i="1"/>
  <c r="O25" i="1"/>
  <c r="P25" i="1" s="1"/>
  <c r="S25" i="1"/>
  <c r="N13" i="1"/>
  <c r="N12" i="1"/>
  <c r="N11" i="1"/>
  <c r="O26" i="1"/>
  <c r="O27" i="1"/>
  <c r="R28" i="1"/>
  <c r="O28" i="1"/>
  <c r="O29" i="1"/>
  <c r="O30" i="1"/>
  <c r="I14" i="13"/>
  <c r="I14" i="14"/>
  <c r="J14" i="14"/>
  <c r="O31" i="1"/>
  <c r="R26" i="1"/>
  <c r="R27" i="1"/>
  <c r="R30" i="1"/>
  <c r="R31" i="1"/>
  <c r="R32" i="1"/>
  <c r="R33" i="1"/>
  <c r="P31" i="1" l="1"/>
  <c r="S31" i="1" s="1"/>
  <c r="P30" i="1"/>
  <c r="S30" i="1" s="1"/>
  <c r="P29" i="1"/>
  <c r="S29" i="1" s="1"/>
  <c r="P28" i="1"/>
  <c r="S28" i="1" s="1"/>
  <c r="P27" i="1"/>
  <c r="S27" i="1" s="1"/>
  <c r="P26" i="1"/>
  <c r="S26" i="1" s="1"/>
  <c r="P36" i="1"/>
  <c r="S36" i="1" s="1"/>
  <c r="P35" i="1"/>
  <c r="S35" i="1" s="1"/>
  <c r="P34" i="1"/>
  <c r="S34" i="1" s="1"/>
  <c r="P32" i="1"/>
  <c r="S32" i="1" s="1"/>
  <c r="L23" i="1"/>
  <c r="P23" i="1" s="1"/>
  <c r="S23" i="1" s="1"/>
  <c r="G23" i="1"/>
  <c r="K23" i="1"/>
  <c r="L21" i="1"/>
  <c r="L20" i="1"/>
  <c r="P20" i="1" s="1"/>
  <c r="L19" i="1"/>
  <c r="P19" i="1" s="1"/>
  <c r="S19" i="1" s="1"/>
  <c r="L18" i="1"/>
  <c r="P18" i="1" s="1"/>
  <c r="G21" i="1"/>
  <c r="G20" i="1"/>
  <c r="G19" i="1"/>
  <c r="G18" i="1"/>
  <c r="K21" i="1"/>
  <c r="K20" i="1"/>
  <c r="K19" i="1"/>
  <c r="K18" i="1"/>
  <c r="L16" i="1"/>
  <c r="L15" i="1"/>
  <c r="G16" i="1"/>
  <c r="G15" i="1"/>
  <c r="L13" i="1"/>
  <c r="M13" i="1" s="1"/>
  <c r="L12" i="1"/>
  <c r="M12" i="1" s="1"/>
  <c r="L11" i="1"/>
  <c r="P11" i="1" s="1"/>
  <c r="S11" i="1" s="1"/>
  <c r="G13" i="1"/>
  <c r="G12" i="1"/>
  <c r="M20" i="1" l="1"/>
  <c r="R20" i="1" s="1"/>
  <c r="M19" i="1"/>
  <c r="R19" i="1" s="1"/>
  <c r="M18" i="1"/>
  <c r="R18" i="1" s="1"/>
  <c r="P21" i="1"/>
  <c r="S21" i="1" s="1"/>
  <c r="M16" i="1"/>
  <c r="R16" i="1" s="1"/>
  <c r="S18" i="1"/>
  <c r="M15" i="1"/>
  <c r="R15" i="1" s="1"/>
  <c r="P15" i="1"/>
  <c r="S15" i="1" s="1"/>
  <c r="M21" i="1"/>
  <c r="R21" i="1" s="1"/>
  <c r="P16" i="1"/>
  <c r="S16" i="1" s="1"/>
  <c r="S20" i="1"/>
  <c r="M23" i="1"/>
  <c r="R23" i="1" s="1"/>
  <c r="P12" i="1"/>
  <c r="S12" i="1" s="1"/>
  <c r="P13" i="1"/>
  <c r="S13" i="1" s="1"/>
  <c r="M11" i="1"/>
  <c r="R11" i="1" s="1"/>
  <c r="R12" i="1"/>
  <c r="R13" i="1"/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G28" i="11"/>
  <c r="F28" i="11"/>
  <c r="E28" i="11"/>
  <c r="D28" i="11"/>
  <c r="C28" i="11"/>
  <c r="J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19" i="11"/>
  <c r="J18" i="11"/>
  <c r="I18" i="11"/>
  <c r="J17" i="11"/>
  <c r="I17" i="11"/>
  <c r="J16" i="11"/>
  <c r="I16" i="11"/>
  <c r="J15" i="11"/>
  <c r="I15" i="11"/>
  <c r="J13" i="11"/>
  <c r="I13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J3" i="11"/>
  <c r="J2" i="11"/>
  <c r="I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G28" i="10"/>
  <c r="F28" i="10"/>
  <c r="E28" i="10"/>
  <c r="D28" i="10"/>
  <c r="C28" i="10"/>
  <c r="B28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19" i="10"/>
  <c r="J18" i="10"/>
  <c r="I18" i="10"/>
  <c r="J17" i="10"/>
  <c r="I17" i="10"/>
  <c r="J16" i="10"/>
  <c r="I16" i="10"/>
  <c r="J15" i="10"/>
  <c r="I15" i="10"/>
  <c r="J14" i="10"/>
  <c r="J13" i="10"/>
  <c r="I13" i="10"/>
  <c r="J11" i="10"/>
  <c r="I11" i="10"/>
  <c r="J10" i="10"/>
  <c r="I10" i="10"/>
  <c r="J9" i="10"/>
  <c r="I9" i="10"/>
  <c r="J8" i="10"/>
  <c r="I8" i="10"/>
  <c r="J7" i="10"/>
  <c r="I7" i="10"/>
  <c r="J6" i="10"/>
  <c r="I6" i="10"/>
  <c r="J5" i="10"/>
  <c r="I5" i="10"/>
  <c r="I4" i="10"/>
  <c r="J2" i="10"/>
  <c r="I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G28" i="9"/>
  <c r="F28" i="9"/>
  <c r="E28" i="9"/>
  <c r="D28" i="9"/>
  <c r="C28" i="9"/>
  <c r="B28" i="9"/>
  <c r="I28" i="9" s="1"/>
  <c r="J26" i="9"/>
  <c r="I26" i="9"/>
  <c r="J25" i="9"/>
  <c r="I25" i="9"/>
  <c r="J24" i="9"/>
  <c r="I24" i="9"/>
  <c r="J23" i="9"/>
  <c r="I23" i="9"/>
  <c r="J22" i="9"/>
  <c r="I22" i="9"/>
  <c r="J21" i="9"/>
  <c r="I21" i="9"/>
  <c r="J18" i="9"/>
  <c r="I18" i="9"/>
  <c r="J17" i="9"/>
  <c r="I17" i="9"/>
  <c r="J16" i="9"/>
  <c r="I16" i="9"/>
  <c r="J15" i="9"/>
  <c r="I15" i="9"/>
  <c r="J13" i="9"/>
  <c r="I13" i="9"/>
  <c r="J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2" i="9"/>
  <c r="I2" i="9"/>
  <c r="I12" i="11" l="1"/>
  <c r="J4" i="9"/>
  <c r="J14" i="9"/>
  <c r="J14" i="11"/>
  <c r="I12" i="10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I20" i="11"/>
  <c r="J20" i="9"/>
  <c r="I14" i="11"/>
  <c r="J27" i="9"/>
  <c r="J3" i="9"/>
  <c r="J20" i="11"/>
  <c r="I4" i="11"/>
  <c r="I27" i="1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G28" i="7"/>
  <c r="F28" i="7"/>
  <c r="E28" i="7"/>
  <c r="D28" i="7"/>
  <c r="C28" i="7"/>
  <c r="B28" i="7"/>
  <c r="I4" i="7"/>
  <c r="G28" i="8"/>
  <c r="E28" i="8"/>
  <c r="B28" i="8"/>
  <c r="C28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I28" i="11" l="1"/>
  <c r="I27" i="6"/>
  <c r="J28" i="2"/>
  <c r="I28" i="6"/>
  <c r="I28" i="2"/>
  <c r="J28" i="6"/>
  <c r="J27" i="2"/>
  <c r="I27" i="8" l="1"/>
  <c r="J27" i="8"/>
  <c r="J27" i="7" l="1"/>
  <c r="I27" i="7"/>
  <c r="J28" i="8"/>
  <c r="I28" i="8"/>
  <c r="J28" i="7" l="1"/>
  <c r="I28" i="7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I20" i="7" l="1"/>
  <c r="J3" i="8"/>
  <c r="I14" i="8"/>
  <c r="I5" i="8"/>
  <c r="J19" i="7"/>
  <c r="I12" i="8"/>
  <c r="I20" i="8"/>
  <c r="J3" i="7"/>
  <c r="J14" i="7"/>
  <c r="I12" i="7"/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J26" i="6" l="1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H3" i="2" l="1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S39" i="1" l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S43" i="1" l="1"/>
  <c r="S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IMPORTADO</t>
      </text>
    </comment>
    <comment ref="D2" authorId="1" shapeId="0" xr:uid="{224CF3DE-AAC5-4DD1-B1E2-A7CCE9C4DED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IMPORTADO</t>
      </text>
    </comment>
  </commentList>
</comments>
</file>

<file path=xl/sharedStrings.xml><?xml version="1.0" encoding="utf-8"?>
<sst xmlns="http://schemas.openxmlformats.org/spreadsheetml/2006/main" count="644" uniqueCount="139">
  <si>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</si>
  <si>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</si>
  <si>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</si>
  <si>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</si>
  <si>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</si>
  <si>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</si>
  <si>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</si>
  <si>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</si>
  <si>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</si>
  <si>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</si>
  <si>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PR</t>
  </si>
  <si>
    <t>CNPJ:</t>
  </si>
  <si>
    <t>Inscrição Estadual:</t>
  </si>
  <si>
    <t>Regime SIMPLES?</t>
  </si>
  <si>
    <t>NÃO</t>
  </si>
  <si>
    <t>Fone contato com (DDD)</t>
  </si>
  <si>
    <t>CEP:</t>
  </si>
  <si>
    <t>0325FARMA+ESPECIALv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</si>
  <si>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</si>
  <si>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</si>
  <si>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</si>
  <si>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</si>
  <si>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</si>
  <si>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</si>
  <si>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</si>
  <si>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</si>
  <si>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</si>
  <si>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</si>
  <si>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</si>
  <si>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</t>
  </si>
  <si>
    <t>IPI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</si>
  <si>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</si>
  <si>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</si>
  <si>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</si>
  <si>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</si>
  <si>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Salgadinho Integral Orgânico Queijo Papapa Era Uma Vez 40g</t>
  </si>
  <si>
    <t>18 x 40g</t>
  </si>
  <si>
    <t>9 meses</t>
  </si>
  <si>
    <t>1904.10.00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</si>
  <si>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</si>
  <si>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</si>
  <si>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</si>
  <si>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8x30g</t>
  </si>
  <si>
    <t>10 meses</t>
  </si>
  <si>
    <t>1905.90.20</t>
  </si>
  <si>
    <t>Biscoito Recheado de Morango Papapa Era Uma Vez 30g</t>
  </si>
  <si>
    <t>Bebida de Laranja Papapa Era Uma Vez 200ml</t>
  </si>
  <si>
    <t xml:space="preserve">27  x 200 ml </t>
  </si>
  <si>
    <t>8 meses</t>
  </si>
  <si>
    <t>2202.99.00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</si>
  <si>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</si>
  <si>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</si>
  <si>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</si>
  <si>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</si>
  <si>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</si>
  <si>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</si>
  <si>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</si>
  <si>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</si>
  <si>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</si>
  <si>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</si>
  <si>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</si>
  <si>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</si>
  <si>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</si>
  <si>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</si>
  <si>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</si>
  <si>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</si>
  <si>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</si>
  <si>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</si>
  <si>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</si>
  <si>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</si>
  <si>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 valor do imposto é adicionado nesta coluna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</si>
  <si>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</si>
  <si>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</si>
  <si>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</si>
  <si>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</si>
  <si>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</si>
  <si>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</si>
  <si>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</si>
  <si>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</si>
  <si>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</si>
  <si>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</si>
  <si>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</si>
  <si>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</si>
  <si>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</si>
  <si>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</si>
  <si>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</si>
  <si>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</si>
  <si>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</si>
  <si>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</si>
  <si>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</si>
  <si>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</si>
  <si>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</si>
  <si>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</si>
  <si>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</si>
  <si>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</si>
  <si>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</si>
  <si>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</si>
  <si>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</si>
  <si>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</si>
  <si>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</si>
  <si>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</si>
  <si>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</si>
  <si>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</si>
  <si>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</si>
  <si>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</si>
  <si>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</si>
  <si>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</si>
  <si>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</si>
  <si>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</si>
  <si>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</si>
  <si>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</si>
  <si>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</si>
  <si>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</si>
  <si>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</si>
  <si>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0325V</t>
  </si>
  <si>
    <t>VAREJO zero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</si>
  <si>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</si>
  <si>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</si>
  <si>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</si>
  <si>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</si>
  <si>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</si>
  <si>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</si>
  <si>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</si>
  <si>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</si>
  <si>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</si>
  <si>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</si>
  <si>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</si>
  <si>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</si>
  <si>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</si>
  <si>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</si>
  <si>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</si>
  <si>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</si>
  <si>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</si>
  <si>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</si>
  <si>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</si>
  <si>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</si>
  <si>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</si>
  <si>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icms 7%</t>
  </si>
  <si>
    <t>CONSUMIDOR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</si>
</sst>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b/>
      <sz val="12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1" xfId="0" applyFont="1" applyBorder="1" applyAlignment="1" applyProtection="1">
      <alignment vertical="center"/>
      <protection locked="0"/>
    </xf>
    <xf numFmtId="0" fontId="3" fillId="0" borderId="22" xfId="0" applyFont="1" applyBorder="1" applyAlignment="1" applyProtection="1">
      <alignment vertical="center"/>
      <protection locked="0"/>
    </xf>
    <xf numFmtId="0" fontId="15" fillId="9" borderId="9" xfId="7" applyFont="1" applyBorder="1" applyAlignment="1" applyProtection="1">
      <alignment horizontal="center"/>
    </xf>
    <xf numFmtId="1" fontId="15" fillId="9" borderId="9" xfId="7" applyNumberFormat="1" applyFont="1" applyBorder="1" applyAlignment="1" applyProtection="1">
      <alignment horizontal="center" vertical="center"/>
    </xf>
    <xf numFmtId="9" fontId="15" fillId="9" borderId="9" xfId="7" applyNumberFormat="1" applyFont="1" applyBorder="1" applyAlignment="1" applyProtection="1">
      <alignment horizontal="center"/>
    </xf>
    <xf numFmtId="44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2" fontId="15" fillId="9" borderId="9" xfId="7" applyNumberFormat="1" applyFont="1" applyBorder="1" applyAlignment="1" applyProtection="1">
      <alignment horizontal="center" vertical="center"/>
    </xf>
    <xf numFmtId="44" fontId="15" fillId="9" borderId="9" xfId="7" applyNumberFormat="1" applyFont="1" applyBorder="1" applyAlignment="1" applyProtection="1">
      <alignment horizontal="center"/>
    </xf>
    <xf numFmtId="0" fontId="14" fillId="6" borderId="9" xfId="0" applyFont="1" applyFill="1" applyBorder="1" applyAlignment="1" applyProtection="1">
      <alignment horizontal="center"/>
      <protection locked="0"/>
    </xf>
    <xf numFmtId="44" fontId="15" fillId="9" borderId="5" xfId="7" applyNumberFormat="1" applyFont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 vertical="center"/>
    </xf>
    <xf numFmtId="44" fontId="14" fillId="10" borderId="9" xfId="1" applyFont="1" applyFill="1" applyBorder="1" applyAlignment="1" applyProtection="1">
      <alignment horizontal="center"/>
    </xf>
    <xf numFmtId="44" fontId="15" fillId="10" borderId="9" xfId="1" applyFont="1" applyFill="1" applyBorder="1" applyAlignment="1" applyProtection="1">
      <alignment horizontal="center"/>
    </xf>
    <xf numFmtId="44" fontId="15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/>
    </xf>
    <xf numFmtId="9" fontId="15" fillId="10" borderId="9" xfId="0" applyNumberFormat="1" applyFont="1" applyFill="1" applyBorder="1" applyAlignment="1">
      <alignment horizontal="center"/>
    </xf>
    <xf numFmtId="2" fontId="15" fillId="10" borderId="9" xfId="0" applyNumberFormat="1" applyFont="1" applyFill="1" applyBorder="1" applyAlignment="1">
      <alignment horizontal="center" vertical="center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13" xfId="0" applyFont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0" fontId="11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8" fillId="2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2" fontId="15" fillId="0" borderId="9" xfId="7" applyNumberFormat="1" applyFont="1" applyFill="1" applyBorder="1" applyAlignment="1" applyProtection="1">
      <alignment horizontal="center" vertical="center"/>
    </xf>
    <xf numFmtId="44" fontId="13" fillId="24" borderId="0" xfId="0" applyNumberFormat="1" applyFont="1" applyFill="1"/>
    <xf numFmtId="0" fontId="18" fillId="17" borderId="0" xfId="0" applyFont="1" applyFill="1" applyAlignment="1">
      <alignment horizontal="center"/>
    </xf>
    <xf numFmtId="44" fontId="23" fillId="0" borderId="0" xfId="1" applyFont="1" applyFill="1" applyBorder="1"/>
    <xf numFmtId="44" fontId="24" fillId="0" borderId="0" xfId="1" applyFont="1" applyFill="1" applyBorder="1"/>
    <xf numFmtId="0" fontId="12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5" fillId="24" borderId="0" xfId="0" applyNumberFormat="1" applyFont="1" applyFill="1"/>
    <xf numFmtId="0" fontId="27" fillId="15" borderId="13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1" fontId="15" fillId="0" borderId="9" xfId="7" applyNumberFormat="1" applyFont="1" applyFill="1" applyBorder="1" applyAlignment="1" applyProtection="1">
      <alignment horizontal="center" vertical="center"/>
    </xf>
    <xf numFmtId="0" fontId="15" fillId="0" borderId="9" xfId="7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 vertical="center"/>
    </xf>
    <xf numFmtId="9" fontId="15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5" fillId="0" borderId="9" xfId="7" applyNumberFormat="1" applyFont="1" applyFill="1" applyBorder="1" applyAlignment="1" applyProtection="1">
      <alignment horizontal="center"/>
    </xf>
    <xf numFmtId="44" fontId="15" fillId="0" borderId="5" xfId="7" applyNumberFormat="1" applyFont="1" applyFill="1" applyBorder="1" applyAlignment="1" applyProtection="1">
      <alignment horizontal="center"/>
    </xf>
    <xf numFmtId="0" fontId="14" fillId="9" borderId="5" xfId="7" applyFont="1" applyBorder="1" applyAlignment="1" applyProtection="1">
      <alignment vertical="center"/>
    </xf>
    <xf numFmtId="1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44" fontId="14" fillId="0" borderId="9" xfId="1" applyFont="1" applyFill="1" applyBorder="1" applyAlignment="1" applyProtection="1">
      <alignment horizontal="center" vertical="center"/>
    </xf>
    <xf numFmtId="9" fontId="15" fillId="0" borderId="9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 vertical="center"/>
    </xf>
    <xf numFmtId="44" fontId="15" fillId="0" borderId="9" xfId="1" applyFont="1" applyFill="1" applyBorder="1" applyAlignment="1" applyProtection="1">
      <alignment horizontal="center"/>
    </xf>
    <xf numFmtId="44" fontId="15" fillId="0" borderId="5" xfId="1" applyFont="1" applyFill="1" applyBorder="1" applyAlignment="1" applyProtection="1">
      <alignment horizontal="center"/>
    </xf>
    <xf numFmtId="1" fontId="15" fillId="26" borderId="9" xfId="0" applyNumberFormat="1" applyFont="1" applyFill="1" applyBorder="1" applyAlignment="1">
      <alignment horizontal="center" vertical="center"/>
    </xf>
    <xf numFmtId="0" fontId="15" fillId="26" borderId="9" xfId="0" applyFont="1" applyFill="1" applyBorder="1" applyAlignment="1">
      <alignment horizontal="center"/>
    </xf>
    <xf numFmtId="44" fontId="14" fillId="26" borderId="9" xfId="1" applyFont="1" applyFill="1" applyBorder="1" applyAlignment="1" applyProtection="1">
      <alignment horizontal="center" vertical="center"/>
    </xf>
    <xf numFmtId="9" fontId="15" fillId="26" borderId="9" xfId="0" applyNumberFormat="1" applyFont="1" applyFill="1" applyBorder="1" applyAlignment="1">
      <alignment horizontal="center"/>
    </xf>
    <xf numFmtId="2" fontId="15" fillId="26" borderId="9" xfId="0" applyNumberFormat="1" applyFont="1" applyFill="1" applyBorder="1" applyAlignment="1">
      <alignment horizontal="center" vertical="center"/>
    </xf>
    <xf numFmtId="44" fontId="15" fillId="26" borderId="9" xfId="1" applyFont="1" applyFill="1" applyBorder="1" applyAlignment="1" applyProtection="1">
      <alignment horizontal="center"/>
    </xf>
    <xf numFmtId="44" fontId="15" fillId="26" borderId="5" xfId="1" applyFont="1" applyFill="1" applyBorder="1" applyAlignment="1" applyProtection="1">
      <alignment horizontal="center"/>
    </xf>
    <xf numFmtId="0" fontId="14" fillId="9" borderId="4" xfId="7" applyFont="1" applyBorder="1" applyAlignment="1" applyProtection="1">
      <alignment vertical="center"/>
    </xf>
    <xf numFmtId="0" fontId="14" fillId="0" borderId="5" xfId="7" applyFont="1" applyFill="1" applyBorder="1" applyAlignment="1" applyProtection="1">
      <alignment vertical="center"/>
    </xf>
    <xf numFmtId="0" fontId="14" fillId="0" borderId="4" xfId="7" applyFont="1" applyFill="1" applyBorder="1" applyAlignment="1" applyProtection="1">
      <alignment vertical="center"/>
    </xf>
    <xf numFmtId="44" fontId="12" fillId="27" borderId="0" xfId="1" applyFont="1" applyFill="1" applyBorder="1"/>
    <xf numFmtId="44" fontId="0" fillId="27" borderId="0" xfId="0" applyNumberFormat="1" applyFill="1"/>
    <xf numFmtId="43" fontId="0" fillId="27" borderId="0" xfId="8" applyFont="1" applyFill="1"/>
    <xf numFmtId="0" fontId="0" fillId="27" borderId="0" xfId="0" applyFill="1"/>
    <xf numFmtId="44" fontId="12" fillId="12" borderId="0" xfId="1" applyFont="1" applyFill="1" applyBorder="1"/>
    <xf numFmtId="0" fontId="0" fillId="27" borderId="0" xfId="0" applyFill="1" applyAlignment="1">
      <alignment horizontal="center" vertical="center"/>
    </xf>
    <xf numFmtId="44" fontId="18" fillId="27" borderId="0" xfId="0" applyNumberFormat="1" applyFont="1" applyFill="1"/>
    <xf numFmtId="43" fontId="0" fillId="28" borderId="0" xfId="8" applyFont="1" applyFill="1"/>
    <xf numFmtId="43" fontId="0" fillId="29" borderId="0" xfId="8" applyFont="1" applyFill="1"/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4" fillId="9" borderId="5" xfId="7" applyFont="1" applyBorder="1" applyAlignment="1" applyProtection="1">
      <alignment horizontal="left" vertical="center"/>
    </xf>
    <xf numFmtId="0" fontId="14" fillId="9" borderId="4" xfId="7" applyFont="1" applyBorder="1" applyAlignment="1" applyProtection="1">
      <alignment horizontal="left" vertical="center"/>
    </xf>
    <xf numFmtId="0" fontId="14" fillId="10" borderId="5" xfId="0" applyFont="1" applyFill="1" applyBorder="1" applyAlignment="1">
      <alignment horizontal="left" vertical="center"/>
    </xf>
    <xf numFmtId="0" fontId="14" fillId="0" borderId="5" xfId="7" applyFont="1" applyFill="1" applyBorder="1" applyAlignment="1" applyProtection="1">
      <alignment horizontal="left" vertical="center"/>
    </xf>
    <xf numFmtId="0" fontId="14" fillId="0" borderId="4" xfId="0" applyFont="1" applyBorder="1" applyAlignment="1"/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45"/>
  <sheetViews>
    <sheetView showGridLines="0" tabSelected="1" zoomScale="70" zoomScaleNormal="70" workbookViewId="0">
      <pane xSplit="3" ySplit="10" topLeftCell="L11" activePane="bottomRight" state="frozen"/>
      <selection pane="bottomRight" activeCell="B9" sqref="B9"/>
      <selection pane="bottomLeft" activeCell="A11" sqref="A11"/>
      <selection pane="topRight" activeCell="D1" sqref="D1"/>
    </sheetView>
  </sheetViews>
  <sheetFormatPr defaultRowHeight="14.45"/>
  <cols>
    <col min="1" max="1" width="2.140625" customWidth="1"/>
    <col min="2" max="2" width="26.5703125" customWidth="1"/>
    <col min="3" max="3" width="33.42578125" customWidth="1"/>
    <col min="4" max="4" width="17.5703125" customWidth="1"/>
    <col min="5" max="5" width="14" bestFit="1" customWidth="1"/>
    <col min="6" max="6" width="16.85546875" customWidth="1"/>
    <col min="7" max="7" width="14.85546875" customWidth="1"/>
    <col min="8" max="8" width="11.42578125" bestFit="1" customWidth="1"/>
    <col min="9" max="9" width="15.5703125" bestFit="1" customWidth="1"/>
    <col min="10" max="10" width="18.5703125" bestFit="1" customWidth="1"/>
    <col min="11" max="12" width="15" customWidth="1"/>
    <col min="13" max="13" width="17.85546875" customWidth="1"/>
    <col min="14" max="15" width="19.5703125" customWidth="1"/>
    <col min="16" max="16" width="14.140625" customWidth="1"/>
    <col min="17" max="17" width="9.5703125" customWidth="1"/>
    <col min="18" max="18" width="14.140625" bestFit="1" customWidth="1"/>
    <col min="19" max="19" width="17.85546875" bestFit="1" customWidth="1"/>
    <col min="23" max="23" width="19.140625" customWidth="1"/>
  </cols>
  <sheetData>
    <row r="1" spans="1:19">
      <c r="A1" s="47"/>
      <c r="B1" s="47"/>
      <c r="C1" s="53" t="s">
        <v>0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>
      <c r="A2" s="47"/>
      <c r="B2" s="47"/>
      <c r="C2" s="53" t="s">
        <v>1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>
      <c r="A3" s="47"/>
      <c r="B3" s="47"/>
      <c r="C3" s="53" t="s">
        <v>2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>
      <c r="A4" s="47"/>
      <c r="B4" s="47"/>
      <c r="C4" s="53" t="s">
        <v>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ht="15" thickBo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ht="22.5" customHeight="1" thickBot="1">
      <c r="A6" s="47"/>
      <c r="B6" s="54" t="s">
        <v>4</v>
      </c>
      <c r="C6" s="22"/>
      <c r="D6" s="23"/>
      <c r="E6" s="23"/>
      <c r="F6" s="23"/>
      <c r="G6" s="23"/>
      <c r="H6" s="23"/>
      <c r="I6" s="23"/>
      <c r="J6" s="55" t="s">
        <v>5</v>
      </c>
      <c r="K6" s="24"/>
      <c r="L6" s="56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>
      <c r="A7" s="47"/>
      <c r="B7" s="57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58" t="s">
        <v>8</v>
      </c>
      <c r="M7" s="18"/>
      <c r="N7" s="18"/>
      <c r="O7" s="18"/>
      <c r="P7" s="21"/>
      <c r="Q7" s="59" t="s">
        <v>9</v>
      </c>
      <c r="R7" s="165" t="s">
        <v>10</v>
      </c>
      <c r="S7" s="166"/>
    </row>
    <row r="8" spans="1:19" ht="30" customHeight="1" thickBot="1">
      <c r="A8" s="47"/>
      <c r="B8" s="60" t="s">
        <v>11</v>
      </c>
      <c r="C8" s="22"/>
      <c r="D8" s="23"/>
      <c r="E8" s="23"/>
      <c r="F8" s="24"/>
      <c r="G8" s="61" t="s">
        <v>12</v>
      </c>
      <c r="H8" s="19"/>
      <c r="I8" s="20"/>
      <c r="J8" s="62" t="s">
        <v>13</v>
      </c>
      <c r="K8" s="29" t="s">
        <v>14</v>
      </c>
      <c r="L8" s="63" t="s">
        <v>15</v>
      </c>
      <c r="M8" s="20"/>
      <c r="N8" s="20"/>
      <c r="O8" s="20"/>
      <c r="P8" s="30"/>
      <c r="Q8" s="64" t="s">
        <v>16</v>
      </c>
      <c r="R8" s="31"/>
      <c r="S8" s="32"/>
    </row>
    <row r="9" spans="1:19" s="48" customFormat="1" ht="17.45">
      <c r="A9" s="65"/>
      <c r="B9" s="66" t="s">
        <v>17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</row>
    <row r="10" spans="1:19" ht="27.6">
      <c r="A10" s="47"/>
      <c r="B10" s="103" t="s">
        <v>18</v>
      </c>
      <c r="C10" s="103"/>
      <c r="D10" s="68" t="s">
        <v>19</v>
      </c>
      <c r="E10" s="68" t="s">
        <v>20</v>
      </c>
      <c r="F10" s="68" t="s">
        <v>21</v>
      </c>
      <c r="G10" s="68" t="s">
        <v>22</v>
      </c>
      <c r="H10" s="68" t="s">
        <v>23</v>
      </c>
      <c r="I10" s="68" t="s">
        <v>24</v>
      </c>
      <c r="J10" s="68" t="s">
        <v>25</v>
      </c>
      <c r="K10" s="68" t="s">
        <v>26</v>
      </c>
      <c r="L10" s="68" t="s">
        <v>27</v>
      </c>
      <c r="M10" s="68" t="s">
        <v>28</v>
      </c>
      <c r="N10" s="68" t="s">
        <v>29</v>
      </c>
      <c r="O10" s="68" t="s">
        <v>30</v>
      </c>
      <c r="P10" s="68" t="s">
        <v>31</v>
      </c>
      <c r="Q10" s="68" t="s">
        <v>32</v>
      </c>
      <c r="R10" s="68" t="s">
        <v>33</v>
      </c>
      <c r="S10" s="68" t="s">
        <v>34</v>
      </c>
    </row>
    <row r="11" spans="1:19">
      <c r="B11" s="167" t="s">
        <v>35</v>
      </c>
      <c r="C11" s="171"/>
      <c r="D11" s="34">
        <v>5670</v>
      </c>
      <c r="E11" s="33" t="s">
        <v>36</v>
      </c>
      <c r="F11" s="33" t="s">
        <v>37</v>
      </c>
      <c r="G11" s="36">
        <f>VLOOKUP($R$7,PSC!$A$2:$Q$31,15,FALSE)</f>
        <v>7.99</v>
      </c>
      <c r="H11" s="34" t="s">
        <v>38</v>
      </c>
      <c r="I11" s="34">
        <v>7898969895811</v>
      </c>
      <c r="J11" s="34">
        <v>17898969895818</v>
      </c>
      <c r="K11" s="35">
        <f>VLOOKUP($R$7,'ST EXTRUSADOS'!A:B,2,FALSE)</f>
        <v>0.12</v>
      </c>
      <c r="L11" s="36">
        <f>VLOOKUP($R$7,PREÇOS!$A$2:$Q$31,15,FALSE)</f>
        <v>5.8274999999999997</v>
      </c>
      <c r="M11" s="37">
        <f>L11*18</f>
        <v>104.895</v>
      </c>
      <c r="N11" s="38">
        <f>IF($K$8="SIM",VLOOKUP($R$7,'ST EXTRUSADOS'!$A$1:$J$31,10,FALSE),VLOOKUP($R$7,'ST EXTRUSADOS'!$A$1:$J$31,9,FALSE))</f>
        <v>1.2177435375000001</v>
      </c>
      <c r="O11" s="38">
        <v>0</v>
      </c>
      <c r="P11" s="39">
        <f>(L11+N11)*18</f>
        <v>126.81438367499999</v>
      </c>
      <c r="Q11" s="40"/>
      <c r="R11" s="41">
        <f t="shared" ref="R11:R13" si="0">Q11*M11</f>
        <v>0</v>
      </c>
      <c r="S11" s="39">
        <f t="shared" ref="S11:S13" si="1">Q11*P11</f>
        <v>0</v>
      </c>
    </row>
    <row r="12" spans="1:19">
      <c r="B12" s="169" t="s">
        <v>39</v>
      </c>
      <c r="C12" s="171"/>
      <c r="D12" s="69">
        <v>5671</v>
      </c>
      <c r="E12" s="70" t="s">
        <v>36</v>
      </c>
      <c r="F12" s="70" t="s">
        <v>37</v>
      </c>
      <c r="G12" s="42">
        <f>VLOOKUP($R$7,PSC!$A$2:$Q$31,15,FALSE)</f>
        <v>7.99</v>
      </c>
      <c r="H12" s="69" t="s">
        <v>38</v>
      </c>
      <c r="I12" s="69">
        <v>7898969895804</v>
      </c>
      <c r="J12" s="69">
        <v>17898969895801</v>
      </c>
      <c r="K12" s="71">
        <f>VLOOKUP($R$7,'ST EXTRUSADOS'!A:B,2,FALSE)</f>
        <v>0.12</v>
      </c>
      <c r="L12" s="42">
        <f>VLOOKUP($R$7,PREÇOS!$A$2:$Q$31,15,FALSE)</f>
        <v>5.8274999999999997</v>
      </c>
      <c r="M12" s="43">
        <f t="shared" ref="M12:M13" si="2">L12*18</f>
        <v>104.895</v>
      </c>
      <c r="N12" s="72">
        <f>IF($K$8="SIM",VLOOKUP($R$7,'ST EXTRUSADOS'!$A$1:$J$31,10,FALSE),VLOOKUP($R$7,'ST EXTRUSADOS'!$A$1:$J$31,9,FALSE))</f>
        <v>1.2177435375000001</v>
      </c>
      <c r="O12" s="72">
        <v>0</v>
      </c>
      <c r="P12" s="44">
        <f t="shared" ref="P12:P13" si="3">(L12+N12)*18</f>
        <v>126.81438367499999</v>
      </c>
      <c r="Q12" s="40"/>
      <c r="R12" s="45">
        <f t="shared" si="0"/>
        <v>0</v>
      </c>
      <c r="S12" s="44">
        <f t="shared" si="1"/>
        <v>0</v>
      </c>
    </row>
    <row r="13" spans="1:19">
      <c r="B13" s="167" t="s">
        <v>40</v>
      </c>
      <c r="C13" s="171"/>
      <c r="D13" s="34">
        <v>5673</v>
      </c>
      <c r="E13" s="33" t="s">
        <v>36</v>
      </c>
      <c r="F13" s="33" t="s">
        <v>37</v>
      </c>
      <c r="G13" s="36">
        <f>VLOOKUP($R$7,PSC!$A$2:$Q$31,15,FALSE)</f>
        <v>7.99</v>
      </c>
      <c r="H13" s="34" t="s">
        <v>38</v>
      </c>
      <c r="I13" s="34">
        <v>7898969895798</v>
      </c>
      <c r="J13" s="34">
        <v>17898969895795</v>
      </c>
      <c r="K13" s="35">
        <f>VLOOKUP($R$7,'ST EXTRUSADOS'!A:B,2,FALSE)</f>
        <v>0.12</v>
      </c>
      <c r="L13" s="36">
        <f>VLOOKUP($R$7,PREÇOS!$A$2:$Q$31,15,FALSE)</f>
        <v>5.8274999999999997</v>
      </c>
      <c r="M13" s="37">
        <f t="shared" si="2"/>
        <v>104.895</v>
      </c>
      <c r="N13" s="38">
        <f>IF($K$8="SIM",VLOOKUP($R$7,'ST EXTRUSADOS'!$A$1:$J$31,10,FALSE),VLOOKUP($R$7,'ST EXTRUSADOS'!$A$1:$J$31,9,FALSE))</f>
        <v>1.2177435375000001</v>
      </c>
      <c r="O13" s="38">
        <v>0</v>
      </c>
      <c r="P13" s="39">
        <f t="shared" si="3"/>
        <v>126.81438367499999</v>
      </c>
      <c r="Q13" s="40"/>
      <c r="R13" s="41">
        <f t="shared" si="0"/>
        <v>0</v>
      </c>
      <c r="S13" s="39">
        <f t="shared" si="1"/>
        <v>0</v>
      </c>
    </row>
    <row r="14" spans="1:19">
      <c r="B14" s="73"/>
      <c r="C14" s="74"/>
      <c r="D14" s="75"/>
      <c r="E14" s="76"/>
      <c r="F14" s="76"/>
      <c r="G14" s="50"/>
      <c r="H14" s="75"/>
      <c r="I14" s="75"/>
      <c r="J14" s="75"/>
      <c r="K14" s="77"/>
      <c r="L14" s="50"/>
      <c r="M14" s="51"/>
      <c r="N14" s="78"/>
      <c r="O14" s="78"/>
      <c r="P14" s="52"/>
      <c r="Q14" s="47"/>
      <c r="R14" s="52"/>
      <c r="S14" s="52"/>
    </row>
    <row r="15" spans="1:19">
      <c r="A15" s="47"/>
      <c r="B15" s="170" t="s">
        <v>41</v>
      </c>
      <c r="C15" s="171"/>
      <c r="D15" s="131">
        <v>5677</v>
      </c>
      <c r="E15" s="132" t="s">
        <v>42</v>
      </c>
      <c r="F15" s="132" t="s">
        <v>43</v>
      </c>
      <c r="G15" s="133">
        <f>VLOOKUP($R$7,PSC!$A$2:$Q$31,16,FALSE)</f>
        <v>8.6</v>
      </c>
      <c r="H15" s="131" t="s">
        <v>44</v>
      </c>
      <c r="I15" s="131">
        <v>7898969895828</v>
      </c>
      <c r="J15" s="131">
        <v>17898969895917</v>
      </c>
      <c r="K15" s="134">
        <f>VLOOKUP($R$7,'ST RECHEADOS'!A:B,2,FALSE)</f>
        <v>0.12</v>
      </c>
      <c r="L15" s="133">
        <f>VLOOKUP($R$7,PREÇOS!$A$2:$Q$31,16,FALSE)</f>
        <v>6.5100000000000007</v>
      </c>
      <c r="M15" s="135">
        <f>L15*8</f>
        <v>52.080000000000005</v>
      </c>
      <c r="N15" s="120">
        <f>IF($K$8="SIM",VLOOKUP($R$7,'ST RECHEADOS'!$A$1:$J$31,10,FALSE),VLOOKUP($R$7,'ST RECHEADOS'!$A$1:$J$31,9,FALSE))</f>
        <v>0</v>
      </c>
      <c r="O15" s="120">
        <v>0</v>
      </c>
      <c r="P15" s="136">
        <f>(L15+N15)*8</f>
        <v>52.080000000000005</v>
      </c>
      <c r="Q15" s="40"/>
      <c r="R15" s="137">
        <f t="shared" ref="R15:R16" si="4">Q15*M15</f>
        <v>0</v>
      </c>
      <c r="S15" s="136">
        <f t="shared" ref="S15:S16" si="5">Q15*P15</f>
        <v>0</v>
      </c>
    </row>
    <row r="16" spans="1:19">
      <c r="B16" s="167" t="s">
        <v>45</v>
      </c>
      <c r="C16" s="171"/>
      <c r="D16" s="34">
        <v>5678</v>
      </c>
      <c r="E16" s="33" t="s">
        <v>42</v>
      </c>
      <c r="F16" s="33" t="s">
        <v>43</v>
      </c>
      <c r="G16" s="36">
        <f>VLOOKUP($R$7,PSC!$A$2:$Q$31,16,FALSE)</f>
        <v>8.6</v>
      </c>
      <c r="H16" s="34" t="s">
        <v>44</v>
      </c>
      <c r="I16" s="34">
        <v>7898969895835</v>
      </c>
      <c r="J16" s="34">
        <v>17898969895900</v>
      </c>
      <c r="K16" s="35">
        <f>VLOOKUP($R$7,'ST RECHEADOS'!A:B,2,FALSE)</f>
        <v>0.12</v>
      </c>
      <c r="L16" s="36">
        <f>VLOOKUP($R$7,PREÇOS!$A$2:$Q$31,16,FALSE)</f>
        <v>6.5100000000000007</v>
      </c>
      <c r="M16" s="37">
        <f>L16*8</f>
        <v>52.080000000000005</v>
      </c>
      <c r="N16" s="38">
        <f>IF($K$8="SIM",VLOOKUP($R$7,'ST RECHEADOS'!$A$1:$J$31,10,FALSE),VLOOKUP($R$7,'ST RECHEADOS'!$A$1:$J$31,9,FALSE))</f>
        <v>0</v>
      </c>
      <c r="O16" s="38">
        <v>0</v>
      </c>
      <c r="P16" s="39">
        <f>(L16+N16)*8</f>
        <v>52.080000000000005</v>
      </c>
      <c r="Q16" s="40"/>
      <c r="R16" s="41">
        <f t="shared" si="4"/>
        <v>0</v>
      </c>
      <c r="S16" s="39">
        <f t="shared" si="5"/>
        <v>0</v>
      </c>
    </row>
    <row r="17" spans="2:19">
      <c r="B17" s="73"/>
      <c r="C17" s="74"/>
      <c r="D17" s="75"/>
      <c r="E17" s="76"/>
      <c r="F17" s="76"/>
      <c r="G17" s="50"/>
      <c r="H17" s="75"/>
      <c r="I17" s="75"/>
      <c r="J17" s="75"/>
      <c r="K17" s="77"/>
      <c r="L17" s="50"/>
      <c r="M17" s="51"/>
      <c r="N17" s="78"/>
      <c r="O17" s="78"/>
      <c r="P17" s="52"/>
      <c r="Q17" s="47"/>
      <c r="R17" s="52"/>
      <c r="S17" s="52"/>
    </row>
    <row r="18" spans="2:19">
      <c r="B18" s="167" t="s">
        <v>46</v>
      </c>
      <c r="C18" s="171"/>
      <c r="D18" s="34">
        <v>5680</v>
      </c>
      <c r="E18" s="33" t="s">
        <v>47</v>
      </c>
      <c r="F18" s="33" t="s">
        <v>48</v>
      </c>
      <c r="G18" s="36">
        <f>VLOOKUP($R$7,PSC!$A$2:$Q$31,17,FALSE)</f>
        <v>4.99</v>
      </c>
      <c r="H18" s="34" t="s">
        <v>49</v>
      </c>
      <c r="I18" s="34">
        <v>7898969895880</v>
      </c>
      <c r="J18" s="34">
        <v>17898969895887</v>
      </c>
      <c r="K18" s="35">
        <f>VLOOKUP($R$7,'ST BISCOTTI'!A:B,2,FALSE)</f>
        <v>0.12</v>
      </c>
      <c r="L18" s="36">
        <f>VLOOKUP($R$7,PREÇOS!$A$2:$Q$31,17,FALSE)</f>
        <v>3.7275</v>
      </c>
      <c r="M18" s="37">
        <f>L18*27</f>
        <v>100.6425</v>
      </c>
      <c r="N18" s="38">
        <v>0</v>
      </c>
      <c r="O18" s="38">
        <v>0</v>
      </c>
      <c r="P18" s="39">
        <f>(L18+N18)*27</f>
        <v>100.6425</v>
      </c>
      <c r="Q18" s="40"/>
      <c r="R18" s="41">
        <f t="shared" ref="R18:R21" si="6">Q18*M18</f>
        <v>0</v>
      </c>
      <c r="S18" s="39">
        <f t="shared" ref="S18:S21" si="7">Q18*P18</f>
        <v>0</v>
      </c>
    </row>
    <row r="19" spans="2:19">
      <c r="B19" s="169" t="s">
        <v>50</v>
      </c>
      <c r="C19" s="171"/>
      <c r="D19" s="69">
        <v>5681</v>
      </c>
      <c r="E19" s="70" t="s">
        <v>47</v>
      </c>
      <c r="F19" s="70" t="s">
        <v>48</v>
      </c>
      <c r="G19" s="42">
        <f>VLOOKUP($R$7,PSC!$A$2:$Q$31,17,FALSE)</f>
        <v>4.99</v>
      </c>
      <c r="H19" s="69" t="s">
        <v>49</v>
      </c>
      <c r="I19" s="69">
        <v>7898969895859</v>
      </c>
      <c r="J19" s="69">
        <v>17898969895856</v>
      </c>
      <c r="K19" s="71">
        <f>VLOOKUP($R$7,'ST BISCOTTI'!A:B,2,FALSE)</f>
        <v>0.12</v>
      </c>
      <c r="L19" s="42">
        <f>VLOOKUP($R$7,PREÇOS!$A$2:$Q$31,17,FALSE)</f>
        <v>3.7275</v>
      </c>
      <c r="M19" s="43">
        <f t="shared" ref="M19:M23" si="8">L19*27</f>
        <v>100.6425</v>
      </c>
      <c r="N19" s="72">
        <v>0</v>
      </c>
      <c r="O19" s="72">
        <v>0</v>
      </c>
      <c r="P19" s="44">
        <f t="shared" ref="P19:P21" si="9">(L19+N19)*27</f>
        <v>100.6425</v>
      </c>
      <c r="Q19" s="40"/>
      <c r="R19" s="45">
        <f t="shared" si="6"/>
        <v>0</v>
      </c>
      <c r="S19" s="44">
        <f t="shared" si="7"/>
        <v>0</v>
      </c>
    </row>
    <row r="20" spans="2:19">
      <c r="B20" s="167" t="s">
        <v>51</v>
      </c>
      <c r="C20" s="171"/>
      <c r="D20" s="34">
        <v>5682</v>
      </c>
      <c r="E20" s="33" t="s">
        <v>47</v>
      </c>
      <c r="F20" s="33" t="s">
        <v>48</v>
      </c>
      <c r="G20" s="36">
        <f>VLOOKUP($R$7,PSC!$A$2:$Q$31,17,FALSE)</f>
        <v>4.99</v>
      </c>
      <c r="H20" s="34" t="s">
        <v>49</v>
      </c>
      <c r="I20" s="34">
        <v>7898969895866</v>
      </c>
      <c r="J20" s="34">
        <v>17898969895863</v>
      </c>
      <c r="K20" s="35">
        <f>VLOOKUP($R$7,'ST BISCOTTI'!A:B,2,FALSE)</f>
        <v>0.12</v>
      </c>
      <c r="L20" s="36">
        <f>VLOOKUP($R$7,PREÇOS!$A$2:$Q$31,17,FALSE)</f>
        <v>3.7275</v>
      </c>
      <c r="M20" s="37">
        <f t="shared" si="8"/>
        <v>100.6425</v>
      </c>
      <c r="N20" s="38">
        <v>0</v>
      </c>
      <c r="O20" s="38">
        <v>0</v>
      </c>
      <c r="P20" s="39">
        <f t="shared" si="9"/>
        <v>100.6425</v>
      </c>
      <c r="Q20" s="40"/>
      <c r="R20" s="41">
        <f t="shared" si="6"/>
        <v>0</v>
      </c>
      <c r="S20" s="39">
        <f t="shared" si="7"/>
        <v>0</v>
      </c>
    </row>
    <row r="21" spans="2:19">
      <c r="B21" s="169" t="s">
        <v>52</v>
      </c>
      <c r="C21" s="171"/>
      <c r="D21" s="69">
        <v>5683</v>
      </c>
      <c r="E21" s="70" t="s">
        <v>47</v>
      </c>
      <c r="F21" s="70" t="s">
        <v>48</v>
      </c>
      <c r="G21" s="42">
        <f>VLOOKUP($R$7,PSC!$A$2:$Q$31,17,FALSE)</f>
        <v>4.99</v>
      </c>
      <c r="H21" s="69" t="s">
        <v>49</v>
      </c>
      <c r="I21" s="69">
        <v>7898969895873</v>
      </c>
      <c r="J21" s="69">
        <v>17898969895870</v>
      </c>
      <c r="K21" s="71">
        <f>VLOOKUP($R$7,'ST BISCOTTI'!A:B,2,FALSE)</f>
        <v>0.12</v>
      </c>
      <c r="L21" s="42">
        <f>VLOOKUP($R$7,PREÇOS!$A$2:$Q$31,17,FALSE)</f>
        <v>3.7275</v>
      </c>
      <c r="M21" s="43">
        <f t="shared" si="8"/>
        <v>100.6425</v>
      </c>
      <c r="N21" s="72">
        <v>0</v>
      </c>
      <c r="O21" s="72">
        <v>0</v>
      </c>
      <c r="P21" s="44">
        <f t="shared" si="9"/>
        <v>100.6425</v>
      </c>
      <c r="Q21" s="40"/>
      <c r="R21" s="45">
        <f t="shared" si="6"/>
        <v>0</v>
      </c>
      <c r="S21" s="44">
        <f t="shared" si="7"/>
        <v>0</v>
      </c>
    </row>
    <row r="22" spans="2:19">
      <c r="B22" s="73"/>
      <c r="C22" s="74"/>
      <c r="D22" s="75"/>
      <c r="E22" s="76"/>
      <c r="F22" s="76"/>
      <c r="G22" s="50"/>
      <c r="H22" s="75"/>
      <c r="I22" s="75"/>
      <c r="J22" s="75"/>
      <c r="K22" s="77"/>
      <c r="L22" s="50"/>
      <c r="M22" s="51"/>
      <c r="N22" s="78"/>
      <c r="O22" s="78"/>
      <c r="P22" s="52"/>
      <c r="Q22" s="47"/>
      <c r="R22" s="52"/>
      <c r="S22" s="52"/>
    </row>
    <row r="23" spans="2:19">
      <c r="B23" s="167" t="s">
        <v>53</v>
      </c>
      <c r="C23" s="171"/>
      <c r="D23" s="34">
        <v>5310</v>
      </c>
      <c r="E23" s="33" t="s">
        <v>47</v>
      </c>
      <c r="F23" s="33" t="s">
        <v>54</v>
      </c>
      <c r="G23" s="36">
        <f>VLOOKUP($R$7,PSC!$A$2:$T$31,18,FALSE)</f>
        <v>5.99</v>
      </c>
      <c r="H23" s="34" t="s">
        <v>49</v>
      </c>
      <c r="I23" s="34">
        <v>7898969895897</v>
      </c>
      <c r="J23" s="34">
        <v>17898969895894</v>
      </c>
      <c r="K23" s="35">
        <f>VLOOKUP($R$7,'ST BISCOTTI'!A:B,2,FALSE)</f>
        <v>0.12</v>
      </c>
      <c r="L23" s="36">
        <f>VLOOKUP($R$7,PREÇOS!$A$2:$T$31,18,FALSE)</f>
        <v>4.3575000000000008</v>
      </c>
      <c r="M23" s="37">
        <f t="shared" si="8"/>
        <v>117.65250000000002</v>
      </c>
      <c r="N23" s="38">
        <v>0</v>
      </c>
      <c r="O23" s="38">
        <v>0</v>
      </c>
      <c r="P23" s="39">
        <f t="shared" ref="P23" si="10">(L23+N23)*27</f>
        <v>117.65250000000002</v>
      </c>
      <c r="Q23" s="40"/>
      <c r="R23" s="41">
        <f t="shared" ref="R23" si="11">Q23*M23</f>
        <v>0</v>
      </c>
      <c r="S23" s="39">
        <f t="shared" ref="S23" si="12">Q23*P23</f>
        <v>0</v>
      </c>
    </row>
    <row r="24" spans="2:19">
      <c r="B24" s="73"/>
      <c r="C24" s="74"/>
      <c r="D24" s="75"/>
      <c r="E24" s="76"/>
      <c r="F24" s="76"/>
      <c r="G24" s="50"/>
      <c r="H24" s="75"/>
      <c r="I24" s="75"/>
      <c r="J24" s="75"/>
      <c r="K24" s="77"/>
      <c r="L24" s="50"/>
      <c r="M24" s="51"/>
      <c r="N24" s="78"/>
      <c r="O24" s="78"/>
      <c r="P24" s="52"/>
      <c r="Q24" s="47"/>
      <c r="R24" s="52"/>
      <c r="S24" s="52"/>
    </row>
    <row r="25" spans="2:19">
      <c r="B25" s="167" t="s">
        <v>55</v>
      </c>
      <c r="C25" s="168"/>
      <c r="D25" s="34">
        <v>5641</v>
      </c>
      <c r="E25" s="33" t="s">
        <v>56</v>
      </c>
      <c r="F25" s="33" t="s">
        <v>57</v>
      </c>
      <c r="G25" s="36">
        <f>VLOOKUP($R$7,PSC!$A$2:$V$31,19,FALSE)</f>
        <v>36</v>
      </c>
      <c r="H25" s="34" t="s">
        <v>58</v>
      </c>
      <c r="I25" s="34">
        <v>7898969895644</v>
      </c>
      <c r="J25" s="34">
        <v>17898969895641</v>
      </c>
      <c r="K25" s="35">
        <f>VLOOKUP($R$7,'ST BISCOITINHOS'!A:B,2,FALSE)</f>
        <v>0.12</v>
      </c>
      <c r="L25" s="36">
        <f>VLOOKUP($R$7,PREÇOS!$A$2:$V$31,19,FALSE)</f>
        <v>17.945454545454545</v>
      </c>
      <c r="M25" s="37">
        <f>L25</f>
        <v>17.945454545454545</v>
      </c>
      <c r="N25" s="38">
        <v>0</v>
      </c>
      <c r="O25" s="38">
        <f>L25*6.5%</f>
        <v>1.1664545454545454</v>
      </c>
      <c r="P25" s="39">
        <f>(L25+N25+O25)</f>
        <v>19.111909090909091</v>
      </c>
      <c r="Q25" s="40"/>
      <c r="R25" s="41">
        <f t="shared" ref="R25:R36" si="13">Q25*M25</f>
        <v>0</v>
      </c>
      <c r="S25" s="39">
        <f t="shared" ref="S25:S36" si="14">Q25*P25</f>
        <v>0</v>
      </c>
    </row>
    <row r="26" spans="2:19">
      <c r="B26" s="154" t="s">
        <v>59</v>
      </c>
      <c r="C26" s="155"/>
      <c r="D26" s="139">
        <v>5658</v>
      </c>
      <c r="E26" s="140" t="s">
        <v>56</v>
      </c>
      <c r="F26" s="140" t="s">
        <v>57</v>
      </c>
      <c r="G26" s="141">
        <f>VLOOKUP($R$7,PSC!$A$2:$V$31,19,FALSE)</f>
        <v>36</v>
      </c>
      <c r="H26" s="139" t="s">
        <v>58</v>
      </c>
      <c r="I26" s="139">
        <v>7898969895651</v>
      </c>
      <c r="J26" s="139">
        <v>17898969895658</v>
      </c>
      <c r="K26" s="142">
        <f>VLOOKUP($R$7,'ST BISCOITINHOS'!A:B,2,FALSE)</f>
        <v>0.12</v>
      </c>
      <c r="L26" s="141">
        <f>VLOOKUP($R$7,PREÇOS!$A$2:$V$31,19,FALSE)</f>
        <v>17.945454545454545</v>
      </c>
      <c r="M26" s="37">
        <f t="shared" ref="M26:M36" si="15">L26</f>
        <v>17.945454545454545</v>
      </c>
      <c r="N26" s="143">
        <v>0</v>
      </c>
      <c r="O26" s="143">
        <f t="shared" ref="O26:O36" si="16">L26*6.5%</f>
        <v>1.1664545454545454</v>
      </c>
      <c r="P26" s="39">
        <f t="shared" ref="P26:P36" si="17">(L26+N26+O26)</f>
        <v>19.111909090909091</v>
      </c>
      <c r="Q26" s="40"/>
      <c r="R26" s="145">
        <f t="shared" si="13"/>
        <v>0</v>
      </c>
      <c r="S26" s="144">
        <f t="shared" si="14"/>
        <v>0</v>
      </c>
    </row>
    <row r="27" spans="2:19">
      <c r="B27" s="138" t="s">
        <v>60</v>
      </c>
      <c r="C27" s="153"/>
      <c r="D27" s="34">
        <v>5665</v>
      </c>
      <c r="E27" s="33" t="s">
        <v>56</v>
      </c>
      <c r="F27" s="33" t="s">
        <v>57</v>
      </c>
      <c r="G27" s="36">
        <f>VLOOKUP($R$7,PSC!$A$2:$V$31,19,FALSE)</f>
        <v>36</v>
      </c>
      <c r="H27" s="34" t="s">
        <v>58</v>
      </c>
      <c r="I27" s="34">
        <v>7898969895668</v>
      </c>
      <c r="J27" s="34">
        <v>17898969895665</v>
      </c>
      <c r="K27" s="35">
        <f>VLOOKUP($R$7,'ST BISCOITINHOS'!A:B,2,FALSE)</f>
        <v>0.12</v>
      </c>
      <c r="L27" s="36">
        <f>VLOOKUP($R$7,PREÇOS!$A$2:$V$31,19,FALSE)</f>
        <v>17.945454545454545</v>
      </c>
      <c r="M27" s="37">
        <f t="shared" si="15"/>
        <v>17.945454545454545</v>
      </c>
      <c r="N27" s="38">
        <v>0</v>
      </c>
      <c r="O27" s="38">
        <f t="shared" si="16"/>
        <v>1.1664545454545454</v>
      </c>
      <c r="P27" s="39">
        <f t="shared" si="17"/>
        <v>19.111909090909091</v>
      </c>
      <c r="Q27" s="40"/>
      <c r="R27" s="41">
        <f t="shared" si="13"/>
        <v>0</v>
      </c>
      <c r="S27" s="39">
        <f t="shared" si="14"/>
        <v>0</v>
      </c>
    </row>
    <row r="28" spans="2:19">
      <c r="B28" s="154" t="s">
        <v>61</v>
      </c>
      <c r="C28" s="155"/>
      <c r="D28" s="131">
        <v>5733</v>
      </c>
      <c r="E28" s="132" t="s">
        <v>56</v>
      </c>
      <c r="F28" s="132" t="s">
        <v>57</v>
      </c>
      <c r="G28" s="133">
        <f>VLOOKUP($R$7,PSC!$A$2:$V$31,21,FALSE)</f>
        <v>27</v>
      </c>
      <c r="H28" s="131" t="s">
        <v>58</v>
      </c>
      <c r="I28" s="131">
        <v>7898969895736</v>
      </c>
      <c r="J28" s="131">
        <v>17898969895733</v>
      </c>
      <c r="K28" s="134">
        <f>VLOOKUP($R$7,'ST BISCOITINHOS'!A:B,2,FALSE)</f>
        <v>0.12</v>
      </c>
      <c r="L28" s="133">
        <f>VLOOKUP($R$7,PREÇOS!$A$2:$V$31,20,FALSE)</f>
        <v>15.702272727272726</v>
      </c>
      <c r="M28" s="37">
        <f t="shared" si="15"/>
        <v>15.702272727272726</v>
      </c>
      <c r="N28" s="120">
        <v>0</v>
      </c>
      <c r="O28" s="120">
        <f t="shared" si="16"/>
        <v>1.0206477272727272</v>
      </c>
      <c r="P28" s="39">
        <f t="shared" si="17"/>
        <v>16.722920454545452</v>
      </c>
      <c r="Q28" s="40"/>
      <c r="R28" s="137">
        <f t="shared" si="13"/>
        <v>0</v>
      </c>
      <c r="S28" s="136">
        <f t="shared" si="14"/>
        <v>0</v>
      </c>
    </row>
    <row r="29" spans="2:19">
      <c r="B29" s="138" t="s">
        <v>62</v>
      </c>
      <c r="C29" s="153"/>
      <c r="D29" s="146">
        <v>5740</v>
      </c>
      <c r="E29" s="147" t="s">
        <v>56</v>
      </c>
      <c r="F29" s="147" t="s">
        <v>57</v>
      </c>
      <c r="G29" s="148">
        <f>VLOOKUP($R$7,PSC!$A$2:$V$31,21,FALSE)</f>
        <v>27</v>
      </c>
      <c r="H29" s="146" t="s">
        <v>58</v>
      </c>
      <c r="I29" s="146">
        <v>7898969895743</v>
      </c>
      <c r="J29" s="146">
        <v>17898969895740</v>
      </c>
      <c r="K29" s="149">
        <f>VLOOKUP($R$7,'ST BISCOITINHOS'!A:B,2,FALSE)</f>
        <v>0.12</v>
      </c>
      <c r="L29" s="148">
        <f>VLOOKUP($R$7,PREÇOS!$A$2:$V$31,20,FALSE)</f>
        <v>15.702272727272726</v>
      </c>
      <c r="M29" s="37">
        <f t="shared" si="15"/>
        <v>15.702272727272726</v>
      </c>
      <c r="N29" s="150">
        <v>0</v>
      </c>
      <c r="O29" s="150">
        <f t="shared" si="16"/>
        <v>1.0206477272727272</v>
      </c>
      <c r="P29" s="39">
        <f t="shared" si="17"/>
        <v>16.722920454545452</v>
      </c>
      <c r="Q29" s="40"/>
      <c r="R29" s="152">
        <f t="shared" si="13"/>
        <v>0</v>
      </c>
      <c r="S29" s="151">
        <f t="shared" si="14"/>
        <v>0</v>
      </c>
    </row>
    <row r="30" spans="2:19">
      <c r="B30" s="154" t="s">
        <v>63</v>
      </c>
      <c r="C30" s="155"/>
      <c r="D30" s="131">
        <v>5757</v>
      </c>
      <c r="E30" s="132" t="s">
        <v>56</v>
      </c>
      <c r="F30" s="132" t="s">
        <v>57</v>
      </c>
      <c r="G30" s="133">
        <f>VLOOKUP($R$7,PSC!$A$2:$V$31,21,FALSE)</f>
        <v>27</v>
      </c>
      <c r="H30" s="131" t="s">
        <v>58</v>
      </c>
      <c r="I30" s="131">
        <v>7898969895750</v>
      </c>
      <c r="J30" s="131">
        <v>17898969895757</v>
      </c>
      <c r="K30" s="134">
        <f>VLOOKUP($R$7,'ST BISCOITINHOS'!A:B,2,FALSE)</f>
        <v>0.12</v>
      </c>
      <c r="L30" s="133">
        <f>VLOOKUP($R$7,PREÇOS!$A$2:$V$31,20,FALSE)</f>
        <v>15.702272727272726</v>
      </c>
      <c r="M30" s="37">
        <f t="shared" si="15"/>
        <v>15.702272727272726</v>
      </c>
      <c r="N30" s="120">
        <v>0</v>
      </c>
      <c r="O30" s="120">
        <f t="shared" si="16"/>
        <v>1.0206477272727272</v>
      </c>
      <c r="P30" s="39">
        <f t="shared" si="17"/>
        <v>16.722920454545452</v>
      </c>
      <c r="Q30" s="40"/>
      <c r="R30" s="137">
        <f t="shared" si="13"/>
        <v>0</v>
      </c>
      <c r="S30" s="136">
        <f t="shared" si="14"/>
        <v>0</v>
      </c>
    </row>
    <row r="31" spans="2:19">
      <c r="B31" s="138" t="s">
        <v>64</v>
      </c>
      <c r="C31" s="153"/>
      <c r="D31" s="34">
        <v>5702</v>
      </c>
      <c r="E31" s="33" t="s">
        <v>56</v>
      </c>
      <c r="F31" s="33" t="s">
        <v>57</v>
      </c>
      <c r="G31" s="36">
        <f>VLOOKUP($R$7,PSC!$A$2:$V$31,20,FALSE)</f>
        <v>36</v>
      </c>
      <c r="H31" s="34" t="s">
        <v>58</v>
      </c>
      <c r="I31" s="34">
        <v>7898969895705</v>
      </c>
      <c r="J31" s="34">
        <v>17898969895702</v>
      </c>
      <c r="K31" s="35">
        <f>VLOOKUP($R$7,'ST BISCOITINHOS'!A:B,2,FALSE)</f>
        <v>0.12</v>
      </c>
      <c r="L31" s="36">
        <f>VLOOKUP($R$7,PREÇOS!$A$2:$V$31,21,FALSE)</f>
        <v>20.188636363636366</v>
      </c>
      <c r="M31" s="37">
        <f t="shared" si="15"/>
        <v>20.188636363636366</v>
      </c>
      <c r="N31" s="38">
        <v>0</v>
      </c>
      <c r="O31" s="38">
        <f t="shared" si="16"/>
        <v>1.3122613636363638</v>
      </c>
      <c r="P31" s="39">
        <f t="shared" si="17"/>
        <v>21.500897727272729</v>
      </c>
      <c r="Q31" s="40"/>
      <c r="R31" s="41">
        <f t="shared" si="13"/>
        <v>0</v>
      </c>
      <c r="S31" s="39">
        <f t="shared" si="14"/>
        <v>0</v>
      </c>
    </row>
    <row r="32" spans="2:19">
      <c r="B32" s="154" t="s">
        <v>65</v>
      </c>
      <c r="C32" s="155"/>
      <c r="D32" s="139">
        <v>5719</v>
      </c>
      <c r="E32" s="140" t="s">
        <v>56</v>
      </c>
      <c r="F32" s="140" t="s">
        <v>57</v>
      </c>
      <c r="G32" s="141">
        <f>VLOOKUP($R$7,PSC!$A$2:$V$31,20,FALSE)</f>
        <v>36</v>
      </c>
      <c r="H32" s="139" t="s">
        <v>58</v>
      </c>
      <c r="I32" s="139">
        <v>7898969895712</v>
      </c>
      <c r="J32" s="139">
        <v>17898969895719</v>
      </c>
      <c r="K32" s="142">
        <f>VLOOKUP($R$7,'ST BISCOITINHOS'!A:B,2,FALSE)</f>
        <v>0.12</v>
      </c>
      <c r="L32" s="141">
        <f>VLOOKUP($R$7,PREÇOS!$A$2:$V$31,21,FALSE)</f>
        <v>20.188636363636366</v>
      </c>
      <c r="M32" s="37">
        <f t="shared" si="15"/>
        <v>20.188636363636366</v>
      </c>
      <c r="N32" s="143">
        <v>0</v>
      </c>
      <c r="O32" s="143">
        <f t="shared" si="16"/>
        <v>1.3122613636363638</v>
      </c>
      <c r="P32" s="39">
        <f t="shared" si="17"/>
        <v>21.500897727272729</v>
      </c>
      <c r="Q32" s="40"/>
      <c r="R32" s="145">
        <f t="shared" si="13"/>
        <v>0</v>
      </c>
      <c r="S32" s="144">
        <f t="shared" si="14"/>
        <v>0</v>
      </c>
    </row>
    <row r="33" spans="2:19">
      <c r="B33" s="138" t="s">
        <v>66</v>
      </c>
      <c r="C33" s="153"/>
      <c r="D33" s="34">
        <v>5726</v>
      </c>
      <c r="E33" s="33" t="s">
        <v>56</v>
      </c>
      <c r="F33" s="33" t="s">
        <v>57</v>
      </c>
      <c r="G33" s="36">
        <f>VLOOKUP($R$7,PSC!$A$2:$V$31,20,FALSE)</f>
        <v>36</v>
      </c>
      <c r="H33" s="34" t="s">
        <v>58</v>
      </c>
      <c r="I33" s="34">
        <v>7898969895729</v>
      </c>
      <c r="J33" s="34">
        <v>17898969895726</v>
      </c>
      <c r="K33" s="35">
        <f>VLOOKUP($R$7,'ST BISCOITINHOS'!A:B,2,FALSE)</f>
        <v>0.12</v>
      </c>
      <c r="L33" s="36">
        <f>VLOOKUP($R$7,PREÇOS!$A$2:$V$31,21,FALSE)</f>
        <v>20.188636363636366</v>
      </c>
      <c r="M33" s="37">
        <f t="shared" si="15"/>
        <v>20.188636363636366</v>
      </c>
      <c r="N33" s="38">
        <v>0</v>
      </c>
      <c r="O33" s="38">
        <f t="shared" si="16"/>
        <v>1.3122613636363638</v>
      </c>
      <c r="P33" s="39">
        <f t="shared" si="17"/>
        <v>21.500897727272729</v>
      </c>
      <c r="Q33" s="40"/>
      <c r="R33" s="41">
        <f t="shared" si="13"/>
        <v>0</v>
      </c>
      <c r="S33" s="39">
        <f t="shared" si="14"/>
        <v>0</v>
      </c>
    </row>
    <row r="34" spans="2:19">
      <c r="B34" s="154" t="s">
        <v>67</v>
      </c>
      <c r="C34" s="155"/>
      <c r="D34" s="131">
        <v>5675</v>
      </c>
      <c r="E34" s="132" t="s">
        <v>56</v>
      </c>
      <c r="F34" s="132" t="s">
        <v>57</v>
      </c>
      <c r="G34" s="133">
        <f>VLOOKUP($R$7,PSC!$A$2:$V$31,22,FALSE)</f>
        <v>48</v>
      </c>
      <c r="H34" s="131" t="s">
        <v>58</v>
      </c>
      <c r="I34" s="131">
        <v>7898969895675</v>
      </c>
      <c r="J34" s="131">
        <v>17898969895672</v>
      </c>
      <c r="K34" s="134">
        <f>VLOOKUP($R$7,'ST BISCOITINHOS'!A:B,2,FALSE)</f>
        <v>0.12</v>
      </c>
      <c r="L34" s="133">
        <f>VLOOKUP($R$7,PREÇOS!$A$2:$V$31,22,FALSE)</f>
        <v>30.608215909090905</v>
      </c>
      <c r="M34" s="37">
        <f t="shared" si="15"/>
        <v>30.608215909090905</v>
      </c>
      <c r="N34" s="120">
        <v>0</v>
      </c>
      <c r="O34" s="120">
        <f t="shared" si="16"/>
        <v>1.9895340340909089</v>
      </c>
      <c r="P34" s="39">
        <f t="shared" si="17"/>
        <v>32.597749943181817</v>
      </c>
      <c r="Q34" s="40"/>
      <c r="R34" s="137">
        <f t="shared" si="13"/>
        <v>0</v>
      </c>
      <c r="S34" s="136">
        <f t="shared" si="14"/>
        <v>0</v>
      </c>
    </row>
    <row r="35" spans="2:19">
      <c r="B35" s="138" t="s">
        <v>68</v>
      </c>
      <c r="C35" s="153"/>
      <c r="D35" s="146">
        <v>5689</v>
      </c>
      <c r="E35" s="147" t="s">
        <v>56</v>
      </c>
      <c r="F35" s="147" t="s">
        <v>57</v>
      </c>
      <c r="G35" s="148">
        <f>VLOOKUP($R$7,PSC!$A$2:$V$31,22,FALSE)</f>
        <v>48</v>
      </c>
      <c r="H35" s="146" t="s">
        <v>58</v>
      </c>
      <c r="I35" s="146">
        <v>7898969895682</v>
      </c>
      <c r="J35" s="146">
        <v>17898969895689</v>
      </c>
      <c r="K35" s="149">
        <f>VLOOKUP($R$7,'ST BISCOITINHOS'!A:B,2,FALSE)</f>
        <v>0.12</v>
      </c>
      <c r="L35" s="148">
        <f>VLOOKUP($R$7,PREÇOS!$A$2:$V$31,22,FALSE)</f>
        <v>30.608215909090905</v>
      </c>
      <c r="M35" s="37">
        <f t="shared" si="15"/>
        <v>30.608215909090905</v>
      </c>
      <c r="N35" s="150">
        <v>0</v>
      </c>
      <c r="O35" s="150">
        <f t="shared" si="16"/>
        <v>1.9895340340909089</v>
      </c>
      <c r="P35" s="39">
        <f t="shared" si="17"/>
        <v>32.597749943181817</v>
      </c>
      <c r="Q35" s="40"/>
      <c r="R35" s="152">
        <f t="shared" si="13"/>
        <v>0</v>
      </c>
      <c r="S35" s="151">
        <f t="shared" si="14"/>
        <v>0</v>
      </c>
    </row>
    <row r="36" spans="2:19">
      <c r="B36" s="154" t="s">
        <v>69</v>
      </c>
      <c r="C36" s="155"/>
      <c r="D36" s="131">
        <v>5696</v>
      </c>
      <c r="E36" s="132" t="s">
        <v>56</v>
      </c>
      <c r="F36" s="132" t="s">
        <v>57</v>
      </c>
      <c r="G36" s="133">
        <f>VLOOKUP($R$7,PSC!$A$2:$V$31,22,FALSE)</f>
        <v>48</v>
      </c>
      <c r="H36" s="131" t="s">
        <v>58</v>
      </c>
      <c r="I36" s="131">
        <v>7898969895699</v>
      </c>
      <c r="J36" s="131">
        <v>17898969895696</v>
      </c>
      <c r="K36" s="134">
        <f>VLOOKUP($R$7,'ST BISCOITINHOS'!A:B,2,FALSE)</f>
        <v>0.12</v>
      </c>
      <c r="L36" s="133">
        <f>VLOOKUP($R$7,PREÇOS!$A$2:$V$31,22,FALSE)</f>
        <v>30.608215909090905</v>
      </c>
      <c r="M36" s="37">
        <f t="shared" si="15"/>
        <v>30.608215909090905</v>
      </c>
      <c r="N36" s="120">
        <v>0</v>
      </c>
      <c r="O36" s="120">
        <f t="shared" si="16"/>
        <v>1.9895340340909089</v>
      </c>
      <c r="P36" s="39">
        <f t="shared" si="17"/>
        <v>32.597749943181817</v>
      </c>
      <c r="Q36" s="40"/>
      <c r="R36" s="137">
        <f t="shared" si="13"/>
        <v>0</v>
      </c>
      <c r="S36" s="136">
        <f t="shared" si="14"/>
        <v>0</v>
      </c>
    </row>
    <row r="37" spans="2:19">
      <c r="B37" s="73"/>
      <c r="M37" s="79" t="s">
        <v>70</v>
      </c>
    </row>
    <row r="38" spans="2:19" ht="15" thickBot="1">
      <c r="B38" s="73"/>
    </row>
    <row r="39" spans="2:19" ht="15" thickBot="1">
      <c r="B39" s="73"/>
      <c r="P39" s="80" t="s">
        <v>71</v>
      </c>
      <c r="Q39" s="81"/>
      <c r="R39" s="82"/>
      <c r="S39" s="15">
        <f>SUM(R11:R36)</f>
        <v>0</v>
      </c>
    </row>
    <row r="40" spans="2:19" ht="15" thickBot="1">
      <c r="B40" s="73"/>
      <c r="Q40" s="47"/>
      <c r="R40" s="83"/>
      <c r="S40" s="16"/>
    </row>
    <row r="41" spans="2:19" ht="15" thickBot="1">
      <c r="B41" s="73"/>
      <c r="P41" s="80" t="s">
        <v>72</v>
      </c>
      <c r="Q41" s="81"/>
      <c r="R41" s="82"/>
      <c r="S41" s="15">
        <f t="shared" ref="S41" si="18">S43-S39</f>
        <v>0</v>
      </c>
    </row>
    <row r="42" spans="2:19" ht="15" thickBot="1">
      <c r="B42" s="73"/>
      <c r="P42" s="53"/>
      <c r="Q42" s="47"/>
      <c r="R42" s="83"/>
      <c r="S42" s="16"/>
    </row>
    <row r="43" spans="2:19" ht="15" thickBot="1">
      <c r="B43" s="73"/>
      <c r="P43" s="80" t="s">
        <v>73</v>
      </c>
      <c r="Q43" s="81"/>
      <c r="R43" s="82"/>
      <c r="S43" s="15">
        <f>SUM(S11:S36)</f>
        <v>0</v>
      </c>
    </row>
    <row r="44" spans="2:19">
      <c r="B44" s="73"/>
      <c r="N44" s="47"/>
      <c r="O44" s="47"/>
      <c r="P44" s="47"/>
      <c r="Q44" s="47"/>
      <c r="R44" s="47"/>
    </row>
    <row r="45" spans="2:19">
      <c r="B45" s="73"/>
      <c r="M45" s="79"/>
    </row>
  </sheetData>
  <sheetProtection algorithmName="SHA-512" hashValue="pETxjHicjsgTot2hKyW5gnQF58PnJtrM7g2lwJAK0Ert1XRfLBgc4kLlRlC/kmL7GjUHW2sdc5zfgOr+sKhR8A==" saltValue="P8i1+ASf6HCer+SzNYXY0g==" spinCount="100000" sheet="1" objects="1" scenarios="1"/>
  <protectedRanges>
    <protectedRange sqref="Q15:Q16 Q11:Q13 Q25:Q36" name="Intervalo1_3"/>
    <protectedRange sqref="Q18:Q21 Q23" name="Intervalo1_3_1"/>
  </protectedRanges>
  <dataConsolidate/>
  <mergeCells count="12">
    <mergeCell ref="R7:S7"/>
    <mergeCell ref="B25:C25"/>
    <mergeCell ref="B11:C11"/>
    <mergeCell ref="B19:C19"/>
    <mergeCell ref="B20:C20"/>
    <mergeCell ref="B21:C21"/>
    <mergeCell ref="B23:C23"/>
    <mergeCell ref="B12:C12"/>
    <mergeCell ref="B13:C13"/>
    <mergeCell ref="B15:C15"/>
    <mergeCell ref="B16:C16"/>
    <mergeCell ref="B18:C18"/>
  </mergeCells>
  <phoneticPr fontId="26" type="noConversion"/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5"/>
  <sheetData>
    <row r="2" spans="3:3">
      <c r="C2" t="s">
        <v>74</v>
      </c>
    </row>
    <row r="3" spans="3: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7" sqref="Q7:R7"/>
    </sheetView>
  </sheetViews>
  <sheetFormatPr defaultRowHeight="14.45"/>
  <cols>
    <col min="1" max="1" width="9" bestFit="1" customWidth="1"/>
    <col min="2" max="3" width="25.42578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140625" bestFit="1" customWidth="1"/>
    <col min="9" max="9" width="12.5703125" bestFit="1" customWidth="1"/>
    <col min="10" max="10" width="13.5703125" style="4" bestFit="1" customWidth="1"/>
    <col min="12" max="12" width="9.5703125" bestFit="1" customWidth="1"/>
    <col min="14" max="14" width="10.5703125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08">
        <v>0.04</v>
      </c>
      <c r="C2" s="108">
        <v>0.04</v>
      </c>
      <c r="D2" s="109"/>
      <c r="E2" s="109"/>
      <c r="F2" s="109"/>
      <c r="G2" s="109"/>
      <c r="H2" s="4">
        <f>PREÇOS!D3</f>
        <v>10.876800000000001</v>
      </c>
      <c r="I2" s="4">
        <f>IF(F2=0,,H2*(1+F2)*C2-(H2*B2))</f>
        <v>0</v>
      </c>
      <c r="J2" s="4">
        <f>IF(G2=0,IF(F2=0,,H2*(1+F2)*C2-(H2*B2)),H2*(1+G2)*C2-(H2*B2))</f>
        <v>0</v>
      </c>
    </row>
    <row r="3" spans="1:10">
      <c r="A3" s="110" t="s">
        <v>86</v>
      </c>
      <c r="B3" s="111">
        <v>0.04</v>
      </c>
      <c r="C3" s="111">
        <v>0.2</v>
      </c>
      <c r="D3" s="89">
        <v>0.3</v>
      </c>
      <c r="E3" s="89"/>
      <c r="F3" s="89">
        <v>0.56000000000000005</v>
      </c>
      <c r="G3" s="89"/>
      <c r="H3" s="4">
        <f>PREÇOS!D4</f>
        <v>10.876800000000001</v>
      </c>
      <c r="I3" s="4">
        <f>IF(F3=0,,H3*(1+F3)*C3-(H3*B3))</f>
        <v>2.9584896000000005</v>
      </c>
      <c r="J3" s="4">
        <f t="shared" ref="J3:J26" si="0">IF(G3=0,IF(F3=0,,H3*(1+F3)*C3-(H3*B3)),H3*(1+G3)*C3-(H3*B3))</f>
        <v>2.9584896000000005</v>
      </c>
    </row>
    <row r="4" spans="1:10">
      <c r="A4" s="107" t="s">
        <v>87</v>
      </c>
      <c r="B4" s="108">
        <v>0.04</v>
      </c>
      <c r="C4" s="108">
        <v>0.04</v>
      </c>
      <c r="D4" s="109"/>
      <c r="E4" s="109"/>
      <c r="F4" s="109"/>
      <c r="G4" s="109"/>
      <c r="H4" s="4">
        <f>PREÇOS!D5</f>
        <v>10.876800000000001</v>
      </c>
      <c r="I4" s="4">
        <f t="shared" ref="I4:I26" si="1">IF(F4=0,,H4*(1+F4)*C4-(H4*B4))</f>
        <v>0</v>
      </c>
      <c r="J4" s="4">
        <f t="shared" si="0"/>
        <v>0</v>
      </c>
    </row>
    <row r="5" spans="1:10">
      <c r="A5" s="107" t="s">
        <v>88</v>
      </c>
      <c r="B5" s="108">
        <v>0.04</v>
      </c>
      <c r="C5" s="108">
        <v>0.18</v>
      </c>
      <c r="D5" s="109">
        <v>0.34</v>
      </c>
      <c r="E5" s="109"/>
      <c r="F5" s="109">
        <v>0.56879999999999997</v>
      </c>
      <c r="G5" s="109"/>
      <c r="H5" s="4">
        <f>PREÇOS!D6</f>
        <v>10.876800000000001</v>
      </c>
      <c r="I5" s="4">
        <f t="shared" si="1"/>
        <v>2.6363622912000002</v>
      </c>
      <c r="J5" s="4">
        <f t="shared" si="0"/>
        <v>2.6363622912000002</v>
      </c>
    </row>
    <row r="6" spans="1:10">
      <c r="A6" s="107" t="s">
        <v>89</v>
      </c>
      <c r="B6" s="108">
        <v>0.04</v>
      </c>
      <c r="C6" s="108">
        <v>0.04</v>
      </c>
      <c r="D6" s="109"/>
      <c r="E6" s="109"/>
      <c r="F6" s="109"/>
      <c r="G6" s="109"/>
      <c r="H6" s="4">
        <f>PREÇOS!D7</f>
        <v>10.876800000000001</v>
      </c>
      <c r="I6" s="4">
        <f t="shared" si="1"/>
        <v>0</v>
      </c>
      <c r="J6" s="4">
        <f t="shared" si="0"/>
        <v>0</v>
      </c>
    </row>
    <row r="7" spans="1:10">
      <c r="A7" s="107" t="s">
        <v>90</v>
      </c>
      <c r="B7" s="108">
        <v>0.04</v>
      </c>
      <c r="C7" s="108">
        <v>0.04</v>
      </c>
      <c r="D7" s="109"/>
      <c r="E7" s="109"/>
      <c r="F7" s="109"/>
      <c r="G7" s="109"/>
      <c r="H7" s="4">
        <f>PREÇOS!D8</f>
        <v>10.876800000000001</v>
      </c>
      <c r="I7" s="4">
        <f t="shared" si="1"/>
        <v>0</v>
      </c>
      <c r="J7" s="4">
        <f t="shared" si="0"/>
        <v>0</v>
      </c>
    </row>
    <row r="8" spans="1:10">
      <c r="A8" s="107" t="s">
        <v>91</v>
      </c>
      <c r="B8" s="108">
        <v>0.04</v>
      </c>
      <c r="C8" s="108">
        <v>0.04</v>
      </c>
      <c r="D8" s="109"/>
      <c r="E8" s="109"/>
      <c r="F8" s="109"/>
      <c r="G8" s="109"/>
      <c r="H8" s="4">
        <f>PREÇOS!D9</f>
        <v>10.876800000000001</v>
      </c>
      <c r="I8" s="4">
        <f t="shared" si="1"/>
        <v>0</v>
      </c>
      <c r="J8" s="4">
        <f t="shared" si="0"/>
        <v>0</v>
      </c>
    </row>
    <row r="9" spans="1:10">
      <c r="A9" s="107" t="s">
        <v>92</v>
      </c>
      <c r="B9" s="108">
        <v>0.04</v>
      </c>
      <c r="C9" s="108">
        <v>0.04</v>
      </c>
      <c r="D9" s="109"/>
      <c r="E9" s="109"/>
      <c r="F9" s="109"/>
      <c r="G9" s="109"/>
      <c r="H9" s="4">
        <f>PREÇOS!D10</f>
        <v>10.876800000000001</v>
      </c>
      <c r="I9" s="4">
        <f t="shared" si="1"/>
        <v>0</v>
      </c>
      <c r="J9" s="4">
        <f t="shared" si="0"/>
        <v>0</v>
      </c>
    </row>
    <row r="10" spans="1:10">
      <c r="A10" s="107" t="s">
        <v>93</v>
      </c>
      <c r="B10" s="108">
        <v>0.04</v>
      </c>
      <c r="C10" s="108">
        <v>0.04</v>
      </c>
      <c r="D10" s="109"/>
      <c r="E10" s="109"/>
      <c r="F10" s="109"/>
      <c r="G10" s="109"/>
      <c r="H10" s="4">
        <f>PREÇOS!D11</f>
        <v>10.876800000000001</v>
      </c>
      <c r="I10" s="4">
        <f t="shared" si="1"/>
        <v>0</v>
      </c>
      <c r="J10" s="4">
        <f t="shared" si="0"/>
        <v>0</v>
      </c>
    </row>
    <row r="11" spans="1:10">
      <c r="A11" s="107" t="s">
        <v>94</v>
      </c>
      <c r="B11" s="108">
        <v>0.04</v>
      </c>
      <c r="C11" s="108">
        <v>0.04</v>
      </c>
      <c r="D11" s="109"/>
      <c r="E11" s="109"/>
      <c r="F11" s="109"/>
      <c r="G11" s="109"/>
      <c r="H11" s="4">
        <f>PREÇOS!D12</f>
        <v>10.876800000000001</v>
      </c>
      <c r="I11" s="4">
        <f t="shared" si="1"/>
        <v>0</v>
      </c>
      <c r="J11" s="4">
        <f t="shared" si="0"/>
        <v>0</v>
      </c>
    </row>
    <row r="12" spans="1:10">
      <c r="A12" s="110" t="s">
        <v>95</v>
      </c>
      <c r="B12" s="111">
        <v>0.04</v>
      </c>
      <c r="C12" s="111">
        <v>0.18</v>
      </c>
      <c r="D12" s="89">
        <v>0.25</v>
      </c>
      <c r="E12" s="89"/>
      <c r="F12" s="89">
        <v>0.36359999999999998</v>
      </c>
      <c r="G12" s="89"/>
      <c r="H12" s="4">
        <f>PREÇOS!D13</f>
        <v>10.876800000000001</v>
      </c>
      <c r="I12" s="4">
        <f>IF(F12=0,,H12*(1+F12)*C12-(H12*B12))</f>
        <v>2.2346168064</v>
      </c>
      <c r="J12" s="4">
        <f t="shared" si="0"/>
        <v>2.2346168064</v>
      </c>
    </row>
    <row r="13" spans="1:10">
      <c r="A13" s="107" t="s">
        <v>96</v>
      </c>
      <c r="B13" s="108">
        <v>0.04</v>
      </c>
      <c r="C13" s="108">
        <v>0.04</v>
      </c>
      <c r="D13" s="109"/>
      <c r="E13" s="109"/>
      <c r="F13" s="109"/>
      <c r="G13" s="109"/>
      <c r="H13" s="4">
        <f>PREÇOS!D14</f>
        <v>10.876800000000001</v>
      </c>
      <c r="I13" s="4">
        <f t="shared" si="1"/>
        <v>0</v>
      </c>
      <c r="J13" s="4">
        <f t="shared" si="0"/>
        <v>0</v>
      </c>
    </row>
    <row r="14" spans="1:10">
      <c r="A14" s="110" t="s">
        <v>97</v>
      </c>
      <c r="B14" s="111">
        <v>0.04</v>
      </c>
      <c r="C14" s="111">
        <v>0.04</v>
      </c>
      <c r="D14" s="89"/>
      <c r="E14" s="89"/>
      <c r="F14" s="89"/>
      <c r="G14" s="89"/>
      <c r="H14" s="4">
        <f>PREÇOS!D15</f>
        <v>10.876800000000001</v>
      </c>
      <c r="I14" s="4">
        <f t="shared" si="1"/>
        <v>0</v>
      </c>
      <c r="J14" s="4">
        <f t="shared" si="0"/>
        <v>0</v>
      </c>
    </row>
    <row r="15" spans="1:10">
      <c r="A15" s="112" t="s">
        <v>98</v>
      </c>
      <c r="B15" s="113">
        <v>0.04</v>
      </c>
      <c r="C15" s="113">
        <v>0.04</v>
      </c>
      <c r="D15" s="114"/>
      <c r="E15" s="114"/>
      <c r="F15" s="114"/>
      <c r="G15" s="114"/>
      <c r="H15" s="4">
        <f>PREÇOS!D16</f>
        <v>10.876800000000001</v>
      </c>
      <c r="I15" s="4">
        <f t="shared" si="1"/>
        <v>0</v>
      </c>
      <c r="J15" s="4">
        <f t="shared" si="0"/>
        <v>0</v>
      </c>
    </row>
    <row r="16" spans="1:10">
      <c r="A16" s="112" t="s">
        <v>99</v>
      </c>
      <c r="B16" s="113">
        <v>0.04</v>
      </c>
      <c r="C16" s="113">
        <v>0.04</v>
      </c>
      <c r="D16" s="114"/>
      <c r="E16" s="114"/>
      <c r="F16" s="114"/>
      <c r="G16" s="114"/>
      <c r="H16" s="4">
        <f>PREÇOS!D17</f>
        <v>10.876800000000001</v>
      </c>
      <c r="I16" s="4">
        <f t="shared" si="1"/>
        <v>0</v>
      </c>
      <c r="J16" s="4">
        <f t="shared" si="0"/>
        <v>0</v>
      </c>
    </row>
    <row r="17" spans="1:16">
      <c r="A17" s="112" t="s">
        <v>100</v>
      </c>
      <c r="B17" s="113">
        <v>0.04</v>
      </c>
      <c r="C17" s="113">
        <v>0.04</v>
      </c>
      <c r="D17" s="114"/>
      <c r="E17" s="114"/>
      <c r="F17" s="114"/>
      <c r="G17" s="114"/>
      <c r="H17" s="4">
        <f>PREÇOS!D18</f>
        <v>10.876800000000001</v>
      </c>
      <c r="I17" s="4">
        <f t="shared" si="1"/>
        <v>0</v>
      </c>
      <c r="J17" s="4">
        <f t="shared" si="0"/>
        <v>0</v>
      </c>
    </row>
    <row r="18" spans="1:16">
      <c r="A18" s="112" t="s">
        <v>101</v>
      </c>
      <c r="B18" s="113">
        <v>0.04</v>
      </c>
      <c r="C18" s="113">
        <v>0.04</v>
      </c>
      <c r="D18" s="114"/>
      <c r="E18" s="114"/>
      <c r="F18" s="114"/>
      <c r="G18" s="114"/>
      <c r="H18" s="4">
        <f>PREÇOS!D19</f>
        <v>10.876800000000001</v>
      </c>
      <c r="I18" s="4">
        <f t="shared" si="1"/>
        <v>0</v>
      </c>
      <c r="J18" s="4">
        <f t="shared" si="0"/>
        <v>0</v>
      </c>
    </row>
    <row r="19" spans="1:16">
      <c r="A19" s="112" t="s">
        <v>10</v>
      </c>
      <c r="B19" s="113">
        <v>0.12</v>
      </c>
      <c r="C19" s="113">
        <v>0.12</v>
      </c>
      <c r="D19" s="114"/>
      <c r="E19" s="114"/>
      <c r="F19" s="114"/>
      <c r="G19" s="114"/>
      <c r="H19" s="4">
        <f>PREÇOS!D20</f>
        <v>11.917100000000001</v>
      </c>
      <c r="I19" s="4">
        <f t="shared" si="1"/>
        <v>0</v>
      </c>
      <c r="J19" s="4">
        <f t="shared" si="0"/>
        <v>0</v>
      </c>
    </row>
    <row r="20" spans="1:16">
      <c r="A20" s="110" t="s">
        <v>102</v>
      </c>
      <c r="B20" s="111">
        <v>0.04</v>
      </c>
      <c r="C20" s="111">
        <v>0.22</v>
      </c>
      <c r="D20" s="89">
        <v>0.35199999999999998</v>
      </c>
      <c r="E20" s="89"/>
      <c r="F20" s="89">
        <v>0.66400000000000003</v>
      </c>
      <c r="G20" s="89"/>
      <c r="H20" s="4">
        <f>PREÇOS!D21</f>
        <v>10.876800000000001</v>
      </c>
      <c r="I20" s="4">
        <f>IF(F20=0,,H20*(1+F20)*C20-(H20*B20))</f>
        <v>3.5467069440000012</v>
      </c>
      <c r="J20" s="4">
        <f t="shared" si="0"/>
        <v>3.5467069440000012</v>
      </c>
    </row>
    <row r="21" spans="1:16">
      <c r="A21" s="107" t="s">
        <v>103</v>
      </c>
      <c r="B21" s="108">
        <v>0.04</v>
      </c>
      <c r="C21" s="108">
        <v>0.04</v>
      </c>
      <c r="D21" s="109"/>
      <c r="E21" s="109"/>
      <c r="F21" s="109"/>
      <c r="G21" s="109"/>
      <c r="H21" s="4">
        <f>PREÇOS!D22</f>
        <v>10.876800000000001</v>
      </c>
      <c r="I21" s="4">
        <f t="shared" si="1"/>
        <v>0</v>
      </c>
      <c r="J21" s="4">
        <f t="shared" si="0"/>
        <v>0</v>
      </c>
    </row>
    <row r="22" spans="1:16">
      <c r="A22" s="107" t="s">
        <v>104</v>
      </c>
      <c r="B22" s="108">
        <v>0.04</v>
      </c>
      <c r="C22" s="108">
        <v>0.04</v>
      </c>
      <c r="D22" s="109"/>
      <c r="E22" s="109"/>
      <c r="F22" s="109"/>
      <c r="G22" s="109"/>
      <c r="H22" s="4">
        <f>PREÇOS!D23</f>
        <v>10.876800000000001</v>
      </c>
      <c r="I22" s="4">
        <f t="shared" si="1"/>
        <v>0</v>
      </c>
      <c r="J22" s="4">
        <f t="shared" si="0"/>
        <v>0</v>
      </c>
    </row>
    <row r="23" spans="1:16">
      <c r="A23" s="107" t="s">
        <v>105</v>
      </c>
      <c r="B23" s="108">
        <v>0.04</v>
      </c>
      <c r="C23" s="108">
        <v>0.04</v>
      </c>
      <c r="D23" s="109"/>
      <c r="E23" s="109"/>
      <c r="F23" s="109"/>
      <c r="G23" s="109"/>
      <c r="H23" s="4">
        <f>PREÇOS!D24</f>
        <v>10.876800000000001</v>
      </c>
      <c r="I23" s="4">
        <f t="shared" si="1"/>
        <v>0</v>
      </c>
      <c r="J23" s="4">
        <f t="shared" si="0"/>
        <v>0</v>
      </c>
    </row>
    <row r="24" spans="1:16">
      <c r="A24" s="107" t="s">
        <v>106</v>
      </c>
      <c r="B24" s="108">
        <v>0.04</v>
      </c>
      <c r="C24" s="108">
        <v>0.04</v>
      </c>
      <c r="D24" s="109"/>
      <c r="E24" s="109"/>
      <c r="F24" s="109"/>
      <c r="G24" s="109"/>
      <c r="H24" s="4">
        <f>PREÇOS!D25</f>
        <v>10.876800000000001</v>
      </c>
      <c r="I24" s="4">
        <f t="shared" si="1"/>
        <v>0</v>
      </c>
      <c r="J24" s="4">
        <f t="shared" si="0"/>
        <v>0</v>
      </c>
    </row>
    <row r="25" spans="1:16">
      <c r="A25" s="107" t="s">
        <v>107</v>
      </c>
      <c r="B25" s="108">
        <v>0.04</v>
      </c>
      <c r="C25" s="108">
        <v>0.04</v>
      </c>
      <c r="D25" s="109"/>
      <c r="E25" s="109"/>
      <c r="F25" s="109"/>
      <c r="G25" s="109"/>
      <c r="H25" s="4">
        <f>PREÇOS!D26</f>
        <v>10.876800000000001</v>
      </c>
      <c r="I25" s="4">
        <f t="shared" si="1"/>
        <v>0</v>
      </c>
      <c r="J25" s="4">
        <f t="shared" si="0"/>
        <v>0</v>
      </c>
    </row>
    <row r="26" spans="1:16">
      <c r="A26" s="107" t="s">
        <v>108</v>
      </c>
      <c r="B26" s="108">
        <v>0.04</v>
      </c>
      <c r="C26" s="108">
        <v>0.04</v>
      </c>
      <c r="D26" s="109"/>
      <c r="E26" s="109"/>
      <c r="F26" s="109"/>
      <c r="G26" s="109"/>
      <c r="H26" s="4">
        <f>PREÇOS!D27</f>
        <v>10.876800000000001</v>
      </c>
      <c r="I26" s="4">
        <f t="shared" si="1"/>
        <v>0</v>
      </c>
      <c r="J26" s="4">
        <f t="shared" si="0"/>
        <v>0</v>
      </c>
    </row>
    <row r="27" spans="1:16">
      <c r="A27" s="107" t="s">
        <v>109</v>
      </c>
      <c r="B27" s="108">
        <v>0.04</v>
      </c>
      <c r="C27" s="108">
        <v>0.18</v>
      </c>
      <c r="D27" s="109">
        <v>0.48320000000000002</v>
      </c>
      <c r="E27" s="109"/>
      <c r="F27" s="109">
        <v>0.61799999999999999</v>
      </c>
      <c r="G27" s="109"/>
      <c r="H27" s="4">
        <f>PREÇOS!D28</f>
        <v>10.876800000000001</v>
      </c>
      <c r="I27" s="4">
        <f t="shared" ref="I27:I30" si="2">IF(F27=0,,H27*(1+F27)*C27-(H27*B27))</f>
        <v>2.7326872320000004</v>
      </c>
      <c r="J27" s="4">
        <f t="shared" ref="J27:J30" si="3">IF(G27=0,IF(F27=0,,H27*(1+F27)*C27-(H27*B27)),H27*(1+G27)*C27-(H27*B27))</f>
        <v>2.7326872320000004</v>
      </c>
      <c r="L27" s="6"/>
      <c r="N27" s="6"/>
      <c r="P27" s="6"/>
    </row>
    <row r="28" spans="1:16">
      <c r="A28" s="110" t="s">
        <v>110</v>
      </c>
      <c r="B28" s="111">
        <f>B27</f>
        <v>0.04</v>
      </c>
      <c r="C28" s="111">
        <f t="shared" ref="C28:G28" si="4">C27</f>
        <v>0.18</v>
      </c>
      <c r="D28" s="89">
        <f t="shared" si="4"/>
        <v>0.48320000000000002</v>
      </c>
      <c r="E28" s="111">
        <f t="shared" si="4"/>
        <v>0</v>
      </c>
      <c r="F28" s="89">
        <f t="shared" si="4"/>
        <v>0.61799999999999999</v>
      </c>
      <c r="G28" s="111">
        <f t="shared" si="4"/>
        <v>0</v>
      </c>
      <c r="H28" s="104">
        <f>PREÇOS!D29</f>
        <v>10.876800000000001</v>
      </c>
      <c r="I28" s="104">
        <f t="shared" si="2"/>
        <v>2.7326872320000004</v>
      </c>
      <c r="J28" s="104">
        <f t="shared" si="3"/>
        <v>2.7326872320000004</v>
      </c>
      <c r="L28" s="6"/>
      <c r="N28" s="6"/>
      <c r="P28" s="6"/>
    </row>
    <row r="29" spans="1:16">
      <c r="A29" s="107" t="s">
        <v>111</v>
      </c>
      <c r="B29" s="108">
        <v>0.04</v>
      </c>
      <c r="C29" s="108">
        <v>0.04</v>
      </c>
      <c r="D29" s="109"/>
      <c r="E29" s="109"/>
      <c r="F29" s="109"/>
      <c r="G29" s="109"/>
      <c r="H29" s="4">
        <f>PREÇOS!D30</f>
        <v>10.876800000000001</v>
      </c>
      <c r="I29" s="4">
        <f t="shared" si="2"/>
        <v>0</v>
      </c>
      <c r="J29" s="4">
        <f t="shared" si="3"/>
        <v>0</v>
      </c>
    </row>
    <row r="30" spans="1:16">
      <c r="A30" s="3" t="s">
        <v>112</v>
      </c>
      <c r="H30" s="4">
        <f>PREÇOS!D31</f>
        <v>9.434800000000001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15">
        <v>7.0000000000000007E-2</v>
      </c>
      <c r="C2" s="115">
        <v>7.0000000000000007E-2</v>
      </c>
      <c r="D2" s="109"/>
      <c r="E2" s="109"/>
      <c r="F2" s="109"/>
      <c r="G2" s="109"/>
      <c r="H2" s="7">
        <f>PREÇOS!E3</f>
        <v>7.19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>
      <c r="A3" s="107" t="s">
        <v>86</v>
      </c>
      <c r="B3" s="115">
        <v>7.0000000000000007E-2</v>
      </c>
      <c r="C3" s="115">
        <v>0.19</v>
      </c>
      <c r="D3" s="109">
        <v>0.2</v>
      </c>
      <c r="E3" s="109"/>
      <c r="F3" s="109">
        <v>0.36099999999999999</v>
      </c>
      <c r="G3" s="109"/>
      <c r="H3" s="7">
        <f>PREÇOS!E4</f>
        <v>7.19</v>
      </c>
      <c r="I3" s="4">
        <f t="shared" si="0"/>
        <v>1.3559621000000002</v>
      </c>
      <c r="J3" s="4">
        <f t="shared" si="1"/>
        <v>1.3559621000000002</v>
      </c>
    </row>
    <row r="4" spans="1:10">
      <c r="A4" s="107" t="s">
        <v>87</v>
      </c>
      <c r="B4" s="115">
        <v>7.0000000000000007E-2</v>
      </c>
      <c r="C4" s="115">
        <v>7.0000000000000007E-2</v>
      </c>
      <c r="D4" s="109"/>
      <c r="E4" s="109"/>
      <c r="F4" s="109"/>
      <c r="G4" s="109"/>
      <c r="H4" s="7">
        <f>PREÇOS!E5</f>
        <v>7.19</v>
      </c>
      <c r="I4" s="4">
        <f t="shared" si="0"/>
        <v>0</v>
      </c>
      <c r="J4" s="4">
        <f t="shared" si="1"/>
        <v>0</v>
      </c>
    </row>
    <row r="5" spans="1:10">
      <c r="A5" s="107" t="s">
        <v>88</v>
      </c>
      <c r="B5" s="115">
        <v>7.0000000000000007E-2</v>
      </c>
      <c r="C5" s="115">
        <v>0.18</v>
      </c>
      <c r="D5" s="109">
        <v>0.38</v>
      </c>
      <c r="E5" s="109"/>
      <c r="F5" s="109">
        <v>0.56510000000000005</v>
      </c>
      <c r="G5" s="109"/>
      <c r="H5" s="7">
        <f>PREÇOS!E6</f>
        <v>7.19</v>
      </c>
      <c r="I5" s="4">
        <f t="shared" si="0"/>
        <v>1.5222524200000003</v>
      </c>
      <c r="J5" s="4">
        <f t="shared" si="1"/>
        <v>1.5222524200000003</v>
      </c>
    </row>
    <row r="6" spans="1:10">
      <c r="A6" s="107" t="s">
        <v>89</v>
      </c>
      <c r="B6" s="115">
        <v>7.0000000000000007E-2</v>
      </c>
      <c r="C6" s="115">
        <v>7.0000000000000007E-2</v>
      </c>
      <c r="D6" s="109"/>
      <c r="E6" s="109"/>
      <c r="F6" s="109"/>
      <c r="G6" s="109"/>
      <c r="H6" s="7">
        <f>PREÇOS!E7</f>
        <v>7.19</v>
      </c>
      <c r="I6" s="4">
        <f t="shared" si="0"/>
        <v>0</v>
      </c>
      <c r="J6" s="4">
        <f t="shared" si="1"/>
        <v>0</v>
      </c>
    </row>
    <row r="7" spans="1:10">
      <c r="A7" s="107" t="s">
        <v>90</v>
      </c>
      <c r="B7" s="115">
        <v>7.0000000000000007E-2</v>
      </c>
      <c r="C7" s="115">
        <v>7.0000000000000007E-2</v>
      </c>
      <c r="D7" s="109"/>
      <c r="E7" s="109"/>
      <c r="F7" s="109"/>
      <c r="G7" s="109"/>
      <c r="H7" s="7">
        <f>PREÇOS!E8</f>
        <v>7.19</v>
      </c>
      <c r="I7" s="4">
        <f t="shared" si="0"/>
        <v>0</v>
      </c>
      <c r="J7" s="4">
        <f t="shared" si="1"/>
        <v>0</v>
      </c>
    </row>
    <row r="8" spans="1:10">
      <c r="A8" s="107" t="s">
        <v>91</v>
      </c>
      <c r="B8" s="115">
        <v>7.0000000000000007E-2</v>
      </c>
      <c r="C8" s="115">
        <v>7.0000000000000007E-2</v>
      </c>
      <c r="D8" s="109"/>
      <c r="E8" s="109"/>
      <c r="F8" s="109"/>
      <c r="G8" s="109"/>
      <c r="H8" s="7">
        <f>PREÇOS!E9</f>
        <v>7.19</v>
      </c>
      <c r="I8" s="4">
        <f t="shared" si="0"/>
        <v>0</v>
      </c>
      <c r="J8" s="4">
        <f t="shared" si="1"/>
        <v>0</v>
      </c>
    </row>
    <row r="9" spans="1:10">
      <c r="A9" s="107" t="s">
        <v>92</v>
      </c>
      <c r="B9" s="115">
        <v>7.0000000000000007E-2</v>
      </c>
      <c r="C9" s="108">
        <v>7.0000000000000007E-2</v>
      </c>
      <c r="D9" s="109"/>
      <c r="E9" s="109"/>
      <c r="F9" s="109"/>
      <c r="G9" s="109"/>
      <c r="H9" s="7">
        <f>PREÇOS!E10</f>
        <v>7.19</v>
      </c>
      <c r="I9" s="4">
        <f t="shared" si="0"/>
        <v>0</v>
      </c>
      <c r="J9" s="4">
        <f t="shared" si="1"/>
        <v>0</v>
      </c>
    </row>
    <row r="10" spans="1:10">
      <c r="A10" s="107" t="s">
        <v>93</v>
      </c>
      <c r="B10" s="115">
        <v>7.0000000000000007E-2</v>
      </c>
      <c r="C10" s="108">
        <v>7.0000000000000007E-2</v>
      </c>
      <c r="D10" s="109"/>
      <c r="E10" s="109"/>
      <c r="F10" s="109"/>
      <c r="G10" s="109"/>
      <c r="H10" s="7">
        <f>PREÇOS!E11</f>
        <v>7.19</v>
      </c>
      <c r="I10" s="4">
        <f t="shared" si="0"/>
        <v>0</v>
      </c>
      <c r="J10" s="4">
        <f t="shared" si="1"/>
        <v>0</v>
      </c>
    </row>
    <row r="11" spans="1:10">
      <c r="A11" s="107" t="s">
        <v>94</v>
      </c>
      <c r="B11" s="115">
        <v>7.0000000000000007E-2</v>
      </c>
      <c r="C11" s="108">
        <v>7.0000000000000007E-2</v>
      </c>
      <c r="D11" s="109"/>
      <c r="E11" s="109"/>
      <c r="F11" s="109"/>
      <c r="G11" s="109"/>
      <c r="H11" s="7">
        <f>PREÇOS!E12</f>
        <v>7.19</v>
      </c>
      <c r="I11" s="4">
        <f t="shared" si="0"/>
        <v>0</v>
      </c>
      <c r="J11" s="4">
        <f t="shared" si="1"/>
        <v>0</v>
      </c>
    </row>
    <row r="12" spans="1:10">
      <c r="A12" s="107" t="s">
        <v>95</v>
      </c>
      <c r="B12" s="115">
        <v>0.12</v>
      </c>
      <c r="C12" s="108">
        <v>0.18</v>
      </c>
      <c r="D12" s="109">
        <v>0.35</v>
      </c>
      <c r="E12" s="109"/>
      <c r="F12" s="109">
        <v>0.35</v>
      </c>
      <c r="G12" s="109"/>
      <c r="H12" s="7">
        <f>PREÇOS!E13</f>
        <v>7.67</v>
      </c>
      <c r="I12" s="4">
        <f t="shared" si="0"/>
        <v>0.94340999999999997</v>
      </c>
      <c r="J12" s="4">
        <f t="shared" si="1"/>
        <v>0.94340999999999997</v>
      </c>
    </row>
    <row r="13" spans="1:10">
      <c r="A13" s="107" t="s">
        <v>96</v>
      </c>
      <c r="B13" s="115">
        <v>7.0000000000000007E-2</v>
      </c>
      <c r="C13" s="108">
        <v>7.0000000000000007E-2</v>
      </c>
      <c r="D13" s="109"/>
      <c r="E13" s="109"/>
      <c r="F13" s="109"/>
      <c r="G13" s="109"/>
      <c r="H13" s="7">
        <f>PREÇOS!E14</f>
        <v>7.19</v>
      </c>
      <c r="I13" s="4">
        <f t="shared" si="0"/>
        <v>0</v>
      </c>
      <c r="J13" s="4">
        <f t="shared" si="1"/>
        <v>0</v>
      </c>
    </row>
    <row r="14" spans="1:10">
      <c r="A14" s="107" t="s">
        <v>97</v>
      </c>
      <c r="B14" s="115">
        <v>7.0000000000000007E-2</v>
      </c>
      <c r="C14" s="108">
        <v>0.17</v>
      </c>
      <c r="D14" s="109">
        <v>0.35449999999999998</v>
      </c>
      <c r="E14" s="109"/>
      <c r="F14" s="109">
        <v>0.35449999999999998</v>
      </c>
      <c r="G14" s="109"/>
      <c r="H14" s="7">
        <f>PREÇOS!E15</f>
        <v>7.19</v>
      </c>
      <c r="I14" s="4">
        <f t="shared" si="0"/>
        <v>1.1523053500000002</v>
      </c>
      <c r="J14" s="4">
        <f t="shared" si="1"/>
        <v>1.1523053500000002</v>
      </c>
    </row>
    <row r="15" spans="1:10">
      <c r="A15" s="107" t="s">
        <v>98</v>
      </c>
      <c r="B15" s="115">
        <v>7.0000000000000007E-2</v>
      </c>
      <c r="C15" s="108">
        <v>7.0000000000000007E-2</v>
      </c>
      <c r="D15" s="109"/>
      <c r="E15" s="109"/>
      <c r="F15" s="109"/>
      <c r="G15" s="109"/>
      <c r="H15" s="7">
        <f>PREÇOS!E16</f>
        <v>7.19</v>
      </c>
      <c r="I15" s="4">
        <f t="shared" si="0"/>
        <v>0</v>
      </c>
      <c r="J15" s="4">
        <f t="shared" si="1"/>
        <v>0</v>
      </c>
    </row>
    <row r="16" spans="1:10">
      <c r="A16" s="107" t="s">
        <v>99</v>
      </c>
      <c r="B16" s="115">
        <v>7.0000000000000007E-2</v>
      </c>
      <c r="C16" s="108">
        <v>7.0000000000000007E-2</v>
      </c>
      <c r="D16" s="109"/>
      <c r="E16" s="109"/>
      <c r="F16" s="109"/>
      <c r="G16" s="109"/>
      <c r="H16" s="7">
        <f>PREÇOS!E17</f>
        <v>7.19</v>
      </c>
      <c r="I16" s="4">
        <f t="shared" si="0"/>
        <v>0</v>
      </c>
      <c r="J16" s="4">
        <f t="shared" si="1"/>
        <v>0</v>
      </c>
    </row>
    <row r="17" spans="1:10">
      <c r="A17" s="107" t="s">
        <v>100</v>
      </c>
      <c r="B17" s="115">
        <v>7.0000000000000007E-2</v>
      </c>
      <c r="C17" s="108">
        <v>7.0000000000000007E-2</v>
      </c>
      <c r="D17" s="109"/>
      <c r="E17" s="109"/>
      <c r="F17" s="109"/>
      <c r="G17" s="109"/>
      <c r="H17" s="7">
        <f>PREÇOS!E18</f>
        <v>7.19</v>
      </c>
      <c r="I17" s="4">
        <f t="shared" si="0"/>
        <v>0</v>
      </c>
      <c r="J17" s="4">
        <f t="shared" si="1"/>
        <v>0</v>
      </c>
    </row>
    <row r="18" spans="1:10">
      <c r="A18" s="107" t="s">
        <v>101</v>
      </c>
      <c r="B18" s="115">
        <v>7.0000000000000007E-2</v>
      </c>
      <c r="C18" s="108">
        <v>7.0000000000000007E-2</v>
      </c>
      <c r="D18" s="109"/>
      <c r="E18" s="109"/>
      <c r="F18" s="109"/>
      <c r="G18" s="109"/>
      <c r="H18" s="7">
        <f>PREÇOS!E19</f>
        <v>7.19</v>
      </c>
      <c r="I18" s="4">
        <f t="shared" si="0"/>
        <v>0</v>
      </c>
      <c r="J18" s="4">
        <f t="shared" si="1"/>
        <v>0</v>
      </c>
    </row>
    <row r="19" spans="1:10">
      <c r="A19" s="107" t="s">
        <v>10</v>
      </c>
      <c r="B19" s="115">
        <v>0.12</v>
      </c>
      <c r="C19" s="108">
        <v>0.12</v>
      </c>
      <c r="D19" s="109"/>
      <c r="E19" s="109"/>
      <c r="F19" s="109"/>
      <c r="G19" s="109"/>
      <c r="H19" s="7">
        <f>PREÇOS!E20</f>
        <v>7.67</v>
      </c>
      <c r="I19" s="4">
        <f t="shared" si="0"/>
        <v>0</v>
      </c>
      <c r="J19" s="4">
        <f t="shared" si="1"/>
        <v>0</v>
      </c>
    </row>
    <row r="20" spans="1:10">
      <c r="A20" s="107" t="s">
        <v>102</v>
      </c>
      <c r="B20" s="115">
        <v>0.12</v>
      </c>
      <c r="C20" s="108">
        <v>0.12</v>
      </c>
      <c r="D20" s="109"/>
      <c r="E20" s="109"/>
      <c r="F20" s="109"/>
      <c r="G20" s="109"/>
      <c r="H20" s="7">
        <f>PREÇOS!E21</f>
        <v>7.67</v>
      </c>
      <c r="I20" s="4">
        <f t="shared" si="0"/>
        <v>0</v>
      </c>
      <c r="J20" s="4">
        <f t="shared" si="1"/>
        <v>0</v>
      </c>
    </row>
    <row r="21" spans="1:10">
      <c r="A21" s="107" t="s">
        <v>103</v>
      </c>
      <c r="B21" s="115">
        <v>7.0000000000000007E-2</v>
      </c>
      <c r="C21" s="108">
        <v>7.0000000000000007E-2</v>
      </c>
      <c r="D21" s="109"/>
      <c r="E21" s="109"/>
      <c r="F21" s="109"/>
      <c r="G21" s="109"/>
      <c r="H21" s="7">
        <f>PREÇOS!E22</f>
        <v>7.19</v>
      </c>
      <c r="I21" s="4">
        <f t="shared" si="0"/>
        <v>0</v>
      </c>
      <c r="J21" s="4">
        <f t="shared" si="1"/>
        <v>0</v>
      </c>
    </row>
    <row r="22" spans="1:10">
      <c r="A22" s="107" t="s">
        <v>104</v>
      </c>
      <c r="B22" s="115">
        <v>7.0000000000000007E-2</v>
      </c>
      <c r="C22" s="108">
        <v>7.0000000000000007E-2</v>
      </c>
      <c r="D22" s="109"/>
      <c r="E22" s="109"/>
      <c r="F22" s="109"/>
      <c r="G22" s="109"/>
      <c r="H22" s="7">
        <f>PREÇOS!E23</f>
        <v>7.19</v>
      </c>
      <c r="I22" s="4">
        <f t="shared" si="0"/>
        <v>0</v>
      </c>
      <c r="J22" s="4">
        <f t="shared" si="1"/>
        <v>0</v>
      </c>
    </row>
    <row r="23" spans="1:10">
      <c r="A23" s="107" t="s">
        <v>105</v>
      </c>
      <c r="B23" s="115">
        <v>7.0000000000000007E-2</v>
      </c>
      <c r="C23" s="108">
        <v>7.0000000000000007E-2</v>
      </c>
      <c r="D23" s="109"/>
      <c r="E23" s="109"/>
      <c r="F23" s="109"/>
      <c r="G23" s="109"/>
      <c r="H23" s="7">
        <f>PREÇOS!E24</f>
        <v>7.19</v>
      </c>
      <c r="I23" s="4">
        <f t="shared" si="0"/>
        <v>0</v>
      </c>
      <c r="J23" s="4">
        <f t="shared" si="1"/>
        <v>0</v>
      </c>
    </row>
    <row r="24" spans="1:10">
      <c r="A24" s="107" t="s">
        <v>106</v>
      </c>
      <c r="B24" s="115">
        <v>0.12</v>
      </c>
      <c r="C24" s="108">
        <v>0.12</v>
      </c>
      <c r="D24" s="109"/>
      <c r="E24" s="109"/>
      <c r="F24" s="109"/>
      <c r="G24" s="109"/>
      <c r="H24" s="7">
        <f>PREÇOS!E25</f>
        <v>7.67</v>
      </c>
      <c r="I24" s="4">
        <f t="shared" si="0"/>
        <v>0</v>
      </c>
      <c r="J24" s="4">
        <f t="shared" si="1"/>
        <v>0</v>
      </c>
    </row>
    <row r="25" spans="1:10">
      <c r="A25" s="107" t="s">
        <v>107</v>
      </c>
      <c r="B25" s="115">
        <v>0.12</v>
      </c>
      <c r="C25" s="108">
        <v>0.12</v>
      </c>
      <c r="D25" s="109"/>
      <c r="E25" s="109"/>
      <c r="F25" s="109"/>
      <c r="G25" s="109"/>
      <c r="H25" s="7">
        <f>PREÇOS!E26</f>
        <v>7.67</v>
      </c>
      <c r="I25" s="4">
        <f t="shared" si="0"/>
        <v>0</v>
      </c>
      <c r="J25" s="4">
        <f t="shared" si="1"/>
        <v>0</v>
      </c>
    </row>
    <row r="26" spans="1:10">
      <c r="A26" s="107" t="s">
        <v>108</v>
      </c>
      <c r="B26" s="115">
        <v>7.0000000000000007E-2</v>
      </c>
      <c r="C26" s="108">
        <v>7.0000000000000007E-2</v>
      </c>
      <c r="D26" s="109"/>
      <c r="E26" s="109"/>
      <c r="F26" s="109"/>
      <c r="G26" s="109"/>
      <c r="H26" s="7">
        <f>PREÇOS!E27</f>
        <v>7.19</v>
      </c>
      <c r="I26" s="4">
        <f t="shared" si="0"/>
        <v>0</v>
      </c>
      <c r="J26" s="4">
        <f t="shared" si="1"/>
        <v>0</v>
      </c>
    </row>
    <row r="27" spans="1:10">
      <c r="A27" s="107" t="s">
        <v>109</v>
      </c>
      <c r="B27" s="115">
        <v>0.12</v>
      </c>
      <c r="C27" s="108">
        <v>0.12</v>
      </c>
      <c r="D27" s="109"/>
      <c r="E27" s="109"/>
      <c r="F27" s="109"/>
      <c r="G27" s="109"/>
      <c r="H27" s="7">
        <f>PREÇOS!E28</f>
        <v>7.67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>
      <c r="A28" s="110" t="s">
        <v>110</v>
      </c>
      <c r="B28" s="90">
        <f>B27</f>
        <v>0.12</v>
      </c>
      <c r="C28" s="90">
        <f t="shared" ref="C28:G28" si="4">C27</f>
        <v>0.12</v>
      </c>
      <c r="D28" s="90">
        <f t="shared" si="4"/>
        <v>0</v>
      </c>
      <c r="E28" s="90">
        <f t="shared" si="4"/>
        <v>0</v>
      </c>
      <c r="F28" s="90">
        <f t="shared" si="4"/>
        <v>0</v>
      </c>
      <c r="G28" s="90">
        <f t="shared" si="4"/>
        <v>0</v>
      </c>
      <c r="H28" s="105">
        <f>PREÇOS!E29</f>
        <v>7.67</v>
      </c>
      <c r="I28" s="104">
        <f t="shared" si="2"/>
        <v>0</v>
      </c>
      <c r="J28" s="104">
        <f t="shared" si="3"/>
        <v>0</v>
      </c>
    </row>
    <row r="29" spans="1:10">
      <c r="A29" s="107" t="s">
        <v>111</v>
      </c>
      <c r="B29" s="115">
        <v>7.0000000000000007E-2</v>
      </c>
      <c r="C29" s="108">
        <v>7.0000000000000007E-2</v>
      </c>
      <c r="D29" s="109"/>
      <c r="E29" s="109"/>
      <c r="F29" s="109"/>
      <c r="G29" s="109"/>
      <c r="H29" s="7">
        <f>PREÇOS!E30</f>
        <v>7.19</v>
      </c>
      <c r="I29" s="4">
        <f t="shared" si="2"/>
        <v>0</v>
      </c>
      <c r="J29" s="4">
        <f t="shared" si="3"/>
        <v>0</v>
      </c>
    </row>
    <row r="30" spans="1:10">
      <c r="A30" s="3" t="s">
        <v>112</v>
      </c>
      <c r="H30" s="7">
        <f>PREÇOS!E31</f>
        <v>6.03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K30"/>
  <sheetViews>
    <sheetView showGridLines="0" topLeftCell="A9" zoomScale="85" zoomScaleNormal="85"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15">
        <v>7.0000000000000007E-2</v>
      </c>
      <c r="C2" s="115">
        <v>7.0000000000000007E-2</v>
      </c>
      <c r="D2" s="109"/>
      <c r="E2" s="109"/>
      <c r="F2" s="109"/>
      <c r="G2" s="109"/>
      <c r="H2" s="4">
        <f>PREÇOS!C3</f>
        <v>3.2</v>
      </c>
      <c r="I2" s="4">
        <f>IF(F2=0,,H2*(1+F2)*C2-(H2*B2))</f>
        <v>0</v>
      </c>
      <c r="J2" s="4">
        <f>IF(G2=0,IF(F2=0,,H2*(1+F2)*C2-(H2*B2)),H2*(1+G2)*C2-(H2*B2))</f>
        <v>0</v>
      </c>
    </row>
    <row r="3" spans="1:10">
      <c r="A3" s="107" t="s">
        <v>86</v>
      </c>
      <c r="B3" s="115">
        <v>7.0000000000000007E-2</v>
      </c>
      <c r="C3" s="115">
        <v>0.19</v>
      </c>
      <c r="D3" s="109">
        <v>0.54320000000000002</v>
      </c>
      <c r="E3" s="109"/>
      <c r="F3" s="109">
        <v>0.79400000000000004</v>
      </c>
      <c r="G3" s="109"/>
      <c r="H3" s="4">
        <f>PREÇOS!C4</f>
        <v>3.2</v>
      </c>
      <c r="I3" s="4">
        <f t="shared" ref="I3:I26" si="0">IF(F3=0,,H3*(1+F3)*C3-(H3*B3))</f>
        <v>0.86675199999999997</v>
      </c>
      <c r="J3" s="4">
        <f t="shared" ref="J3:J26" si="1">IF(G3=0,IF(F3=0,,H3*(1+F3)*C3-(H3*B3)),H3*(1+G3)*C3-(H3*B3))</f>
        <v>0.86675199999999997</v>
      </c>
    </row>
    <row r="4" spans="1:10">
      <c r="A4" s="107" t="s">
        <v>87</v>
      </c>
      <c r="B4" s="115">
        <v>7.0000000000000007E-2</v>
      </c>
      <c r="C4" s="115">
        <v>0.18</v>
      </c>
      <c r="D4" s="109"/>
      <c r="E4" s="109"/>
      <c r="F4" s="109"/>
      <c r="G4" s="109"/>
      <c r="H4" s="4">
        <f>PREÇOS!C5</f>
        <v>3.2</v>
      </c>
      <c r="I4" s="4">
        <f t="shared" si="0"/>
        <v>0</v>
      </c>
      <c r="J4" s="4">
        <f t="shared" si="1"/>
        <v>0</v>
      </c>
    </row>
    <row r="5" spans="1:10">
      <c r="A5" s="107" t="s">
        <v>88</v>
      </c>
      <c r="B5" s="115">
        <v>7.0000000000000007E-2</v>
      </c>
      <c r="C5" s="115">
        <v>0.18</v>
      </c>
      <c r="D5" s="109">
        <v>0.41</v>
      </c>
      <c r="E5" s="109"/>
      <c r="F5" s="109">
        <v>0.59909999999999997</v>
      </c>
      <c r="G5" s="109"/>
      <c r="H5" s="4">
        <f>PREÇOS!C6</f>
        <v>3.2</v>
      </c>
      <c r="I5" s="4">
        <f t="shared" si="0"/>
        <v>0.69708159999999997</v>
      </c>
      <c r="J5" s="4">
        <f t="shared" si="1"/>
        <v>0.69708159999999997</v>
      </c>
    </row>
    <row r="6" spans="1:10">
      <c r="A6" s="107" t="s">
        <v>89</v>
      </c>
      <c r="B6" s="115">
        <v>7.0000000000000007E-2</v>
      </c>
      <c r="C6" s="115">
        <v>7.0000000000000007E-2</v>
      </c>
      <c r="D6" s="109"/>
      <c r="E6" s="109"/>
      <c r="F6" s="109"/>
      <c r="G6" s="109"/>
      <c r="H6" s="4">
        <f>PREÇOS!C7</f>
        <v>3.2</v>
      </c>
      <c r="I6" s="4">
        <f t="shared" si="0"/>
        <v>0</v>
      </c>
      <c r="J6" s="4">
        <f t="shared" si="1"/>
        <v>0</v>
      </c>
    </row>
    <row r="7" spans="1:10">
      <c r="A7" s="107" t="s">
        <v>90</v>
      </c>
      <c r="B7" s="115">
        <v>7.0000000000000007E-2</v>
      </c>
      <c r="C7" s="115">
        <v>7.0000000000000007E-2</v>
      </c>
      <c r="D7" s="109"/>
      <c r="E7" s="109"/>
      <c r="F7" s="109"/>
      <c r="G7" s="109"/>
      <c r="H7" s="4">
        <f>PREÇOS!C8</f>
        <v>3.2</v>
      </c>
      <c r="I7" s="4">
        <f t="shared" si="0"/>
        <v>0</v>
      </c>
      <c r="J7" s="4">
        <f t="shared" si="1"/>
        <v>0</v>
      </c>
    </row>
    <row r="8" spans="1:10">
      <c r="A8" s="107" t="s">
        <v>91</v>
      </c>
      <c r="B8" s="115">
        <v>7.0000000000000007E-2</v>
      </c>
      <c r="C8" s="115">
        <v>7.0000000000000007E-2</v>
      </c>
      <c r="D8" s="109"/>
      <c r="E8" s="109"/>
      <c r="F8" s="109"/>
      <c r="G8" s="109"/>
      <c r="H8" s="4">
        <f>PREÇOS!C9</f>
        <v>3.2</v>
      </c>
      <c r="I8" s="4">
        <f t="shared" si="0"/>
        <v>0</v>
      </c>
      <c r="J8" s="4">
        <f t="shared" si="1"/>
        <v>0</v>
      </c>
    </row>
    <row r="9" spans="1:10">
      <c r="A9" s="107" t="s">
        <v>92</v>
      </c>
      <c r="B9" s="115">
        <v>7.0000000000000007E-2</v>
      </c>
      <c r="C9" s="108">
        <v>7.0000000000000007E-2</v>
      </c>
      <c r="D9" s="109"/>
      <c r="E9" s="109"/>
      <c r="F9" s="109"/>
      <c r="G9" s="109"/>
      <c r="H9" s="4">
        <f>PREÇOS!C10</f>
        <v>3.2</v>
      </c>
      <c r="I9" s="4">
        <f t="shared" si="0"/>
        <v>0</v>
      </c>
      <c r="J9" s="4">
        <f t="shared" si="1"/>
        <v>0</v>
      </c>
    </row>
    <row r="10" spans="1:10">
      <c r="A10" s="107" t="s">
        <v>93</v>
      </c>
      <c r="B10" s="115">
        <v>7.0000000000000007E-2</v>
      </c>
      <c r="C10" s="108">
        <v>7.0000000000000007E-2</v>
      </c>
      <c r="D10" s="109"/>
      <c r="E10" s="109"/>
      <c r="F10" s="109"/>
      <c r="G10" s="109"/>
      <c r="H10" s="4">
        <f>PREÇOS!C11</f>
        <v>3.2</v>
      </c>
      <c r="I10" s="4">
        <f t="shared" si="0"/>
        <v>0</v>
      </c>
      <c r="J10" s="4">
        <f t="shared" si="1"/>
        <v>0</v>
      </c>
    </row>
    <row r="11" spans="1:10">
      <c r="A11" s="107" t="s">
        <v>94</v>
      </c>
      <c r="B11" s="115">
        <v>7.0000000000000007E-2</v>
      </c>
      <c r="C11" s="108">
        <v>7.0000000000000007E-2</v>
      </c>
      <c r="D11" s="109"/>
      <c r="E11" s="109"/>
      <c r="F11" s="109"/>
      <c r="G11" s="109"/>
      <c r="H11" s="4">
        <f>PREÇOS!C12</f>
        <v>3.2</v>
      </c>
      <c r="I11" s="4">
        <f t="shared" si="0"/>
        <v>0</v>
      </c>
      <c r="J11" s="4">
        <f t="shared" si="1"/>
        <v>0</v>
      </c>
    </row>
    <row r="12" spans="1:10">
      <c r="A12" s="107" t="s">
        <v>95</v>
      </c>
      <c r="B12" s="115">
        <v>0.12</v>
      </c>
      <c r="C12" s="108">
        <v>0.18</v>
      </c>
      <c r="D12" s="109">
        <v>0.4</v>
      </c>
      <c r="E12" s="109"/>
      <c r="F12" s="109">
        <v>0.50239999999999996</v>
      </c>
      <c r="G12" s="109"/>
      <c r="H12" s="4">
        <f>PREÇOS!C13</f>
        <v>3.41</v>
      </c>
      <c r="I12" s="4">
        <f t="shared" si="0"/>
        <v>0.51297311999999995</v>
      </c>
      <c r="J12" s="4">
        <f t="shared" si="1"/>
        <v>0.51297311999999995</v>
      </c>
    </row>
    <row r="13" spans="1:10">
      <c r="A13" s="107" t="s">
        <v>96</v>
      </c>
      <c r="B13" s="115">
        <v>7.0000000000000007E-2</v>
      </c>
      <c r="C13" s="108">
        <v>7.0000000000000007E-2</v>
      </c>
      <c r="D13" s="109"/>
      <c r="E13" s="109"/>
      <c r="F13" s="109"/>
      <c r="G13" s="109"/>
      <c r="H13" s="4">
        <f>PREÇOS!C14</f>
        <v>3.2</v>
      </c>
      <c r="I13" s="4">
        <f t="shared" si="0"/>
        <v>0</v>
      </c>
      <c r="J13" s="4">
        <f t="shared" si="1"/>
        <v>0</v>
      </c>
    </row>
    <row r="14" spans="1:10">
      <c r="A14" s="107" t="s">
        <v>97</v>
      </c>
      <c r="B14" s="115">
        <v>7.0000000000000007E-2</v>
      </c>
      <c r="C14" s="108">
        <v>0.17</v>
      </c>
      <c r="D14" s="109">
        <v>0.45519999999999999</v>
      </c>
      <c r="E14" s="109"/>
      <c r="F14" s="109">
        <v>0.63049999999999995</v>
      </c>
      <c r="G14" s="109"/>
      <c r="H14" s="4">
        <f>PREÇOS!C15</f>
        <v>3.2</v>
      </c>
      <c r="I14" s="4">
        <f t="shared" si="0"/>
        <v>0.66299200000000025</v>
      </c>
      <c r="J14" s="4">
        <f t="shared" si="1"/>
        <v>0.66299200000000025</v>
      </c>
    </row>
    <row r="15" spans="1:10">
      <c r="A15" s="107" t="s">
        <v>98</v>
      </c>
      <c r="B15" s="115">
        <v>7.0000000000000007E-2</v>
      </c>
      <c r="C15" s="108">
        <v>7.0000000000000007E-2</v>
      </c>
      <c r="D15" s="109"/>
      <c r="E15" s="109"/>
      <c r="F15" s="109"/>
      <c r="G15" s="109"/>
      <c r="H15" s="4">
        <f>PREÇOS!C16</f>
        <v>3.2</v>
      </c>
      <c r="I15" s="4">
        <f t="shared" si="0"/>
        <v>0</v>
      </c>
      <c r="J15" s="4">
        <f t="shared" si="1"/>
        <v>0</v>
      </c>
    </row>
    <row r="16" spans="1:10">
      <c r="A16" s="107" t="s">
        <v>99</v>
      </c>
      <c r="B16" s="115">
        <v>7.0000000000000007E-2</v>
      </c>
      <c r="C16" s="108">
        <v>7.0000000000000007E-2</v>
      </c>
      <c r="D16" s="109"/>
      <c r="E16" s="109"/>
      <c r="F16" s="109"/>
      <c r="G16" s="109"/>
      <c r="H16" s="4">
        <f>PREÇOS!C17</f>
        <v>3.2</v>
      </c>
      <c r="I16" s="4">
        <f t="shared" si="0"/>
        <v>0</v>
      </c>
      <c r="J16" s="4">
        <f t="shared" si="1"/>
        <v>0</v>
      </c>
    </row>
    <row r="17" spans="1:11">
      <c r="A17" s="107" t="s">
        <v>100</v>
      </c>
      <c r="B17" s="115">
        <v>7.0000000000000007E-2</v>
      </c>
      <c r="C17" s="108">
        <v>7.0000000000000007E-2</v>
      </c>
      <c r="D17" s="109"/>
      <c r="E17" s="109"/>
      <c r="F17" s="109"/>
      <c r="G17" s="109"/>
      <c r="H17" s="4">
        <f>PREÇOS!C18</f>
        <v>3.2</v>
      </c>
      <c r="I17" s="4">
        <f t="shared" si="0"/>
        <v>0</v>
      </c>
      <c r="J17" s="4">
        <f t="shared" si="1"/>
        <v>0</v>
      </c>
    </row>
    <row r="18" spans="1:11">
      <c r="A18" s="107" t="s">
        <v>101</v>
      </c>
      <c r="B18" s="115">
        <v>7.0000000000000007E-2</v>
      </c>
      <c r="C18" s="108">
        <v>7.0000000000000007E-2</v>
      </c>
      <c r="D18" s="109"/>
      <c r="E18" s="109"/>
      <c r="F18" s="109"/>
      <c r="G18" s="109"/>
      <c r="H18" s="4">
        <f>PREÇOS!C19</f>
        <v>3.2</v>
      </c>
      <c r="I18" s="4">
        <f t="shared" si="0"/>
        <v>0</v>
      </c>
      <c r="J18" s="4">
        <f t="shared" si="1"/>
        <v>0</v>
      </c>
    </row>
    <row r="19" spans="1:11">
      <c r="A19" s="110" t="s">
        <v>10</v>
      </c>
      <c r="B19" s="90">
        <v>0.12</v>
      </c>
      <c r="C19" s="111">
        <v>0.19500000000000001</v>
      </c>
      <c r="D19" s="89">
        <v>0.54320000000000002</v>
      </c>
      <c r="E19" s="89">
        <v>0.16300000000000001</v>
      </c>
      <c r="F19" s="89">
        <v>0.68700000000000006</v>
      </c>
      <c r="G19" s="89">
        <v>0.1968</v>
      </c>
      <c r="H19" s="4">
        <f>PREÇOS!C20</f>
        <v>3.41</v>
      </c>
      <c r="I19" s="4">
        <f t="shared" si="0"/>
        <v>0.71257064999999997</v>
      </c>
      <c r="J19" s="4">
        <f t="shared" si="1"/>
        <v>0.38661216000000009</v>
      </c>
    </row>
    <row r="20" spans="1:11">
      <c r="A20" s="110" t="s">
        <v>102</v>
      </c>
      <c r="B20" s="90">
        <v>0.12</v>
      </c>
      <c r="C20" s="111">
        <v>0.22</v>
      </c>
      <c r="D20" s="89">
        <v>0.4698</v>
      </c>
      <c r="E20" s="89"/>
      <c r="F20" s="89">
        <v>0.65820000000000001</v>
      </c>
      <c r="G20" s="89"/>
      <c r="H20" s="4">
        <f>PREÇOS!C21</f>
        <v>3.41</v>
      </c>
      <c r="I20" s="4">
        <f t="shared" si="0"/>
        <v>0.83478163999999988</v>
      </c>
      <c r="J20" s="4">
        <f t="shared" si="1"/>
        <v>0.83478163999999988</v>
      </c>
    </row>
    <row r="21" spans="1:11">
      <c r="A21" s="107" t="s">
        <v>103</v>
      </c>
      <c r="B21" s="115">
        <v>7.0000000000000007E-2</v>
      </c>
      <c r="C21" s="108">
        <v>7.0000000000000007E-2</v>
      </c>
      <c r="D21" s="109"/>
      <c r="E21" s="109"/>
      <c r="F21" s="109"/>
      <c r="G21" s="109"/>
      <c r="H21" s="4">
        <f>PREÇOS!C22</f>
        <v>3.2</v>
      </c>
      <c r="I21" s="4">
        <f t="shared" si="0"/>
        <v>0</v>
      </c>
      <c r="J21" s="4">
        <f t="shared" si="1"/>
        <v>0</v>
      </c>
    </row>
    <row r="22" spans="1:11">
      <c r="A22" s="107" t="s">
        <v>104</v>
      </c>
      <c r="B22" s="115">
        <v>7.0000000000000007E-2</v>
      </c>
      <c r="C22" s="108">
        <v>7.0000000000000007E-2</v>
      </c>
      <c r="D22" s="109"/>
      <c r="E22" s="109"/>
      <c r="F22" s="109"/>
      <c r="G22" s="109"/>
      <c r="H22" s="4">
        <f>PREÇOS!C23</f>
        <v>3.2</v>
      </c>
      <c r="I22" s="4">
        <f t="shared" si="0"/>
        <v>0</v>
      </c>
      <c r="J22" s="4">
        <f t="shared" si="1"/>
        <v>0</v>
      </c>
    </row>
    <row r="23" spans="1:11">
      <c r="A23" s="107" t="s">
        <v>105</v>
      </c>
      <c r="B23" s="115">
        <v>7.0000000000000007E-2</v>
      </c>
      <c r="C23" s="108">
        <v>7.0000000000000007E-2</v>
      </c>
      <c r="D23" s="109"/>
      <c r="E23" s="109"/>
      <c r="F23" s="109"/>
      <c r="G23" s="109"/>
      <c r="H23" s="4">
        <f>PREÇOS!C24</f>
        <v>3.2</v>
      </c>
      <c r="I23" s="4">
        <f t="shared" si="0"/>
        <v>0</v>
      </c>
      <c r="J23" s="4">
        <f t="shared" si="1"/>
        <v>0</v>
      </c>
    </row>
    <row r="24" spans="1:11">
      <c r="A24" s="107" t="s">
        <v>106</v>
      </c>
      <c r="B24" s="115">
        <v>0.12</v>
      </c>
      <c r="C24" s="108">
        <v>0.12</v>
      </c>
      <c r="D24" s="109"/>
      <c r="E24" s="109"/>
      <c r="F24" s="109"/>
      <c r="G24" s="109"/>
      <c r="H24" s="4">
        <f>PREÇOS!C25</f>
        <v>3.41</v>
      </c>
      <c r="I24" s="4">
        <f t="shared" si="0"/>
        <v>0</v>
      </c>
      <c r="J24" s="4">
        <f t="shared" si="1"/>
        <v>0</v>
      </c>
    </row>
    <row r="25" spans="1:11">
      <c r="A25" s="107" t="s">
        <v>107</v>
      </c>
      <c r="B25" s="115">
        <v>0.12</v>
      </c>
      <c r="C25" s="108">
        <v>0.12</v>
      </c>
      <c r="D25" s="109"/>
      <c r="E25" s="109"/>
      <c r="F25" s="109"/>
      <c r="G25" s="109"/>
      <c r="H25" s="4">
        <f>PREÇOS!C26</f>
        <v>3.41</v>
      </c>
      <c r="I25" s="4">
        <f t="shared" si="0"/>
        <v>0</v>
      </c>
      <c r="J25" s="4">
        <f t="shared" si="1"/>
        <v>0</v>
      </c>
    </row>
    <row r="26" spans="1:11">
      <c r="A26" s="107" t="s">
        <v>108</v>
      </c>
      <c r="B26" s="115">
        <v>7.0000000000000007E-2</v>
      </c>
      <c r="C26" s="108">
        <v>7.0000000000000007E-2</v>
      </c>
      <c r="D26" s="109"/>
      <c r="E26" s="109"/>
      <c r="F26" s="109"/>
      <c r="G26" s="109"/>
      <c r="H26" s="4">
        <f>PREÇOS!C27</f>
        <v>3.2</v>
      </c>
      <c r="I26" s="4">
        <f t="shared" si="0"/>
        <v>0</v>
      </c>
      <c r="J26" s="4">
        <f t="shared" si="1"/>
        <v>0</v>
      </c>
    </row>
    <row r="27" spans="1:11">
      <c r="A27" s="107" t="s">
        <v>109</v>
      </c>
      <c r="B27" s="115">
        <v>0.12</v>
      </c>
      <c r="C27" s="108">
        <v>0.18</v>
      </c>
      <c r="D27" s="109"/>
      <c r="E27" s="109"/>
      <c r="F27" s="109"/>
      <c r="G27" s="109"/>
      <c r="H27" s="4">
        <f>PREÇOS!C28</f>
        <v>3.41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  <c r="K27" t="s">
        <v>113</v>
      </c>
    </row>
    <row r="28" spans="1:11">
      <c r="A28" s="110" t="s">
        <v>110</v>
      </c>
      <c r="B28" s="90">
        <f>B27</f>
        <v>0.12</v>
      </c>
      <c r="C28" s="90">
        <f t="shared" ref="C28:G28" si="4">C27</f>
        <v>0.18</v>
      </c>
      <c r="D28" s="89">
        <f t="shared" si="4"/>
        <v>0</v>
      </c>
      <c r="E28" s="89">
        <f t="shared" si="4"/>
        <v>0</v>
      </c>
      <c r="F28" s="89">
        <f t="shared" si="4"/>
        <v>0</v>
      </c>
      <c r="G28" s="90">
        <f t="shared" si="4"/>
        <v>0</v>
      </c>
      <c r="H28" s="104">
        <f>PREÇOS!C29</f>
        <v>3.41</v>
      </c>
      <c r="I28" s="104">
        <f t="shared" si="2"/>
        <v>0</v>
      </c>
      <c r="J28" s="104">
        <f t="shared" si="3"/>
        <v>0</v>
      </c>
    </row>
    <row r="29" spans="1:11">
      <c r="A29" s="107" t="s">
        <v>111</v>
      </c>
      <c r="B29" s="115">
        <v>7.0000000000000007E-2</v>
      </c>
      <c r="C29" s="108">
        <v>7.0000000000000007E-2</v>
      </c>
      <c r="D29" s="109"/>
      <c r="E29" s="109"/>
      <c r="F29" s="109"/>
      <c r="G29" s="109"/>
      <c r="H29" s="4">
        <f>PREÇOS!C30</f>
        <v>3.2</v>
      </c>
      <c r="I29" s="4">
        <f t="shared" si="2"/>
        <v>0</v>
      </c>
      <c r="J29" s="4">
        <f t="shared" si="3"/>
        <v>0</v>
      </c>
    </row>
    <row r="30" spans="1:11">
      <c r="A30" s="3" t="s">
        <v>112</v>
      </c>
      <c r="H30" s="4">
        <f>PREÇOS!C31</f>
        <v>2.68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48B7-42E7-46C6-9058-86AA964D14F9}">
  <dimension ref="A1:K30"/>
  <sheetViews>
    <sheetView showGridLines="0" zoomScale="85" zoomScaleNormal="85"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15">
        <v>7.0000000000000007E-2</v>
      </c>
      <c r="C2" s="115">
        <v>7.0000000000000007E-2</v>
      </c>
      <c r="D2" s="109"/>
      <c r="E2" s="109"/>
      <c r="F2" s="109"/>
      <c r="G2" s="109"/>
      <c r="H2" s="4">
        <f>PREÇOS!O3</f>
        <v>5.5141935483870963</v>
      </c>
      <c r="I2" s="4">
        <f>IF(F2=0,,H2*(1+F2)*C2-(H2*B2))</f>
        <v>0</v>
      </c>
      <c r="J2" s="4">
        <f>IF(G2=0,IF(F2=0,,H2*(1+F2)*C2-(H2*B2)),H2*(1+G2)*C2-(H2*B2))</f>
        <v>0</v>
      </c>
    </row>
    <row r="3" spans="1:10">
      <c r="A3" s="107" t="s">
        <v>86</v>
      </c>
      <c r="B3" s="115">
        <v>7.0000000000000007E-2</v>
      </c>
      <c r="C3" s="115">
        <v>0.19</v>
      </c>
      <c r="D3" s="109">
        <v>0.54320000000000002</v>
      </c>
      <c r="E3" s="109"/>
      <c r="F3" s="109">
        <v>0.79400000000000004</v>
      </c>
      <c r="G3" s="109"/>
      <c r="H3" s="4">
        <f>PREÇOS!O4</f>
        <v>5.5141935483870963</v>
      </c>
      <c r="I3" s="4">
        <f t="shared" ref="I3:I30" si="0">IF(F3=0,,H3*(1+F3)*C3-(H3*B3))</f>
        <v>1.4935744645161289</v>
      </c>
      <c r="J3" s="4">
        <f t="shared" ref="J3:J30" si="1">IF(G3=0,IF(F3=0,,H3*(1+F3)*C3-(H3*B3)),H3*(1+G3)*C3-(H3*B3))</f>
        <v>1.4935744645161289</v>
      </c>
    </row>
    <row r="4" spans="1:10">
      <c r="A4" s="107" t="s">
        <v>87</v>
      </c>
      <c r="B4" s="115">
        <v>7.0000000000000007E-2</v>
      </c>
      <c r="C4" s="115">
        <v>0.18</v>
      </c>
      <c r="D4" s="109"/>
      <c r="E4" s="109"/>
      <c r="F4" s="109"/>
      <c r="G4" s="109"/>
      <c r="H4" s="4">
        <f>PREÇOS!O5</f>
        <v>5.5141935483870963</v>
      </c>
      <c r="I4" s="4">
        <f t="shared" si="0"/>
        <v>0</v>
      </c>
      <c r="J4" s="4">
        <f t="shared" si="1"/>
        <v>0</v>
      </c>
    </row>
    <row r="5" spans="1:10">
      <c r="A5" s="107" t="s">
        <v>88</v>
      </c>
      <c r="B5" s="115">
        <v>7.0000000000000007E-2</v>
      </c>
      <c r="C5" s="115">
        <v>0.18</v>
      </c>
      <c r="D5" s="109">
        <v>0.41</v>
      </c>
      <c r="E5" s="109"/>
      <c r="F5" s="109">
        <v>0.59909999999999997</v>
      </c>
      <c r="G5" s="109"/>
      <c r="H5" s="4">
        <f>PREÇOS!O6</f>
        <v>5.5141935483870963</v>
      </c>
      <c r="I5" s="4">
        <f t="shared" si="0"/>
        <v>1.2012008941935481</v>
      </c>
      <c r="J5" s="4">
        <f t="shared" si="1"/>
        <v>1.2012008941935481</v>
      </c>
    </row>
    <row r="6" spans="1:10">
      <c r="A6" s="107" t="s">
        <v>89</v>
      </c>
      <c r="B6" s="115">
        <v>7.0000000000000007E-2</v>
      </c>
      <c r="C6" s="115">
        <v>7.0000000000000007E-2</v>
      </c>
      <c r="D6" s="109"/>
      <c r="E6" s="109"/>
      <c r="F6" s="109"/>
      <c r="G6" s="109"/>
      <c r="H6" s="4">
        <f>PREÇOS!O7</f>
        <v>5.5141935483870963</v>
      </c>
      <c r="I6" s="4">
        <f t="shared" si="0"/>
        <v>0</v>
      </c>
      <c r="J6" s="4">
        <f t="shared" si="1"/>
        <v>0</v>
      </c>
    </row>
    <row r="7" spans="1:10">
      <c r="A7" s="107" t="s">
        <v>90</v>
      </c>
      <c r="B7" s="115">
        <v>7.0000000000000007E-2</v>
      </c>
      <c r="C7" s="115">
        <v>7.0000000000000007E-2</v>
      </c>
      <c r="D7" s="109"/>
      <c r="E7" s="109"/>
      <c r="F7" s="109"/>
      <c r="G7" s="109"/>
      <c r="H7" s="4">
        <f>PREÇOS!O8</f>
        <v>5.5141935483870963</v>
      </c>
      <c r="I7" s="4">
        <f t="shared" si="0"/>
        <v>0</v>
      </c>
      <c r="J7" s="4">
        <f t="shared" si="1"/>
        <v>0</v>
      </c>
    </row>
    <row r="8" spans="1:10">
      <c r="A8" s="107" t="s">
        <v>91</v>
      </c>
      <c r="B8" s="115">
        <v>7.0000000000000007E-2</v>
      </c>
      <c r="C8" s="115">
        <v>7.0000000000000007E-2</v>
      </c>
      <c r="D8" s="109"/>
      <c r="E8" s="109"/>
      <c r="F8" s="109"/>
      <c r="G8" s="109"/>
      <c r="H8" s="4">
        <f>PREÇOS!O9</f>
        <v>5.5141935483870963</v>
      </c>
      <c r="I8" s="4">
        <f t="shared" si="0"/>
        <v>0</v>
      </c>
      <c r="J8" s="4">
        <f t="shared" si="1"/>
        <v>0</v>
      </c>
    </row>
    <row r="9" spans="1:10">
      <c r="A9" s="107" t="s">
        <v>92</v>
      </c>
      <c r="B9" s="115">
        <v>7.0000000000000007E-2</v>
      </c>
      <c r="C9" s="108">
        <v>7.0000000000000007E-2</v>
      </c>
      <c r="D9" s="109"/>
      <c r="E9" s="109"/>
      <c r="F9" s="109"/>
      <c r="G9" s="109"/>
      <c r="H9" s="4">
        <f>PREÇOS!O10</f>
        <v>5.5141935483870963</v>
      </c>
      <c r="I9" s="4">
        <f t="shared" si="0"/>
        <v>0</v>
      </c>
      <c r="J9" s="4">
        <f t="shared" si="1"/>
        <v>0</v>
      </c>
    </row>
    <row r="10" spans="1:10">
      <c r="A10" s="107" t="s">
        <v>93</v>
      </c>
      <c r="B10" s="115">
        <v>7.0000000000000007E-2</v>
      </c>
      <c r="C10" s="108">
        <v>7.0000000000000007E-2</v>
      </c>
      <c r="D10" s="109"/>
      <c r="E10" s="109"/>
      <c r="F10" s="109"/>
      <c r="G10" s="109"/>
      <c r="H10" s="4">
        <f>PREÇOS!O11</f>
        <v>5.5141935483870963</v>
      </c>
      <c r="I10" s="4">
        <f t="shared" si="0"/>
        <v>0</v>
      </c>
      <c r="J10" s="4">
        <f t="shared" si="1"/>
        <v>0</v>
      </c>
    </row>
    <row r="11" spans="1:10">
      <c r="A11" s="107" t="s">
        <v>94</v>
      </c>
      <c r="B11" s="115">
        <v>7.0000000000000007E-2</v>
      </c>
      <c r="C11" s="108">
        <v>7.0000000000000007E-2</v>
      </c>
      <c r="D11" s="109"/>
      <c r="E11" s="109"/>
      <c r="F11" s="109"/>
      <c r="G11" s="109"/>
      <c r="H11" s="4">
        <f>PREÇOS!O12</f>
        <v>5.5141935483870963</v>
      </c>
      <c r="I11" s="4">
        <f t="shared" si="0"/>
        <v>0</v>
      </c>
      <c r="J11" s="4">
        <f t="shared" si="1"/>
        <v>0</v>
      </c>
    </row>
    <row r="12" spans="1:10">
      <c r="A12" s="107" t="s">
        <v>95</v>
      </c>
      <c r="B12" s="115">
        <v>0.12</v>
      </c>
      <c r="C12" s="108">
        <v>0.18</v>
      </c>
      <c r="D12" s="109">
        <v>0.4</v>
      </c>
      <c r="E12" s="109"/>
      <c r="F12" s="109">
        <v>0.50239999999999996</v>
      </c>
      <c r="G12" s="109"/>
      <c r="H12" s="4">
        <f>PREÇOS!O13</f>
        <v>5.8274999999999997</v>
      </c>
      <c r="I12" s="4">
        <f t="shared" si="0"/>
        <v>0.87664248</v>
      </c>
      <c r="J12" s="4">
        <f t="shared" si="1"/>
        <v>0.87664248</v>
      </c>
    </row>
    <row r="13" spans="1:10">
      <c r="A13" s="107" t="s">
        <v>96</v>
      </c>
      <c r="B13" s="115">
        <v>7.0000000000000007E-2</v>
      </c>
      <c r="C13" s="108">
        <v>7.0000000000000007E-2</v>
      </c>
      <c r="D13" s="109"/>
      <c r="E13" s="109"/>
      <c r="F13" s="109"/>
      <c r="G13" s="109"/>
      <c r="H13" s="4">
        <f>PREÇOS!O14</f>
        <v>5.5141935483870963</v>
      </c>
      <c r="I13" s="4">
        <f t="shared" si="0"/>
        <v>0</v>
      </c>
      <c r="J13" s="4">
        <f t="shared" si="1"/>
        <v>0</v>
      </c>
    </row>
    <row r="14" spans="1:10">
      <c r="A14" s="107" t="s">
        <v>97</v>
      </c>
      <c r="B14" s="115">
        <v>7.0000000000000007E-2</v>
      </c>
      <c r="C14" s="108">
        <v>0.17</v>
      </c>
      <c r="D14" s="109">
        <v>0.45519999999999999</v>
      </c>
      <c r="E14" s="109"/>
      <c r="F14" s="109">
        <v>0.63049999999999995</v>
      </c>
      <c r="G14" s="109"/>
      <c r="H14" s="4">
        <f>PREÇOS!O15</f>
        <v>5.5141935483870963</v>
      </c>
      <c r="I14" s="4">
        <f t="shared" si="0"/>
        <v>1.1424581903225808</v>
      </c>
      <c r="J14" s="4">
        <f t="shared" si="1"/>
        <v>1.1424581903225808</v>
      </c>
    </row>
    <row r="15" spans="1:10">
      <c r="A15" s="107" t="s">
        <v>98</v>
      </c>
      <c r="B15" s="115">
        <v>7.0000000000000007E-2</v>
      </c>
      <c r="C15" s="108">
        <v>7.0000000000000007E-2</v>
      </c>
      <c r="D15" s="109"/>
      <c r="E15" s="109"/>
      <c r="F15" s="109"/>
      <c r="G15" s="109"/>
      <c r="H15" s="4">
        <f>PREÇOS!O16</f>
        <v>5.5141935483870963</v>
      </c>
      <c r="I15" s="4">
        <f t="shared" si="0"/>
        <v>0</v>
      </c>
      <c r="J15" s="4">
        <f t="shared" si="1"/>
        <v>0</v>
      </c>
    </row>
    <row r="16" spans="1:10">
      <c r="A16" s="107" t="s">
        <v>99</v>
      </c>
      <c r="B16" s="115">
        <v>7.0000000000000007E-2</v>
      </c>
      <c r="C16" s="108">
        <v>7.0000000000000007E-2</v>
      </c>
      <c r="D16" s="109"/>
      <c r="E16" s="109"/>
      <c r="F16" s="109"/>
      <c r="G16" s="109"/>
      <c r="H16" s="4">
        <f>PREÇOS!O17</f>
        <v>5.5141935483870963</v>
      </c>
      <c r="I16" s="4">
        <f t="shared" si="0"/>
        <v>0</v>
      </c>
      <c r="J16" s="4">
        <f t="shared" si="1"/>
        <v>0</v>
      </c>
    </row>
    <row r="17" spans="1:11">
      <c r="A17" s="107" t="s">
        <v>100</v>
      </c>
      <c r="B17" s="115">
        <v>7.0000000000000007E-2</v>
      </c>
      <c r="C17" s="108">
        <v>7.0000000000000007E-2</v>
      </c>
      <c r="D17" s="109"/>
      <c r="E17" s="109"/>
      <c r="F17" s="109"/>
      <c r="G17" s="109"/>
      <c r="H17" s="4">
        <f>PREÇOS!O18</f>
        <v>5.5141935483870963</v>
      </c>
      <c r="I17" s="4">
        <f t="shared" si="0"/>
        <v>0</v>
      </c>
      <c r="J17" s="4">
        <f t="shared" si="1"/>
        <v>0</v>
      </c>
    </row>
    <row r="18" spans="1:11">
      <c r="A18" s="107" t="s">
        <v>101</v>
      </c>
      <c r="B18" s="115">
        <v>7.0000000000000007E-2</v>
      </c>
      <c r="C18" s="108">
        <v>7.0000000000000007E-2</v>
      </c>
      <c r="D18" s="109"/>
      <c r="E18" s="109"/>
      <c r="F18" s="109"/>
      <c r="G18" s="109"/>
      <c r="H18" s="4">
        <f>PREÇOS!O19</f>
        <v>5.5141935483870963</v>
      </c>
      <c r="I18" s="4">
        <f t="shared" si="0"/>
        <v>0</v>
      </c>
      <c r="J18" s="4">
        <f t="shared" si="1"/>
        <v>0</v>
      </c>
    </row>
    <row r="19" spans="1:11">
      <c r="A19" s="110" t="s">
        <v>10</v>
      </c>
      <c r="B19" s="90">
        <v>0.12</v>
      </c>
      <c r="C19" s="111">
        <v>0.19500000000000001</v>
      </c>
      <c r="D19" s="89">
        <v>0.54320000000000002</v>
      </c>
      <c r="E19" s="89">
        <v>0.16300000000000001</v>
      </c>
      <c r="F19" s="89">
        <v>0.68700000000000006</v>
      </c>
      <c r="G19" s="89">
        <v>0.1968</v>
      </c>
      <c r="H19" s="4">
        <f>PREÇOS!O20</f>
        <v>5.8274999999999997</v>
      </c>
      <c r="I19" s="4">
        <f t="shared" si="0"/>
        <v>1.2177435375000001</v>
      </c>
      <c r="J19" s="4">
        <f t="shared" si="1"/>
        <v>0.66069864000000023</v>
      </c>
    </row>
    <row r="20" spans="1:11">
      <c r="A20" s="110" t="s">
        <v>102</v>
      </c>
      <c r="B20" s="90">
        <v>0.12</v>
      </c>
      <c r="C20" s="111">
        <v>0.22</v>
      </c>
      <c r="D20" s="89">
        <v>0.4698</v>
      </c>
      <c r="E20" s="89"/>
      <c r="F20" s="89">
        <v>0.65820000000000001</v>
      </c>
      <c r="G20" s="89"/>
      <c r="H20" s="4">
        <f>PREÇOS!O21</f>
        <v>5.8274999999999997</v>
      </c>
      <c r="I20" s="4">
        <f t="shared" si="0"/>
        <v>1.4265953099999997</v>
      </c>
      <c r="J20" s="4">
        <f t="shared" si="1"/>
        <v>1.4265953099999997</v>
      </c>
    </row>
    <row r="21" spans="1:11">
      <c r="A21" s="107" t="s">
        <v>103</v>
      </c>
      <c r="B21" s="115">
        <v>7.0000000000000007E-2</v>
      </c>
      <c r="C21" s="108">
        <v>7.0000000000000007E-2</v>
      </c>
      <c r="D21" s="109"/>
      <c r="E21" s="109"/>
      <c r="F21" s="109"/>
      <c r="G21" s="109"/>
      <c r="H21" s="4">
        <f>PREÇOS!O22</f>
        <v>5.5141935483870963</v>
      </c>
      <c r="I21" s="4">
        <f t="shared" si="0"/>
        <v>0</v>
      </c>
      <c r="J21" s="4">
        <f t="shared" si="1"/>
        <v>0</v>
      </c>
    </row>
    <row r="22" spans="1:11">
      <c r="A22" s="107" t="s">
        <v>104</v>
      </c>
      <c r="B22" s="115">
        <v>7.0000000000000007E-2</v>
      </c>
      <c r="C22" s="108">
        <v>7.0000000000000007E-2</v>
      </c>
      <c r="D22" s="109"/>
      <c r="E22" s="109"/>
      <c r="F22" s="109"/>
      <c r="G22" s="109"/>
      <c r="H22" s="4">
        <f>PREÇOS!O23</f>
        <v>5.5141935483870963</v>
      </c>
      <c r="I22" s="4">
        <f t="shared" si="0"/>
        <v>0</v>
      </c>
      <c r="J22" s="4">
        <f t="shared" si="1"/>
        <v>0</v>
      </c>
    </row>
    <row r="23" spans="1:11">
      <c r="A23" s="107" t="s">
        <v>105</v>
      </c>
      <c r="B23" s="115">
        <v>7.0000000000000007E-2</v>
      </c>
      <c r="C23" s="108">
        <v>7.0000000000000007E-2</v>
      </c>
      <c r="D23" s="109"/>
      <c r="E23" s="109"/>
      <c r="F23" s="109"/>
      <c r="G23" s="109"/>
      <c r="H23" s="4">
        <f>PREÇOS!O24</f>
        <v>5.5141935483870963</v>
      </c>
      <c r="I23" s="4">
        <f t="shared" si="0"/>
        <v>0</v>
      </c>
      <c r="J23" s="4">
        <f t="shared" si="1"/>
        <v>0</v>
      </c>
    </row>
    <row r="24" spans="1:11">
      <c r="A24" s="107" t="s">
        <v>106</v>
      </c>
      <c r="B24" s="115">
        <v>0.12</v>
      </c>
      <c r="C24" s="108">
        <v>0.12</v>
      </c>
      <c r="D24" s="109"/>
      <c r="E24" s="109"/>
      <c r="F24" s="109"/>
      <c r="G24" s="109"/>
      <c r="H24" s="4">
        <f>PREÇOS!O25</f>
        <v>5.8274999999999997</v>
      </c>
      <c r="I24" s="4">
        <f t="shared" si="0"/>
        <v>0</v>
      </c>
      <c r="J24" s="4">
        <f t="shared" si="1"/>
        <v>0</v>
      </c>
    </row>
    <row r="25" spans="1:11">
      <c r="A25" s="107" t="s">
        <v>107</v>
      </c>
      <c r="B25" s="115">
        <v>0.12</v>
      </c>
      <c r="C25" s="108">
        <v>0.12</v>
      </c>
      <c r="D25" s="109"/>
      <c r="E25" s="109"/>
      <c r="F25" s="109"/>
      <c r="G25" s="109"/>
      <c r="H25" s="4">
        <f>PREÇOS!O26</f>
        <v>5.8274999999999997</v>
      </c>
      <c r="I25" s="4">
        <f t="shared" si="0"/>
        <v>0</v>
      </c>
      <c r="J25" s="4">
        <f t="shared" si="1"/>
        <v>0</v>
      </c>
    </row>
    <row r="26" spans="1:11">
      <c r="A26" s="107" t="s">
        <v>108</v>
      </c>
      <c r="B26" s="115">
        <v>7.0000000000000007E-2</v>
      </c>
      <c r="C26" s="108">
        <v>7.0000000000000007E-2</v>
      </c>
      <c r="D26" s="109"/>
      <c r="E26" s="109"/>
      <c r="F26" s="109"/>
      <c r="G26" s="109"/>
      <c r="H26" s="4">
        <f>PREÇOS!O27</f>
        <v>5.5141935483870963</v>
      </c>
      <c r="I26" s="4">
        <f t="shared" si="0"/>
        <v>0</v>
      </c>
      <c r="J26" s="4">
        <f t="shared" si="1"/>
        <v>0</v>
      </c>
    </row>
    <row r="27" spans="1:11">
      <c r="A27" s="107" t="s">
        <v>109</v>
      </c>
      <c r="B27" s="115">
        <v>0.12</v>
      </c>
      <c r="C27" s="108">
        <v>0.18</v>
      </c>
      <c r="D27" s="109"/>
      <c r="E27" s="109"/>
      <c r="F27" s="109"/>
      <c r="G27" s="109"/>
      <c r="H27" s="4">
        <f>PREÇOS!O28</f>
        <v>5.8274999999999997</v>
      </c>
      <c r="I27" s="4">
        <f t="shared" si="0"/>
        <v>0</v>
      </c>
      <c r="J27" s="4">
        <f t="shared" si="1"/>
        <v>0</v>
      </c>
      <c r="K27" t="s">
        <v>113</v>
      </c>
    </row>
    <row r="28" spans="1:11">
      <c r="A28" s="110" t="s">
        <v>110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</v>
      </c>
      <c r="G28" s="90">
        <f t="shared" si="2"/>
        <v>0</v>
      </c>
      <c r="H28" s="104">
        <f>PREÇOS!O29</f>
        <v>5.8274999999999997</v>
      </c>
      <c r="I28" s="104">
        <f t="shared" si="0"/>
        <v>0</v>
      </c>
      <c r="J28" s="104">
        <f t="shared" si="1"/>
        <v>0</v>
      </c>
    </row>
    <row r="29" spans="1:11">
      <c r="A29" s="107" t="s">
        <v>111</v>
      </c>
      <c r="B29" s="115">
        <v>7.0000000000000007E-2</v>
      </c>
      <c r="C29" s="108">
        <v>7.0000000000000007E-2</v>
      </c>
      <c r="D29" s="109"/>
      <c r="E29" s="109"/>
      <c r="F29" s="109"/>
      <c r="G29" s="109"/>
      <c r="H29" s="4">
        <f>PREÇOS!O30</f>
        <v>5.5141935483870963</v>
      </c>
      <c r="I29" s="4">
        <f t="shared" si="0"/>
        <v>0</v>
      </c>
      <c r="J29" s="4">
        <f t="shared" si="1"/>
        <v>0</v>
      </c>
    </row>
    <row r="30" spans="1:11">
      <c r="A30" s="3" t="s">
        <v>112</v>
      </c>
      <c r="H30" s="4">
        <f>PREÇOS!O31</f>
        <v>5.5141935483870963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2" activePane="bottomRight" state="frozen"/>
      <selection pane="bottomRight" activeCell="Q7" sqref="Q7:R7"/>
      <selection pane="bottomLeft" activeCell="Q7" sqref="Q7:R7"/>
      <selection pane="topRight"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6.85546875" bestFit="1" customWidth="1"/>
    <col min="6" max="6" width="20.5703125" bestFit="1" customWidth="1"/>
    <col min="7" max="7" width="21.5703125" bestFit="1" customWidth="1"/>
    <col min="8" max="8" width="8.5703125" bestFit="1" customWidth="1"/>
    <col min="9" max="9" width="12.5703125" bestFit="1" customWidth="1"/>
    <col min="10" max="10" width="13.5703125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15">
        <v>7.0000000000000007E-2</v>
      </c>
      <c r="C2" s="115">
        <v>0.19</v>
      </c>
      <c r="D2" s="109"/>
      <c r="E2" s="109"/>
      <c r="F2" s="109"/>
      <c r="G2" s="109"/>
      <c r="H2" s="49">
        <f>PREÇOS!H3</f>
        <v>6.88</v>
      </c>
      <c r="I2" s="46">
        <f t="shared" ref="I2:I26" si="0">IF(F2=0,,H2*(1+F2)*C2-(H2*B2))</f>
        <v>0</v>
      </c>
      <c r="J2" s="46">
        <f t="shared" ref="J2:J26" si="1">IF(G2=0,IF(F2=0,,H2*(1+F2)*C2-(H2*B2)),H2*(1+G2)*C2-(H2*B2))</f>
        <v>0</v>
      </c>
    </row>
    <row r="3" spans="1:10">
      <c r="A3" s="107" t="s">
        <v>86</v>
      </c>
      <c r="B3" s="115">
        <v>7.0000000000000007E-2</v>
      </c>
      <c r="C3" s="115">
        <v>0.2</v>
      </c>
      <c r="D3" s="109"/>
      <c r="E3" s="109"/>
      <c r="F3" s="109">
        <v>0.51129999999999998</v>
      </c>
      <c r="G3" s="109"/>
      <c r="H3" s="49">
        <f>PREÇOS!H4</f>
        <v>6.88</v>
      </c>
      <c r="I3" s="46">
        <f>IF(F3=0,,H3*(1+F3)*C3-(H3*B3))</f>
        <v>1.5979487999999999</v>
      </c>
      <c r="J3" s="46">
        <f t="shared" si="1"/>
        <v>1.5979487999999999</v>
      </c>
    </row>
    <row r="4" spans="1:10">
      <c r="A4" s="107" t="s">
        <v>87</v>
      </c>
      <c r="B4" s="115">
        <v>7.0000000000000007E-2</v>
      </c>
      <c r="C4" s="115">
        <v>0.2</v>
      </c>
      <c r="D4" s="109"/>
      <c r="E4" s="109"/>
      <c r="F4" s="109"/>
      <c r="G4" s="109"/>
      <c r="H4" s="49">
        <f>PREÇOS!H5</f>
        <v>6.88</v>
      </c>
      <c r="I4" s="46">
        <f t="shared" si="0"/>
        <v>0</v>
      </c>
      <c r="J4" s="46">
        <f t="shared" si="1"/>
        <v>0</v>
      </c>
    </row>
    <row r="5" spans="1:10">
      <c r="A5" s="107" t="s">
        <v>88</v>
      </c>
      <c r="B5" s="115">
        <v>7.0000000000000007E-2</v>
      </c>
      <c r="C5" s="115">
        <v>0.18</v>
      </c>
      <c r="D5" s="109"/>
      <c r="E5" s="109"/>
      <c r="F5" s="109">
        <v>0.51980000000000004</v>
      </c>
      <c r="G5" s="109"/>
      <c r="H5" s="49">
        <f>PREÇOS!H6</f>
        <v>6.88</v>
      </c>
      <c r="I5" s="46">
        <f t="shared" si="0"/>
        <v>1.40052032</v>
      </c>
      <c r="J5" s="46">
        <f t="shared" si="1"/>
        <v>1.40052032</v>
      </c>
    </row>
    <row r="6" spans="1:10">
      <c r="A6" s="107" t="s">
        <v>89</v>
      </c>
      <c r="B6" s="115">
        <v>7.0000000000000007E-2</v>
      </c>
      <c r="C6" s="115">
        <v>0.19</v>
      </c>
      <c r="D6" s="109"/>
      <c r="E6" s="109"/>
      <c r="F6" s="109"/>
      <c r="G6" s="109"/>
      <c r="H6" s="49">
        <f>PREÇOS!H7</f>
        <v>6.88</v>
      </c>
      <c r="I6" s="46">
        <f t="shared" si="0"/>
        <v>0</v>
      </c>
      <c r="J6" s="46">
        <f t="shared" si="1"/>
        <v>0</v>
      </c>
    </row>
    <row r="7" spans="1:10">
      <c r="A7" s="107" t="s">
        <v>90</v>
      </c>
      <c r="B7" s="115">
        <v>7.0000000000000007E-2</v>
      </c>
      <c r="C7" s="115">
        <v>0.2</v>
      </c>
      <c r="D7" s="109"/>
      <c r="E7" s="109"/>
      <c r="F7" s="109"/>
      <c r="G7" s="109"/>
      <c r="H7" s="49">
        <f>PREÇOS!H8</f>
        <v>6.88</v>
      </c>
      <c r="I7" s="46">
        <f t="shared" si="0"/>
        <v>0</v>
      </c>
      <c r="J7" s="46">
        <f t="shared" si="1"/>
        <v>0</v>
      </c>
    </row>
    <row r="8" spans="1:10">
      <c r="A8" s="107" t="s">
        <v>91</v>
      </c>
      <c r="B8" s="115">
        <v>7.0000000000000007E-2</v>
      </c>
      <c r="C8" s="115">
        <v>0.18</v>
      </c>
      <c r="D8" s="109"/>
      <c r="E8" s="109"/>
      <c r="F8" s="109"/>
      <c r="G8" s="109"/>
      <c r="H8" s="49">
        <f>PREÇOS!H9</f>
        <v>6.88</v>
      </c>
      <c r="I8" s="46">
        <f t="shared" si="0"/>
        <v>0</v>
      </c>
      <c r="J8" s="46">
        <f t="shared" si="1"/>
        <v>0</v>
      </c>
    </row>
    <row r="9" spans="1:10">
      <c r="A9" s="107" t="s">
        <v>92</v>
      </c>
      <c r="B9" s="115">
        <v>7.0000000000000007E-2</v>
      </c>
      <c r="C9" s="115">
        <v>0.17</v>
      </c>
      <c r="D9" s="109"/>
      <c r="E9" s="109"/>
      <c r="F9" s="109"/>
      <c r="G9" s="109"/>
      <c r="H9" s="49">
        <f>PREÇOS!H10</f>
        <v>6.88</v>
      </c>
      <c r="I9" s="46">
        <f t="shared" si="0"/>
        <v>0</v>
      </c>
      <c r="J9" s="46">
        <f t="shared" si="1"/>
        <v>0</v>
      </c>
    </row>
    <row r="10" spans="1:10">
      <c r="A10" s="107" t="s">
        <v>93</v>
      </c>
      <c r="B10" s="115">
        <v>7.0000000000000007E-2</v>
      </c>
      <c r="C10" s="115">
        <v>0.17</v>
      </c>
      <c r="D10" s="109"/>
      <c r="E10" s="109"/>
      <c r="F10" s="109"/>
      <c r="G10" s="109"/>
      <c r="H10" s="49">
        <f>PREÇOS!H11</f>
        <v>6.88</v>
      </c>
      <c r="I10" s="46">
        <f t="shared" si="0"/>
        <v>0</v>
      </c>
      <c r="J10" s="46">
        <f t="shared" si="1"/>
        <v>0</v>
      </c>
    </row>
    <row r="11" spans="1:10">
      <c r="A11" s="107" t="s">
        <v>94</v>
      </c>
      <c r="B11" s="115">
        <v>7.0000000000000007E-2</v>
      </c>
      <c r="C11" s="115">
        <v>0.2</v>
      </c>
      <c r="D11" s="109"/>
      <c r="E11" s="109"/>
      <c r="F11" s="109"/>
      <c r="G11" s="109"/>
      <c r="H11" s="49">
        <f>PREÇOS!H12</f>
        <v>6.88</v>
      </c>
      <c r="I11" s="46">
        <f t="shared" si="0"/>
        <v>0</v>
      </c>
      <c r="J11" s="46">
        <f t="shared" si="1"/>
        <v>0</v>
      </c>
    </row>
    <row r="12" spans="1:10">
      <c r="A12" s="107" t="s">
        <v>95</v>
      </c>
      <c r="B12" s="115">
        <v>0.12</v>
      </c>
      <c r="C12" s="115">
        <v>0.12</v>
      </c>
      <c r="D12" s="109"/>
      <c r="E12" s="109"/>
      <c r="F12" s="109">
        <v>0.25</v>
      </c>
      <c r="G12" s="109"/>
      <c r="H12" s="86">
        <f>PREÇOS!H13</f>
        <v>7.35</v>
      </c>
      <c r="I12" s="88">
        <f t="shared" si="0"/>
        <v>0.22050000000000014</v>
      </c>
      <c r="J12" s="88">
        <f t="shared" si="1"/>
        <v>0.22050000000000014</v>
      </c>
    </row>
    <row r="13" spans="1:10">
      <c r="A13" s="107" t="s">
        <v>96</v>
      </c>
      <c r="B13" s="115">
        <v>7.0000000000000007E-2</v>
      </c>
      <c r="C13" s="115">
        <v>0.17</v>
      </c>
      <c r="D13" s="109"/>
      <c r="E13" s="109"/>
      <c r="F13" s="109"/>
      <c r="G13" s="109"/>
      <c r="H13" s="49">
        <f>PREÇOS!H14</f>
        <v>6.88</v>
      </c>
      <c r="I13" s="46">
        <f t="shared" si="0"/>
        <v>0</v>
      </c>
      <c r="J13" s="46">
        <f t="shared" si="1"/>
        <v>0</v>
      </c>
    </row>
    <row r="14" spans="1:10">
      <c r="A14" s="107" t="s">
        <v>97</v>
      </c>
      <c r="B14" s="115">
        <v>7.0000000000000007E-2</v>
      </c>
      <c r="C14" s="115">
        <v>0.17</v>
      </c>
      <c r="D14" s="109"/>
      <c r="E14" s="109"/>
      <c r="F14" s="109">
        <v>0.39779999999999999</v>
      </c>
      <c r="G14" s="109"/>
      <c r="H14" s="49">
        <f>PREÇOS!H15</f>
        <v>6.88</v>
      </c>
      <c r="I14" s="46">
        <f t="shared" si="0"/>
        <v>1.1532668800000001</v>
      </c>
      <c r="J14" s="46">
        <f t="shared" si="1"/>
        <v>1.1532668800000001</v>
      </c>
    </row>
    <row r="15" spans="1:10">
      <c r="A15" s="107" t="s">
        <v>98</v>
      </c>
      <c r="B15" s="115">
        <v>7.0000000000000007E-2</v>
      </c>
      <c r="C15" s="115">
        <v>0.19</v>
      </c>
      <c r="D15" s="109"/>
      <c r="E15" s="109"/>
      <c r="F15" s="109"/>
      <c r="G15" s="109"/>
      <c r="H15" s="49">
        <f>PREÇOS!H16</f>
        <v>6.88</v>
      </c>
      <c r="I15" s="46">
        <f t="shared" si="0"/>
        <v>0</v>
      </c>
      <c r="J15" s="46">
        <f t="shared" si="1"/>
        <v>0</v>
      </c>
    </row>
    <row r="16" spans="1:10">
      <c r="A16" s="107" t="s">
        <v>99</v>
      </c>
      <c r="B16" s="115">
        <v>7.0000000000000007E-2</v>
      </c>
      <c r="C16" s="115">
        <v>0.18</v>
      </c>
      <c r="D16" s="109"/>
      <c r="E16" s="109"/>
      <c r="F16" s="109"/>
      <c r="G16" s="109"/>
      <c r="H16" s="49">
        <f>PREÇOS!H17</f>
        <v>6.88</v>
      </c>
      <c r="I16" s="46">
        <f t="shared" si="0"/>
        <v>0</v>
      </c>
      <c r="J16" s="46">
        <f t="shared" si="1"/>
        <v>0</v>
      </c>
    </row>
    <row r="17" spans="1:10">
      <c r="A17" s="107" t="s">
        <v>100</v>
      </c>
      <c r="B17" s="115">
        <v>7.0000000000000007E-2</v>
      </c>
      <c r="C17" s="115">
        <v>0.18</v>
      </c>
      <c r="D17" s="109"/>
      <c r="E17" s="109"/>
      <c r="F17" s="109"/>
      <c r="G17" s="109"/>
      <c r="H17" s="49">
        <f>PREÇOS!H18</f>
        <v>6.88</v>
      </c>
      <c r="I17" s="46">
        <f t="shared" si="0"/>
        <v>0</v>
      </c>
      <c r="J17" s="46">
        <f t="shared" si="1"/>
        <v>0</v>
      </c>
    </row>
    <row r="18" spans="1:10">
      <c r="A18" s="107" t="s">
        <v>101</v>
      </c>
      <c r="B18" s="115">
        <v>7.0000000000000007E-2</v>
      </c>
      <c r="C18" s="115">
        <v>0.21</v>
      </c>
      <c r="D18" s="109"/>
      <c r="E18" s="109"/>
      <c r="F18" s="109"/>
      <c r="G18" s="109"/>
      <c r="H18" s="49">
        <f>PREÇOS!H19</f>
        <v>6.88</v>
      </c>
      <c r="I18" s="46">
        <f t="shared" si="0"/>
        <v>0</v>
      </c>
      <c r="J18" s="46">
        <f t="shared" si="1"/>
        <v>0</v>
      </c>
    </row>
    <row r="19" spans="1:10">
      <c r="A19" s="107" t="s">
        <v>10</v>
      </c>
      <c r="B19" s="115">
        <v>0.12</v>
      </c>
      <c r="C19" s="115">
        <v>0.12</v>
      </c>
      <c r="D19" s="109"/>
      <c r="E19" s="109"/>
      <c r="F19" s="109"/>
      <c r="G19" s="109"/>
      <c r="H19" s="86">
        <f>PREÇOS!H20</f>
        <v>7.35</v>
      </c>
      <c r="I19" s="88">
        <f t="shared" si="0"/>
        <v>0</v>
      </c>
      <c r="J19" s="88">
        <f t="shared" si="1"/>
        <v>0</v>
      </c>
    </row>
    <row r="20" spans="1:10">
      <c r="A20" s="110" t="s">
        <v>102</v>
      </c>
      <c r="B20" s="90">
        <v>0.12</v>
      </c>
      <c r="C20" s="90">
        <v>0.22</v>
      </c>
      <c r="D20" s="89"/>
      <c r="E20" s="89"/>
      <c r="F20" s="89">
        <v>0.52529999999999999</v>
      </c>
      <c r="G20" s="89"/>
      <c r="H20" s="86">
        <f>PREÇOS!H21</f>
        <v>7.35</v>
      </c>
      <c r="I20" s="88">
        <f t="shared" si="0"/>
        <v>1.5844101000000002</v>
      </c>
      <c r="J20" s="88">
        <f t="shared" si="1"/>
        <v>1.5844101000000002</v>
      </c>
    </row>
    <row r="21" spans="1:10">
      <c r="A21" s="107" t="s">
        <v>103</v>
      </c>
      <c r="B21" s="115">
        <v>7.0000000000000007E-2</v>
      </c>
      <c r="C21" s="115">
        <v>0.2</v>
      </c>
      <c r="D21" s="109"/>
      <c r="E21" s="109"/>
      <c r="F21" s="109"/>
      <c r="G21" s="109"/>
      <c r="H21" s="49">
        <f>PREÇOS!H22</f>
        <v>6.88</v>
      </c>
      <c r="I21" s="46">
        <f t="shared" si="0"/>
        <v>0</v>
      </c>
      <c r="J21" s="46">
        <f t="shared" si="1"/>
        <v>0</v>
      </c>
    </row>
    <row r="22" spans="1:10">
      <c r="A22" s="107" t="s">
        <v>104</v>
      </c>
      <c r="B22" s="115">
        <v>7.0000000000000007E-2</v>
      </c>
      <c r="C22" s="115">
        <v>0.17499999999999999</v>
      </c>
      <c r="D22" s="109"/>
      <c r="E22" s="109"/>
      <c r="F22" s="109"/>
      <c r="G22" s="109"/>
      <c r="H22" s="49">
        <f>PREÇOS!H23</f>
        <v>6.88</v>
      </c>
      <c r="I22" s="46">
        <f t="shared" si="0"/>
        <v>0</v>
      </c>
      <c r="J22" s="46">
        <f t="shared" si="1"/>
        <v>0</v>
      </c>
    </row>
    <row r="23" spans="1:10">
      <c r="A23" s="107" t="s">
        <v>105</v>
      </c>
      <c r="B23" s="115">
        <v>7.0000000000000007E-2</v>
      </c>
      <c r="C23" s="115">
        <v>0.2</v>
      </c>
      <c r="D23" s="109"/>
      <c r="E23" s="109"/>
      <c r="F23" s="109"/>
      <c r="G23" s="109"/>
      <c r="H23" s="49">
        <f>PREÇOS!H24</f>
        <v>6.88</v>
      </c>
      <c r="I23" s="46">
        <f t="shared" si="0"/>
        <v>0</v>
      </c>
      <c r="J23" s="46">
        <f t="shared" si="1"/>
        <v>0</v>
      </c>
    </row>
    <row r="24" spans="1:10">
      <c r="A24" s="107" t="s">
        <v>106</v>
      </c>
      <c r="B24" s="115">
        <v>0.12</v>
      </c>
      <c r="C24" s="115">
        <v>0.17</v>
      </c>
      <c r="D24" s="109"/>
      <c r="E24" s="109"/>
      <c r="F24" s="109"/>
      <c r="G24" s="109"/>
      <c r="H24" s="86">
        <f>PREÇOS!H25</f>
        <v>7.35</v>
      </c>
      <c r="I24" s="88">
        <f t="shared" si="0"/>
        <v>0</v>
      </c>
      <c r="J24" s="88">
        <f t="shared" si="1"/>
        <v>0</v>
      </c>
    </row>
    <row r="25" spans="1:10">
      <c r="A25" s="107" t="s">
        <v>107</v>
      </c>
      <c r="B25" s="115">
        <v>0.12</v>
      </c>
      <c r="C25" s="115">
        <v>0.17</v>
      </c>
      <c r="D25" s="109"/>
      <c r="E25" s="109"/>
      <c r="F25" s="109"/>
      <c r="G25" s="109"/>
      <c r="H25" s="86">
        <f>PREÇOS!H26</f>
        <v>7.35</v>
      </c>
      <c r="I25" s="88">
        <f t="shared" si="0"/>
        <v>0</v>
      </c>
      <c r="J25" s="88">
        <f t="shared" si="1"/>
        <v>0</v>
      </c>
    </row>
    <row r="26" spans="1:10">
      <c r="A26" s="107" t="s">
        <v>108</v>
      </c>
      <c r="B26" s="115">
        <v>7.0000000000000007E-2</v>
      </c>
      <c r="C26" s="115">
        <v>0.2</v>
      </c>
      <c r="D26" s="109"/>
      <c r="E26" s="109"/>
      <c r="F26" s="109"/>
      <c r="G26" s="109"/>
      <c r="H26" s="49">
        <f>PREÇOS!H27</f>
        <v>6.88</v>
      </c>
      <c r="I26" s="46">
        <f t="shared" si="0"/>
        <v>0</v>
      </c>
      <c r="J26" s="46">
        <f t="shared" si="1"/>
        <v>0</v>
      </c>
    </row>
    <row r="27" spans="1:10">
      <c r="A27" s="107" t="s">
        <v>109</v>
      </c>
      <c r="B27" s="115">
        <v>0.12</v>
      </c>
      <c r="C27" s="115">
        <v>0.18</v>
      </c>
      <c r="D27" s="109">
        <v>0.5917</v>
      </c>
      <c r="E27" s="109"/>
      <c r="F27" s="109">
        <v>0.5917</v>
      </c>
      <c r="G27" s="109"/>
      <c r="H27" s="86">
        <f>PREÇOS!H28</f>
        <v>7.35</v>
      </c>
      <c r="I27" s="88">
        <f t="shared" ref="I27:I29" si="2">IF(F27=0,,H27*(1+F27)*C27-(H27*B27))</f>
        <v>1.2238190999999998</v>
      </c>
      <c r="J27" s="88">
        <f t="shared" ref="J27:J29" si="3">IF(G27=0,IF(F27=0,,H27*(1+F27)*C27-(H27*B27)),H27*(1+G27)*C27-(H27*B27))</f>
        <v>1.2238190999999998</v>
      </c>
    </row>
    <row r="28" spans="1:10">
      <c r="A28" s="107" t="s">
        <v>110</v>
      </c>
      <c r="B28" s="115">
        <f>B27</f>
        <v>0.12</v>
      </c>
      <c r="C28" s="115">
        <f t="shared" ref="C28:G28" si="4">C27</f>
        <v>0.18</v>
      </c>
      <c r="D28" s="109">
        <v>0.48320000000000002</v>
      </c>
      <c r="E28" s="109">
        <f t="shared" si="4"/>
        <v>0</v>
      </c>
      <c r="F28" s="109">
        <v>0.48320000000000002</v>
      </c>
      <c r="G28" s="115">
        <f t="shared" si="4"/>
        <v>0</v>
      </c>
      <c r="H28" s="105">
        <f>PREÇOS!H29</f>
        <v>7.35</v>
      </c>
      <c r="I28" s="104">
        <f t="shared" si="2"/>
        <v>1.0802735999999999</v>
      </c>
      <c r="J28" s="104">
        <f t="shared" si="3"/>
        <v>1.0802735999999999</v>
      </c>
    </row>
    <row r="29" spans="1:10">
      <c r="A29" s="107" t="s">
        <v>111</v>
      </c>
      <c r="B29" s="115">
        <v>7.0000000000000007E-2</v>
      </c>
      <c r="C29" s="115">
        <v>0.2</v>
      </c>
      <c r="D29" s="109"/>
      <c r="E29" s="109"/>
      <c r="F29" s="109"/>
      <c r="G29" s="109"/>
      <c r="H29" s="49">
        <f>PREÇOS!H30</f>
        <v>6.88</v>
      </c>
      <c r="I29" s="46">
        <f t="shared" si="2"/>
        <v>0</v>
      </c>
      <c r="J29" s="46">
        <f t="shared" si="3"/>
        <v>0</v>
      </c>
    </row>
    <row r="30" spans="1:10">
      <c r="A30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2" zoomScale="91" zoomScaleNormal="91" workbookViewId="0">
      <selection activeCell="I19" sqref="I19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15">
        <v>7.0000000000000007E-2</v>
      </c>
      <c r="C2" s="115">
        <v>0.17</v>
      </c>
      <c r="D2" s="109"/>
      <c r="E2" s="109"/>
      <c r="F2" s="109"/>
      <c r="G2" s="109"/>
      <c r="H2" s="7">
        <f>PREÇOS!G3</f>
        <v>7.05</v>
      </c>
      <c r="I2" s="8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>
      <c r="A3" s="107" t="s">
        <v>86</v>
      </c>
      <c r="B3" s="115">
        <v>7.0000000000000007E-2</v>
      </c>
      <c r="C3" s="115">
        <v>0.2</v>
      </c>
      <c r="D3" s="109"/>
      <c r="E3" s="109"/>
      <c r="F3" s="109">
        <v>0.71</v>
      </c>
      <c r="G3" s="109"/>
      <c r="H3" s="7">
        <f>PREÇOS!G4</f>
        <v>7.05</v>
      </c>
      <c r="I3" s="84">
        <f>IF(F3=0,,H3*(1+F3)*C3-(H3*B3))</f>
        <v>1.9176000000000002</v>
      </c>
      <c r="J3" s="4">
        <f t="shared" si="1"/>
        <v>1.9176000000000002</v>
      </c>
    </row>
    <row r="4" spans="1:10">
      <c r="A4" s="107" t="s">
        <v>87</v>
      </c>
      <c r="B4" s="115">
        <v>7.0000000000000007E-2</v>
      </c>
      <c r="C4" s="115">
        <v>0.2</v>
      </c>
      <c r="D4" s="109"/>
      <c r="E4" s="109"/>
      <c r="F4" s="109">
        <v>0.55379999999999996</v>
      </c>
      <c r="G4" s="109"/>
      <c r="H4" s="7">
        <f>PREÇOS!G5</f>
        <v>7.05</v>
      </c>
      <c r="I4" s="84">
        <f>IF(F4=0,,H4*(1+F4)*C4-(H4*B4))</f>
        <v>1.6973579999999999</v>
      </c>
      <c r="J4" s="4">
        <f t="shared" si="1"/>
        <v>1.6973579999999999</v>
      </c>
    </row>
    <row r="5" spans="1:10">
      <c r="A5" s="107" t="s">
        <v>88</v>
      </c>
      <c r="B5" s="115">
        <v>7.0000000000000007E-2</v>
      </c>
      <c r="C5" s="115">
        <v>0.18</v>
      </c>
      <c r="D5" s="109"/>
      <c r="E5" s="109"/>
      <c r="F5" s="109"/>
      <c r="G5" s="109"/>
      <c r="H5" s="7">
        <f>PREÇOS!G6</f>
        <v>7.05</v>
      </c>
      <c r="I5" s="84">
        <f t="shared" si="0"/>
        <v>0</v>
      </c>
      <c r="J5" s="4">
        <f t="shared" si="1"/>
        <v>0</v>
      </c>
    </row>
    <row r="6" spans="1:10">
      <c r="A6" s="107" t="s">
        <v>89</v>
      </c>
      <c r="B6" s="115">
        <v>7.0000000000000007E-2</v>
      </c>
      <c r="C6" s="115">
        <v>0.19</v>
      </c>
      <c r="D6" s="109"/>
      <c r="E6" s="109"/>
      <c r="F6" s="109"/>
      <c r="G6" s="109"/>
      <c r="H6" s="7">
        <f>PREÇOS!G7</f>
        <v>7.05</v>
      </c>
      <c r="I6" s="84">
        <f t="shared" si="0"/>
        <v>0</v>
      </c>
      <c r="J6" s="4">
        <f t="shared" si="1"/>
        <v>0</v>
      </c>
    </row>
    <row r="7" spans="1:10">
      <c r="A7" s="107" t="s">
        <v>90</v>
      </c>
      <c r="B7" s="115">
        <v>7.0000000000000007E-2</v>
      </c>
      <c r="C7" s="115">
        <v>0.2</v>
      </c>
      <c r="D7" s="109"/>
      <c r="E7" s="109"/>
      <c r="F7" s="109"/>
      <c r="G7" s="109"/>
      <c r="H7" s="7">
        <f>PREÇOS!G8</f>
        <v>7.05</v>
      </c>
      <c r="I7" s="84">
        <f t="shared" si="0"/>
        <v>0</v>
      </c>
      <c r="J7" s="4">
        <f t="shared" si="1"/>
        <v>0</v>
      </c>
    </row>
    <row r="8" spans="1:10">
      <c r="A8" s="107" t="s">
        <v>91</v>
      </c>
      <c r="B8" s="115">
        <v>7.0000000000000007E-2</v>
      </c>
      <c r="C8" s="115">
        <v>0.18</v>
      </c>
      <c r="D8" s="109"/>
      <c r="E8" s="109"/>
      <c r="F8" s="109"/>
      <c r="G8" s="109"/>
      <c r="H8" s="7">
        <f>PREÇOS!G9</f>
        <v>7.05</v>
      </c>
      <c r="I8" s="84">
        <f t="shared" si="0"/>
        <v>0</v>
      </c>
      <c r="J8" s="4">
        <f t="shared" si="1"/>
        <v>0</v>
      </c>
    </row>
    <row r="9" spans="1:10">
      <c r="A9" s="107" t="s">
        <v>92</v>
      </c>
      <c r="B9" s="115">
        <v>7.0000000000000007E-2</v>
      </c>
      <c r="C9" s="115">
        <v>0.17</v>
      </c>
      <c r="D9" s="109"/>
      <c r="E9" s="109"/>
      <c r="F9" s="109"/>
      <c r="G9" s="109"/>
      <c r="H9" s="7">
        <f>PREÇOS!G10</f>
        <v>7.05</v>
      </c>
      <c r="I9" s="84">
        <f t="shared" si="0"/>
        <v>0</v>
      </c>
      <c r="J9" s="4">
        <f t="shared" si="1"/>
        <v>0</v>
      </c>
    </row>
    <row r="10" spans="1:10">
      <c r="A10" s="107" t="s">
        <v>93</v>
      </c>
      <c r="B10" s="115">
        <v>7.0000000000000007E-2</v>
      </c>
      <c r="C10" s="115">
        <v>0.17</v>
      </c>
      <c r="D10" s="109"/>
      <c r="E10" s="109"/>
      <c r="F10" s="109"/>
      <c r="G10" s="109"/>
      <c r="H10" s="7">
        <f>PREÇOS!G11</f>
        <v>7.05</v>
      </c>
      <c r="I10" s="84">
        <f t="shared" si="0"/>
        <v>0</v>
      </c>
      <c r="J10" s="4">
        <f t="shared" si="1"/>
        <v>0</v>
      </c>
    </row>
    <row r="11" spans="1:10">
      <c r="A11" s="107" t="s">
        <v>94</v>
      </c>
      <c r="B11" s="115">
        <v>7.0000000000000007E-2</v>
      </c>
      <c r="C11" s="115">
        <v>0.2</v>
      </c>
      <c r="D11" s="109"/>
      <c r="E11" s="109"/>
      <c r="F11" s="109"/>
      <c r="G11" s="109"/>
      <c r="H11" s="7">
        <f>PREÇOS!G12</f>
        <v>7.05</v>
      </c>
      <c r="I11" s="84">
        <f t="shared" si="0"/>
        <v>0</v>
      </c>
      <c r="J11" s="4">
        <f t="shared" si="1"/>
        <v>0</v>
      </c>
    </row>
    <row r="12" spans="1:10">
      <c r="A12" s="107" t="s">
        <v>95</v>
      </c>
      <c r="B12" s="115">
        <v>0.12</v>
      </c>
      <c r="C12" s="115">
        <v>0.18</v>
      </c>
      <c r="D12" s="109"/>
      <c r="E12" s="109"/>
      <c r="F12" s="109">
        <v>0.44879999999999998</v>
      </c>
      <c r="G12" s="109"/>
      <c r="H12" s="86">
        <f>PREÇOS!G13</f>
        <v>7.5</v>
      </c>
      <c r="I12" s="87">
        <f t="shared" si="0"/>
        <v>1.0558799999999999</v>
      </c>
      <c r="J12" s="88">
        <f t="shared" si="1"/>
        <v>1.0558799999999999</v>
      </c>
    </row>
    <row r="13" spans="1:10">
      <c r="A13" s="107" t="s">
        <v>96</v>
      </c>
      <c r="B13" s="115">
        <v>7.0000000000000007E-2</v>
      </c>
      <c r="C13" s="115">
        <v>0.17</v>
      </c>
      <c r="D13" s="109"/>
      <c r="E13" s="109"/>
      <c r="F13" s="109"/>
      <c r="G13" s="109"/>
      <c r="H13" s="7">
        <f>PREÇOS!G14</f>
        <v>7.05</v>
      </c>
      <c r="I13" s="84">
        <f t="shared" si="0"/>
        <v>0</v>
      </c>
      <c r="J13" s="4">
        <f t="shared" si="1"/>
        <v>0</v>
      </c>
    </row>
    <row r="14" spans="1:10">
      <c r="A14" s="107" t="s">
        <v>97</v>
      </c>
      <c r="B14" s="115">
        <v>7.0000000000000007E-2</v>
      </c>
      <c r="C14" s="115">
        <v>0.17</v>
      </c>
      <c r="D14" s="109"/>
      <c r="E14" s="109"/>
      <c r="F14" s="109">
        <v>0.45519999999999999</v>
      </c>
      <c r="G14" s="109"/>
      <c r="H14" s="7">
        <f>PREÇOS!G15</f>
        <v>7.05</v>
      </c>
      <c r="I14" s="84">
        <f t="shared" si="0"/>
        <v>1.2505572</v>
      </c>
      <c r="J14" s="4">
        <f t="shared" si="1"/>
        <v>1.2505572</v>
      </c>
    </row>
    <row r="15" spans="1:10">
      <c r="A15" s="107" t="s">
        <v>98</v>
      </c>
      <c r="B15" s="115">
        <v>7.0000000000000007E-2</v>
      </c>
      <c r="C15" s="115">
        <v>0.19</v>
      </c>
      <c r="D15" s="109"/>
      <c r="E15" s="109"/>
      <c r="F15" s="109"/>
      <c r="G15" s="109"/>
      <c r="H15" s="7">
        <f>PREÇOS!G16</f>
        <v>7.05</v>
      </c>
      <c r="I15" s="84">
        <f t="shared" si="0"/>
        <v>0</v>
      </c>
      <c r="J15" s="4">
        <f t="shared" si="1"/>
        <v>0</v>
      </c>
    </row>
    <row r="16" spans="1:10">
      <c r="A16" s="107" t="s">
        <v>99</v>
      </c>
      <c r="B16" s="115">
        <v>7.0000000000000007E-2</v>
      </c>
      <c r="C16" s="115">
        <v>0.18</v>
      </c>
      <c r="D16" s="109"/>
      <c r="E16" s="109"/>
      <c r="F16" s="109"/>
      <c r="G16" s="109"/>
      <c r="H16" s="7">
        <f>PREÇOS!G17</f>
        <v>7.05</v>
      </c>
      <c r="I16" s="84">
        <f t="shared" si="0"/>
        <v>0</v>
      </c>
      <c r="J16" s="4">
        <f t="shared" si="1"/>
        <v>0</v>
      </c>
    </row>
    <row r="17" spans="1:10">
      <c r="A17" s="107" t="s">
        <v>100</v>
      </c>
      <c r="B17" s="115">
        <v>7.0000000000000007E-2</v>
      </c>
      <c r="C17" s="115">
        <v>0.18</v>
      </c>
      <c r="D17" s="109"/>
      <c r="E17" s="109"/>
      <c r="F17" s="109"/>
      <c r="G17" s="109"/>
      <c r="H17" s="7">
        <f>PREÇOS!G18</f>
        <v>7.05</v>
      </c>
      <c r="I17" s="84">
        <f t="shared" si="0"/>
        <v>0</v>
      </c>
      <c r="J17" s="4">
        <f t="shared" si="1"/>
        <v>0</v>
      </c>
    </row>
    <row r="18" spans="1:10">
      <c r="A18" s="107" t="s">
        <v>101</v>
      </c>
      <c r="B18" s="115">
        <v>7.0000000000000007E-2</v>
      </c>
      <c r="C18" s="115">
        <v>0.21</v>
      </c>
      <c r="D18" s="109"/>
      <c r="E18" s="109"/>
      <c r="F18" s="109"/>
      <c r="G18" s="109"/>
      <c r="H18" s="7">
        <f>PREÇOS!G19</f>
        <v>7.05</v>
      </c>
      <c r="I18" s="84">
        <f t="shared" si="0"/>
        <v>0</v>
      </c>
      <c r="J18" s="4">
        <f t="shared" si="1"/>
        <v>0</v>
      </c>
    </row>
    <row r="19" spans="1:10">
      <c r="A19" s="107" t="s">
        <v>10</v>
      </c>
      <c r="B19" s="115">
        <v>0.12</v>
      </c>
      <c r="C19" s="115">
        <v>0.19500000000000001</v>
      </c>
      <c r="D19" s="109"/>
      <c r="E19" s="109"/>
      <c r="F19" s="109">
        <v>0.60799999999999998</v>
      </c>
      <c r="G19" s="109"/>
      <c r="H19" s="86">
        <f>PREÇOS!G20</f>
        <v>7.5</v>
      </c>
      <c r="I19" s="87">
        <f>IF(F19=0,,H19*(1+F19)*C19-(H19*B19))</f>
        <v>1.4517000000000002</v>
      </c>
      <c r="J19" s="88">
        <f t="shared" si="1"/>
        <v>1.4517000000000002</v>
      </c>
    </row>
    <row r="20" spans="1:10">
      <c r="A20" s="107" t="s">
        <v>102</v>
      </c>
      <c r="B20" s="115">
        <v>0.12</v>
      </c>
      <c r="C20" s="115">
        <v>0.22</v>
      </c>
      <c r="D20" s="109"/>
      <c r="E20" s="109"/>
      <c r="F20" s="109">
        <v>0.54730000000000001</v>
      </c>
      <c r="G20" s="109"/>
      <c r="H20" s="86">
        <f>PREÇOS!G21</f>
        <v>7.5</v>
      </c>
      <c r="I20" s="87">
        <f t="shared" si="0"/>
        <v>1.6530450000000001</v>
      </c>
      <c r="J20" s="88">
        <f t="shared" si="1"/>
        <v>1.6530450000000001</v>
      </c>
    </row>
    <row r="21" spans="1:10">
      <c r="A21" s="107" t="s">
        <v>103</v>
      </c>
      <c r="B21" s="115">
        <v>7.0000000000000007E-2</v>
      </c>
      <c r="C21" s="115">
        <v>0.2</v>
      </c>
      <c r="D21" s="109"/>
      <c r="E21" s="109"/>
      <c r="F21" s="109"/>
      <c r="G21" s="109"/>
      <c r="H21" s="7">
        <f>PREÇOS!G22</f>
        <v>7.05</v>
      </c>
      <c r="I21" s="84">
        <f t="shared" si="0"/>
        <v>0</v>
      </c>
      <c r="J21" s="4">
        <f t="shared" si="1"/>
        <v>0</v>
      </c>
    </row>
    <row r="22" spans="1:10">
      <c r="A22" s="107" t="s">
        <v>104</v>
      </c>
      <c r="B22" s="115">
        <v>7.0000000000000007E-2</v>
      </c>
      <c r="C22" s="115">
        <v>0.17499999999999999</v>
      </c>
      <c r="D22" s="109"/>
      <c r="E22" s="109"/>
      <c r="F22" s="109"/>
      <c r="G22" s="109"/>
      <c r="H22" s="7">
        <f>PREÇOS!G23</f>
        <v>7.05</v>
      </c>
      <c r="I22" s="84">
        <f t="shared" si="0"/>
        <v>0</v>
      </c>
      <c r="J22" s="4">
        <f t="shared" si="1"/>
        <v>0</v>
      </c>
    </row>
    <row r="23" spans="1:10">
      <c r="A23" s="107" t="s">
        <v>105</v>
      </c>
      <c r="B23" s="115">
        <v>7.0000000000000007E-2</v>
      </c>
      <c r="C23" s="115">
        <v>0.2</v>
      </c>
      <c r="D23" s="109"/>
      <c r="E23" s="109"/>
      <c r="F23" s="109"/>
      <c r="G23" s="109"/>
      <c r="H23" s="7">
        <f>PREÇOS!G24</f>
        <v>7.05</v>
      </c>
      <c r="I23" s="84">
        <f t="shared" si="0"/>
        <v>0</v>
      </c>
      <c r="J23" s="4">
        <f t="shared" si="1"/>
        <v>0</v>
      </c>
    </row>
    <row r="24" spans="1:10">
      <c r="A24" s="107" t="s">
        <v>106</v>
      </c>
      <c r="B24" s="115">
        <v>0.12</v>
      </c>
      <c r="C24" s="115">
        <v>0.17</v>
      </c>
      <c r="D24" s="109"/>
      <c r="E24" s="109"/>
      <c r="F24" s="109"/>
      <c r="G24" s="109"/>
      <c r="H24" s="86">
        <f>PREÇOS!G25</f>
        <v>7.5</v>
      </c>
      <c r="I24" s="87">
        <f t="shared" si="0"/>
        <v>0</v>
      </c>
      <c r="J24" s="88">
        <f t="shared" si="1"/>
        <v>0</v>
      </c>
    </row>
    <row r="25" spans="1:10">
      <c r="A25" s="107" t="s">
        <v>107</v>
      </c>
      <c r="B25" s="115">
        <v>0.12</v>
      </c>
      <c r="C25" s="115">
        <v>0.17</v>
      </c>
      <c r="D25" s="109"/>
      <c r="E25" s="109"/>
      <c r="F25" s="109"/>
      <c r="G25" s="109"/>
      <c r="H25" s="86">
        <f>PREÇOS!G26</f>
        <v>7.5</v>
      </c>
      <c r="I25" s="87">
        <f t="shared" si="0"/>
        <v>0</v>
      </c>
      <c r="J25" s="88">
        <f t="shared" si="1"/>
        <v>0</v>
      </c>
    </row>
    <row r="26" spans="1:10">
      <c r="A26" s="107" t="s">
        <v>108</v>
      </c>
      <c r="B26" s="115">
        <v>7.0000000000000007E-2</v>
      </c>
      <c r="C26" s="115">
        <v>0.2</v>
      </c>
      <c r="D26" s="109"/>
      <c r="E26" s="109"/>
      <c r="F26" s="109"/>
      <c r="G26" s="109"/>
      <c r="H26" s="7">
        <f>PREÇOS!G27</f>
        <v>7.05</v>
      </c>
      <c r="I26" s="85">
        <f t="shared" si="0"/>
        <v>0</v>
      </c>
      <c r="J26" s="46">
        <f t="shared" si="1"/>
        <v>0</v>
      </c>
    </row>
    <row r="27" spans="1:10">
      <c r="A27" s="107" t="s">
        <v>109</v>
      </c>
      <c r="B27" s="115">
        <v>0.12</v>
      </c>
      <c r="C27" s="115">
        <v>0.18</v>
      </c>
      <c r="D27" s="109"/>
      <c r="E27" s="109"/>
      <c r="F27" s="109">
        <v>0.46300000000000002</v>
      </c>
      <c r="G27" s="109"/>
      <c r="H27" s="86">
        <f>PREÇOS!G28</f>
        <v>7.5</v>
      </c>
      <c r="I27" s="87">
        <f t="shared" ref="I27:I30" si="2">IF(F27=0,,H27*(1+F27)*C27-(H27*B27))</f>
        <v>1.0750500000000001</v>
      </c>
      <c r="J27" s="88">
        <f t="shared" ref="J27:J30" si="3">IF(G27=0,IF(F27=0,,H27*(1+F27)*C27-(H27*B27)),H27*(1+G27)*C27-(H27*B27))</f>
        <v>1.0750500000000001</v>
      </c>
    </row>
    <row r="28" spans="1:10">
      <c r="A28" s="110" t="s">
        <v>110</v>
      </c>
      <c r="B28" s="90">
        <f>B27</f>
        <v>0.12</v>
      </c>
      <c r="C28" s="90">
        <f t="shared" ref="C28:G28" si="4">C27</f>
        <v>0.18</v>
      </c>
      <c r="D28" s="89">
        <f t="shared" si="4"/>
        <v>0</v>
      </c>
      <c r="E28" s="89">
        <f t="shared" si="4"/>
        <v>0</v>
      </c>
      <c r="F28" s="89">
        <f t="shared" si="4"/>
        <v>0.46300000000000002</v>
      </c>
      <c r="G28" s="89">
        <f t="shared" si="4"/>
        <v>0</v>
      </c>
      <c r="H28" s="105">
        <f>PREÇOS!G29</f>
        <v>7.5</v>
      </c>
      <c r="I28" s="106">
        <f t="shared" si="2"/>
        <v>1.0750500000000001</v>
      </c>
      <c r="J28" s="104">
        <f t="shared" si="3"/>
        <v>1.0750500000000001</v>
      </c>
    </row>
    <row r="29" spans="1:10">
      <c r="A29" s="107" t="s">
        <v>111</v>
      </c>
      <c r="B29" s="115">
        <v>7.0000000000000007E-2</v>
      </c>
      <c r="C29" s="115">
        <v>0.2</v>
      </c>
      <c r="D29" s="109"/>
      <c r="E29" s="109"/>
      <c r="F29" s="109"/>
      <c r="G29" s="109"/>
      <c r="H29" s="7">
        <f>PREÇOS!G30</f>
        <v>7.05</v>
      </c>
      <c r="I29" s="85">
        <f t="shared" si="2"/>
        <v>0</v>
      </c>
      <c r="J29" s="46">
        <f t="shared" si="3"/>
        <v>0</v>
      </c>
    </row>
    <row r="30" spans="1:10">
      <c r="A30" s="3" t="s">
        <v>112</v>
      </c>
      <c r="H30" s="7">
        <f>PREÇOS!G31</f>
        <v>5.9</v>
      </c>
      <c r="I30" s="85">
        <f t="shared" si="2"/>
        <v>0</v>
      </c>
      <c r="J30" s="46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15">
        <v>7.0000000000000007E-2</v>
      </c>
      <c r="C2" s="115">
        <v>0.17</v>
      </c>
      <c r="D2" s="109"/>
      <c r="E2" s="109"/>
      <c r="F2" s="109"/>
      <c r="G2" s="109"/>
      <c r="H2" s="7">
        <f>PREÇOS!J3</f>
        <v>5.7</v>
      </c>
      <c r="I2" s="8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>
      <c r="A3" s="107" t="s">
        <v>86</v>
      </c>
      <c r="B3" s="115">
        <v>7.0000000000000007E-2</v>
      </c>
      <c r="C3" s="115">
        <v>0.2</v>
      </c>
      <c r="D3" s="109"/>
      <c r="E3" s="109"/>
      <c r="F3" s="109">
        <v>0.71</v>
      </c>
      <c r="G3" s="109"/>
      <c r="H3" s="7">
        <f>PREÇOS!J4</f>
        <v>5.7</v>
      </c>
      <c r="I3" s="84">
        <f>IF(F3=0,,H3*(1+F3)*C3-(H3*B3))</f>
        <v>1.5504</v>
      </c>
      <c r="J3" s="4">
        <f t="shared" si="1"/>
        <v>1.5504</v>
      </c>
    </row>
    <row r="4" spans="1:10">
      <c r="A4" s="107" t="s">
        <v>87</v>
      </c>
      <c r="B4" s="115">
        <v>7.0000000000000007E-2</v>
      </c>
      <c r="C4" s="115">
        <v>0.2</v>
      </c>
      <c r="D4" s="109"/>
      <c r="E4" s="109"/>
      <c r="F4" s="109">
        <v>0.55379999999999996</v>
      </c>
      <c r="G4" s="109"/>
      <c r="H4" s="7">
        <f>PREÇOS!J5</f>
        <v>5.7</v>
      </c>
      <c r="I4" s="84">
        <f t="shared" si="0"/>
        <v>1.3723320000000001</v>
      </c>
      <c r="J4" s="4">
        <f t="shared" si="1"/>
        <v>1.3723320000000001</v>
      </c>
    </row>
    <row r="5" spans="1:10">
      <c r="A5" s="107" t="s">
        <v>88</v>
      </c>
      <c r="B5" s="115">
        <v>7.0000000000000007E-2</v>
      </c>
      <c r="C5" s="115">
        <v>0.18</v>
      </c>
      <c r="D5" s="109"/>
      <c r="E5" s="109"/>
      <c r="F5" s="109"/>
      <c r="G5" s="109"/>
      <c r="H5" s="7">
        <f>PREÇOS!J6</f>
        <v>5.7</v>
      </c>
      <c r="I5" s="84">
        <f t="shared" si="0"/>
        <v>0</v>
      </c>
      <c r="J5" s="4">
        <f t="shared" si="1"/>
        <v>0</v>
      </c>
    </row>
    <row r="6" spans="1:10">
      <c r="A6" s="107" t="s">
        <v>89</v>
      </c>
      <c r="B6" s="115">
        <v>7.0000000000000007E-2</v>
      </c>
      <c r="C6" s="115">
        <v>0.19</v>
      </c>
      <c r="D6" s="109"/>
      <c r="E6" s="109"/>
      <c r="F6" s="109"/>
      <c r="G6" s="109"/>
      <c r="H6" s="7">
        <f>PREÇOS!J7</f>
        <v>5.7</v>
      </c>
      <c r="I6" s="84">
        <f t="shared" si="0"/>
        <v>0</v>
      </c>
      <c r="J6" s="4">
        <f t="shared" si="1"/>
        <v>0</v>
      </c>
    </row>
    <row r="7" spans="1:10">
      <c r="A7" s="107" t="s">
        <v>90</v>
      </c>
      <c r="B7" s="115">
        <v>7.0000000000000007E-2</v>
      </c>
      <c r="C7" s="115">
        <v>0.2</v>
      </c>
      <c r="D7" s="109"/>
      <c r="E7" s="109"/>
      <c r="F7" s="109"/>
      <c r="G7" s="109"/>
      <c r="H7" s="7">
        <f>PREÇOS!J8</f>
        <v>5.7</v>
      </c>
      <c r="I7" s="84">
        <f t="shared" si="0"/>
        <v>0</v>
      </c>
      <c r="J7" s="4">
        <f t="shared" si="1"/>
        <v>0</v>
      </c>
    </row>
    <row r="8" spans="1:10">
      <c r="A8" s="107" t="s">
        <v>91</v>
      </c>
      <c r="B8" s="115">
        <v>7.0000000000000007E-2</v>
      </c>
      <c r="C8" s="115">
        <v>0.18</v>
      </c>
      <c r="D8" s="109"/>
      <c r="E8" s="109"/>
      <c r="F8" s="109"/>
      <c r="G8" s="109"/>
      <c r="H8" s="7">
        <f>PREÇOS!J9</f>
        <v>5.7</v>
      </c>
      <c r="I8" s="84">
        <f t="shared" si="0"/>
        <v>0</v>
      </c>
      <c r="J8" s="4">
        <f t="shared" si="1"/>
        <v>0</v>
      </c>
    </row>
    <row r="9" spans="1:10">
      <c r="A9" s="107" t="s">
        <v>92</v>
      </c>
      <c r="B9" s="115">
        <v>7.0000000000000007E-2</v>
      </c>
      <c r="C9" s="115">
        <v>0.17</v>
      </c>
      <c r="D9" s="109"/>
      <c r="E9" s="109"/>
      <c r="F9" s="109"/>
      <c r="G9" s="109"/>
      <c r="H9" s="7">
        <f>PREÇOS!J10</f>
        <v>5.2</v>
      </c>
      <c r="I9" s="84">
        <f t="shared" si="0"/>
        <v>0</v>
      </c>
      <c r="J9" s="4">
        <f t="shared" si="1"/>
        <v>0</v>
      </c>
    </row>
    <row r="10" spans="1:10">
      <c r="A10" s="107" t="s">
        <v>93</v>
      </c>
      <c r="B10" s="115">
        <v>7.0000000000000007E-2</v>
      </c>
      <c r="C10" s="115">
        <v>0.17</v>
      </c>
      <c r="D10" s="109"/>
      <c r="E10" s="109"/>
      <c r="F10" s="109"/>
      <c r="G10" s="109"/>
      <c r="H10" s="7">
        <f>PREÇOS!J11</f>
        <v>5.7</v>
      </c>
      <c r="I10" s="84">
        <f t="shared" si="0"/>
        <v>0</v>
      </c>
      <c r="J10" s="4">
        <f t="shared" si="1"/>
        <v>0</v>
      </c>
    </row>
    <row r="11" spans="1:10">
      <c r="A11" s="107" t="s">
        <v>94</v>
      </c>
      <c r="B11" s="115">
        <v>7.0000000000000007E-2</v>
      </c>
      <c r="C11" s="115">
        <v>0.2</v>
      </c>
      <c r="D11" s="109"/>
      <c r="E11" s="109"/>
      <c r="F11" s="109"/>
      <c r="G11" s="109"/>
      <c r="H11" s="7">
        <f>PREÇOS!J12</f>
        <v>5.7</v>
      </c>
      <c r="I11" s="84">
        <f t="shared" si="0"/>
        <v>0</v>
      </c>
      <c r="J11" s="4">
        <f t="shared" si="1"/>
        <v>0</v>
      </c>
    </row>
    <row r="12" spans="1:10">
      <c r="A12" s="107" t="s">
        <v>95</v>
      </c>
      <c r="B12" s="115">
        <v>0.12</v>
      </c>
      <c r="C12" s="115">
        <v>0.18</v>
      </c>
      <c r="D12" s="109"/>
      <c r="E12" s="109"/>
      <c r="F12" s="109">
        <v>0.44879999999999998</v>
      </c>
      <c r="G12" s="109"/>
      <c r="H12" s="7">
        <f>PREÇOS!J13</f>
        <v>5.5</v>
      </c>
      <c r="I12" s="87">
        <f t="shared" si="0"/>
        <v>0.77431199999999989</v>
      </c>
      <c r="J12" s="88">
        <f t="shared" si="1"/>
        <v>0.77431199999999989</v>
      </c>
    </row>
    <row r="13" spans="1:10">
      <c r="A13" s="107" t="s">
        <v>96</v>
      </c>
      <c r="B13" s="115">
        <v>7.0000000000000007E-2</v>
      </c>
      <c r="C13" s="115">
        <v>0.17</v>
      </c>
      <c r="D13" s="109"/>
      <c r="E13" s="109"/>
      <c r="F13" s="109"/>
      <c r="G13" s="109"/>
      <c r="H13" s="7">
        <f>PREÇOS!J14</f>
        <v>5.7</v>
      </c>
      <c r="I13" s="84">
        <f t="shared" si="0"/>
        <v>0</v>
      </c>
      <c r="J13" s="4">
        <f t="shared" si="1"/>
        <v>0</v>
      </c>
    </row>
    <row r="14" spans="1:10">
      <c r="A14" s="107" t="s">
        <v>97</v>
      </c>
      <c r="B14" s="115">
        <v>7.0000000000000007E-2</v>
      </c>
      <c r="C14" s="115">
        <v>0.17</v>
      </c>
      <c r="D14" s="109"/>
      <c r="E14" s="109"/>
      <c r="F14" s="109">
        <v>0.45519999999999999</v>
      </c>
      <c r="G14" s="109"/>
      <c r="H14" s="7">
        <f>PREÇOS!J15</f>
        <v>5.7</v>
      </c>
      <c r="I14" s="84">
        <f t="shared" si="0"/>
        <v>1.0110888000000002</v>
      </c>
      <c r="J14" s="4">
        <f t="shared" si="1"/>
        <v>1.0110888000000002</v>
      </c>
    </row>
    <row r="15" spans="1:10">
      <c r="A15" s="107" t="s">
        <v>98</v>
      </c>
      <c r="B15" s="115">
        <v>7.0000000000000007E-2</v>
      </c>
      <c r="C15" s="115">
        <v>0.19</v>
      </c>
      <c r="D15" s="109"/>
      <c r="E15" s="109"/>
      <c r="F15" s="109"/>
      <c r="G15" s="109"/>
      <c r="H15" s="7">
        <f>PREÇOS!J16</f>
        <v>5.7</v>
      </c>
      <c r="I15" s="84">
        <f t="shared" si="0"/>
        <v>0</v>
      </c>
      <c r="J15" s="4">
        <f t="shared" si="1"/>
        <v>0</v>
      </c>
    </row>
    <row r="16" spans="1:10">
      <c r="A16" s="107" t="s">
        <v>99</v>
      </c>
      <c r="B16" s="115">
        <v>7.0000000000000007E-2</v>
      </c>
      <c r="C16" s="115">
        <v>0.18</v>
      </c>
      <c r="D16" s="109"/>
      <c r="E16" s="109"/>
      <c r="F16" s="109"/>
      <c r="G16" s="109"/>
      <c r="H16" s="7">
        <f>PREÇOS!J17</f>
        <v>5.7</v>
      </c>
      <c r="I16" s="84">
        <f t="shared" si="0"/>
        <v>0</v>
      </c>
      <c r="J16" s="4">
        <f t="shared" si="1"/>
        <v>0</v>
      </c>
    </row>
    <row r="17" spans="1:10">
      <c r="A17" s="107" t="s">
        <v>100</v>
      </c>
      <c r="B17" s="115">
        <v>7.0000000000000007E-2</v>
      </c>
      <c r="C17" s="115">
        <v>0.18</v>
      </c>
      <c r="D17" s="109"/>
      <c r="E17" s="109"/>
      <c r="F17" s="109"/>
      <c r="G17" s="109"/>
      <c r="H17" s="7">
        <f>PREÇOS!J18</f>
        <v>5.7</v>
      </c>
      <c r="I17" s="84">
        <f t="shared" si="0"/>
        <v>0</v>
      </c>
      <c r="J17" s="4">
        <f t="shared" si="1"/>
        <v>0</v>
      </c>
    </row>
    <row r="18" spans="1:10">
      <c r="A18" s="107" t="s">
        <v>101</v>
      </c>
      <c r="B18" s="115">
        <v>7.0000000000000007E-2</v>
      </c>
      <c r="C18" s="115">
        <v>0.21</v>
      </c>
      <c r="D18" s="109"/>
      <c r="E18" s="109"/>
      <c r="F18" s="109"/>
      <c r="G18" s="109"/>
      <c r="H18" s="7">
        <f>PREÇOS!J19</f>
        <v>5.7</v>
      </c>
      <c r="I18" s="84">
        <f t="shared" si="0"/>
        <v>0</v>
      </c>
      <c r="J18" s="4">
        <f t="shared" si="1"/>
        <v>0</v>
      </c>
    </row>
    <row r="19" spans="1:10">
      <c r="A19" s="107" t="s">
        <v>10</v>
      </c>
      <c r="B19" s="115">
        <v>0.12</v>
      </c>
      <c r="C19" s="115">
        <v>0.19500000000000001</v>
      </c>
      <c r="D19" s="109"/>
      <c r="E19" s="109"/>
      <c r="F19" s="109">
        <v>0.60799999999999998</v>
      </c>
      <c r="G19" s="109"/>
      <c r="H19" s="7">
        <f>PREÇOS!J20</f>
        <v>5.5</v>
      </c>
      <c r="I19" s="87">
        <f>IF(F19=0,,H19*(1+F19)*C19-(H19*B19))</f>
        <v>1.0645800000000003</v>
      </c>
      <c r="J19" s="88">
        <f t="shared" si="1"/>
        <v>1.0645800000000003</v>
      </c>
    </row>
    <row r="20" spans="1:10">
      <c r="A20" s="107" t="s">
        <v>102</v>
      </c>
      <c r="B20" s="115">
        <v>0.12</v>
      </c>
      <c r="C20" s="115">
        <v>0.22</v>
      </c>
      <c r="D20" s="109"/>
      <c r="E20" s="109"/>
      <c r="F20" s="109">
        <v>0.54730000000000001</v>
      </c>
      <c r="G20" s="109"/>
      <c r="H20" s="7">
        <f>PREÇOS!J21</f>
        <v>5.5</v>
      </c>
      <c r="I20" s="87">
        <f t="shared" si="0"/>
        <v>1.2122329999999999</v>
      </c>
      <c r="J20" s="88">
        <f t="shared" si="1"/>
        <v>1.2122329999999999</v>
      </c>
    </row>
    <row r="21" spans="1:10">
      <c r="A21" s="107" t="s">
        <v>103</v>
      </c>
      <c r="B21" s="115">
        <v>7.0000000000000007E-2</v>
      </c>
      <c r="C21" s="115">
        <v>0.2</v>
      </c>
      <c r="D21" s="109"/>
      <c r="E21" s="109"/>
      <c r="F21" s="109"/>
      <c r="G21" s="109"/>
      <c r="H21" s="7">
        <f>PREÇOS!J22</f>
        <v>5.7</v>
      </c>
      <c r="I21" s="84">
        <f t="shared" si="0"/>
        <v>0</v>
      </c>
      <c r="J21" s="4">
        <f t="shared" si="1"/>
        <v>0</v>
      </c>
    </row>
    <row r="22" spans="1:10">
      <c r="A22" s="107" t="s">
        <v>104</v>
      </c>
      <c r="B22" s="115">
        <v>7.0000000000000007E-2</v>
      </c>
      <c r="C22" s="115">
        <v>0.17499999999999999</v>
      </c>
      <c r="D22" s="109"/>
      <c r="E22" s="109"/>
      <c r="F22" s="109"/>
      <c r="G22" s="109"/>
      <c r="H22" s="7">
        <f>PREÇOS!J23</f>
        <v>5.7</v>
      </c>
      <c r="I22" s="84">
        <f t="shared" si="0"/>
        <v>0</v>
      </c>
      <c r="J22" s="4">
        <f t="shared" si="1"/>
        <v>0</v>
      </c>
    </row>
    <row r="23" spans="1:10">
      <c r="A23" s="107" t="s">
        <v>105</v>
      </c>
      <c r="B23" s="115">
        <v>7.0000000000000007E-2</v>
      </c>
      <c r="C23" s="115">
        <v>0.2</v>
      </c>
      <c r="D23" s="109"/>
      <c r="E23" s="109"/>
      <c r="F23" s="109"/>
      <c r="G23" s="109"/>
      <c r="H23" s="7">
        <f>PREÇOS!J24</f>
        <v>5.7</v>
      </c>
      <c r="I23" s="84">
        <f t="shared" si="0"/>
        <v>0</v>
      </c>
      <c r="J23" s="4">
        <f t="shared" si="1"/>
        <v>0</v>
      </c>
    </row>
    <row r="24" spans="1:10">
      <c r="A24" s="107" t="s">
        <v>106</v>
      </c>
      <c r="B24" s="115">
        <v>0.12</v>
      </c>
      <c r="C24" s="115">
        <v>0.17</v>
      </c>
      <c r="D24" s="109"/>
      <c r="E24" s="109"/>
      <c r="F24" s="109"/>
      <c r="G24" s="109"/>
      <c r="H24" s="7">
        <f>PREÇOS!J25</f>
        <v>5.5</v>
      </c>
      <c r="I24" s="87">
        <f t="shared" si="0"/>
        <v>0</v>
      </c>
      <c r="J24" s="88">
        <f t="shared" si="1"/>
        <v>0</v>
      </c>
    </row>
    <row r="25" spans="1:10">
      <c r="A25" s="107" t="s">
        <v>107</v>
      </c>
      <c r="B25" s="115">
        <v>0.12</v>
      </c>
      <c r="C25" s="115">
        <v>0.17</v>
      </c>
      <c r="D25" s="109"/>
      <c r="E25" s="109"/>
      <c r="F25" s="109"/>
      <c r="G25" s="109"/>
      <c r="H25" s="7">
        <f>PREÇOS!J26</f>
        <v>5.5</v>
      </c>
      <c r="I25" s="87">
        <f t="shared" si="0"/>
        <v>0</v>
      </c>
      <c r="J25" s="88">
        <f t="shared" si="1"/>
        <v>0</v>
      </c>
    </row>
    <row r="26" spans="1:10">
      <c r="A26" s="107" t="s">
        <v>108</v>
      </c>
      <c r="B26" s="115">
        <v>7.0000000000000007E-2</v>
      </c>
      <c r="C26" s="115">
        <v>0.2</v>
      </c>
      <c r="D26" s="109"/>
      <c r="E26" s="109"/>
      <c r="F26" s="109"/>
      <c r="G26" s="109"/>
      <c r="H26" s="7">
        <f>PREÇOS!J27</f>
        <v>5.7</v>
      </c>
      <c r="I26" s="85">
        <f t="shared" si="0"/>
        <v>0</v>
      </c>
      <c r="J26" s="46">
        <f t="shared" si="1"/>
        <v>0</v>
      </c>
    </row>
    <row r="27" spans="1:10">
      <c r="A27" s="107" t="s">
        <v>109</v>
      </c>
      <c r="B27" s="115">
        <v>0.12</v>
      </c>
      <c r="C27" s="115">
        <v>0.18</v>
      </c>
      <c r="D27" s="109"/>
      <c r="E27" s="109"/>
      <c r="F27" s="109">
        <v>0.46300000000000002</v>
      </c>
      <c r="G27" s="109"/>
      <c r="H27" s="7">
        <f>PREÇOS!J28</f>
        <v>5.5</v>
      </c>
      <c r="I27" s="87">
        <f t="shared" si="0"/>
        <v>0.78837000000000002</v>
      </c>
      <c r="J27" s="88">
        <f t="shared" si="1"/>
        <v>0.78837000000000002</v>
      </c>
    </row>
    <row r="28" spans="1:10">
      <c r="A28" s="110" t="s">
        <v>110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0.46300000000000002</v>
      </c>
      <c r="G28" s="89">
        <f t="shared" si="2"/>
        <v>0</v>
      </c>
      <c r="H28" s="7">
        <f>PREÇOS!J29</f>
        <v>5.5</v>
      </c>
      <c r="I28" s="106">
        <f t="shared" si="0"/>
        <v>0.78837000000000002</v>
      </c>
      <c r="J28" s="104">
        <f t="shared" si="1"/>
        <v>0.78837000000000002</v>
      </c>
    </row>
    <row r="29" spans="1:10">
      <c r="A29" s="107" t="s">
        <v>111</v>
      </c>
      <c r="B29" s="115">
        <v>7.0000000000000007E-2</v>
      </c>
      <c r="C29" s="115">
        <v>0.2</v>
      </c>
      <c r="D29" s="109"/>
      <c r="E29" s="109"/>
      <c r="F29" s="109"/>
      <c r="G29" s="109"/>
      <c r="H29" s="7">
        <f>PREÇOS!J30</f>
        <v>5.7</v>
      </c>
      <c r="I29" s="85">
        <f t="shared" si="0"/>
        <v>0</v>
      </c>
      <c r="J29" s="46">
        <f t="shared" si="1"/>
        <v>0</v>
      </c>
    </row>
    <row r="30" spans="1:10">
      <c r="A30" s="3" t="s">
        <v>112</v>
      </c>
      <c r="H30" s="7">
        <f>PREÇOS!J31</f>
        <v>4.33</v>
      </c>
      <c r="I30" s="85">
        <f t="shared" si="0"/>
        <v>0</v>
      </c>
      <c r="J30" s="46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15">
        <v>7.0000000000000007E-2</v>
      </c>
      <c r="C2" s="115">
        <v>0.17</v>
      </c>
      <c r="D2" s="109"/>
      <c r="E2" s="109"/>
      <c r="F2" s="109"/>
      <c r="G2" s="109"/>
      <c r="H2" s="7">
        <f>PREÇOS!K3</f>
        <v>4.7</v>
      </c>
      <c r="I2" s="8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>
      <c r="A3" s="107" t="s">
        <v>86</v>
      </c>
      <c r="B3" s="115">
        <v>7.0000000000000007E-2</v>
      </c>
      <c r="C3" s="115">
        <v>0.2</v>
      </c>
      <c r="D3" s="109"/>
      <c r="E3" s="109"/>
      <c r="F3" s="109">
        <v>0.71</v>
      </c>
      <c r="G3" s="109"/>
      <c r="H3" s="7">
        <f>PREÇOS!K4</f>
        <v>4.7</v>
      </c>
      <c r="I3" s="84">
        <f>IF(F3=0,,H3*(1+F3)*C3-(H3*B3))</f>
        <v>1.2784</v>
      </c>
      <c r="J3" s="4">
        <f t="shared" si="1"/>
        <v>1.2784</v>
      </c>
    </row>
    <row r="4" spans="1:10">
      <c r="A4" s="107" t="s">
        <v>87</v>
      </c>
      <c r="B4" s="115">
        <v>7.0000000000000007E-2</v>
      </c>
      <c r="C4" s="115">
        <v>0.2</v>
      </c>
      <c r="D4" s="109"/>
      <c r="E4" s="109"/>
      <c r="F4" s="109">
        <v>0.55379999999999996</v>
      </c>
      <c r="G4" s="109"/>
      <c r="H4" s="7">
        <f>PREÇOS!K5</f>
        <v>4.7</v>
      </c>
      <c r="I4" s="84">
        <f t="shared" si="0"/>
        <v>1.1315719999999998</v>
      </c>
      <c r="J4" s="4">
        <f t="shared" si="1"/>
        <v>1.1315719999999998</v>
      </c>
    </row>
    <row r="5" spans="1:10">
      <c r="A5" s="107" t="s">
        <v>88</v>
      </c>
      <c r="B5" s="115">
        <v>7.0000000000000007E-2</v>
      </c>
      <c r="C5" s="115">
        <v>0.18</v>
      </c>
      <c r="D5" s="109"/>
      <c r="E5" s="109"/>
      <c r="F5" s="109"/>
      <c r="G5" s="109"/>
      <c r="H5" s="7">
        <f>PREÇOS!K6</f>
        <v>4.7</v>
      </c>
      <c r="I5" s="84">
        <f t="shared" si="0"/>
        <v>0</v>
      </c>
      <c r="J5" s="4">
        <f t="shared" si="1"/>
        <v>0</v>
      </c>
    </row>
    <row r="6" spans="1:10">
      <c r="A6" s="107" t="s">
        <v>89</v>
      </c>
      <c r="B6" s="115">
        <v>7.0000000000000007E-2</v>
      </c>
      <c r="C6" s="115">
        <v>0.19</v>
      </c>
      <c r="D6" s="109"/>
      <c r="E6" s="109"/>
      <c r="F6" s="109"/>
      <c r="G6" s="109"/>
      <c r="H6" s="7">
        <f>PREÇOS!K7</f>
        <v>4.7</v>
      </c>
      <c r="I6" s="84">
        <f t="shared" si="0"/>
        <v>0</v>
      </c>
      <c r="J6" s="4">
        <f t="shared" si="1"/>
        <v>0</v>
      </c>
    </row>
    <row r="7" spans="1:10">
      <c r="A7" s="107" t="s">
        <v>90</v>
      </c>
      <c r="B7" s="115">
        <v>7.0000000000000007E-2</v>
      </c>
      <c r="C7" s="115">
        <v>0.2</v>
      </c>
      <c r="D7" s="109"/>
      <c r="E7" s="109"/>
      <c r="F7" s="109"/>
      <c r="G7" s="109"/>
      <c r="H7" s="7">
        <f>PREÇOS!K8</f>
        <v>4.7</v>
      </c>
      <c r="I7" s="84">
        <f t="shared" si="0"/>
        <v>0</v>
      </c>
      <c r="J7" s="4">
        <f t="shared" si="1"/>
        <v>0</v>
      </c>
    </row>
    <row r="8" spans="1:10">
      <c r="A8" s="107" t="s">
        <v>91</v>
      </c>
      <c r="B8" s="115">
        <v>7.0000000000000007E-2</v>
      </c>
      <c r="C8" s="115">
        <v>0.18</v>
      </c>
      <c r="D8" s="109"/>
      <c r="E8" s="109"/>
      <c r="F8" s="109"/>
      <c r="G8" s="109"/>
      <c r="H8" s="7">
        <f>PREÇOS!K9</f>
        <v>4.7</v>
      </c>
      <c r="I8" s="84">
        <f t="shared" si="0"/>
        <v>0</v>
      </c>
      <c r="J8" s="4">
        <f t="shared" si="1"/>
        <v>0</v>
      </c>
    </row>
    <row r="9" spans="1:10">
      <c r="A9" s="107" t="s">
        <v>92</v>
      </c>
      <c r="B9" s="115">
        <v>7.0000000000000007E-2</v>
      </c>
      <c r="C9" s="115">
        <v>0.17</v>
      </c>
      <c r="D9" s="109"/>
      <c r="E9" s="109"/>
      <c r="F9" s="109"/>
      <c r="G9" s="109"/>
      <c r="H9" s="7">
        <f>PREÇOS!K10</f>
        <v>5.2</v>
      </c>
      <c r="I9" s="84">
        <f t="shared" si="0"/>
        <v>0</v>
      </c>
      <c r="J9" s="4">
        <f t="shared" si="1"/>
        <v>0</v>
      </c>
    </row>
    <row r="10" spans="1:10">
      <c r="A10" s="107" t="s">
        <v>93</v>
      </c>
      <c r="B10" s="115">
        <v>7.0000000000000007E-2</v>
      </c>
      <c r="C10" s="115">
        <v>0.17</v>
      </c>
      <c r="D10" s="109"/>
      <c r="E10" s="109"/>
      <c r="F10" s="109"/>
      <c r="G10" s="109"/>
      <c r="H10" s="7">
        <f>PREÇOS!K11</f>
        <v>4.7</v>
      </c>
      <c r="I10" s="84">
        <f t="shared" si="0"/>
        <v>0</v>
      </c>
      <c r="J10" s="4">
        <f t="shared" si="1"/>
        <v>0</v>
      </c>
    </row>
    <row r="11" spans="1:10">
      <c r="A11" s="107" t="s">
        <v>94</v>
      </c>
      <c r="B11" s="115">
        <v>7.0000000000000007E-2</v>
      </c>
      <c r="C11" s="115">
        <v>0.2</v>
      </c>
      <c r="D11" s="109"/>
      <c r="E11" s="109"/>
      <c r="F11" s="109"/>
      <c r="G11" s="109"/>
      <c r="H11" s="7">
        <f>PREÇOS!K12</f>
        <v>4.7</v>
      </c>
      <c r="I11" s="84">
        <f t="shared" si="0"/>
        <v>0</v>
      </c>
      <c r="J11" s="4">
        <f t="shared" si="1"/>
        <v>0</v>
      </c>
    </row>
    <row r="12" spans="1:10">
      <c r="A12" s="107" t="s">
        <v>95</v>
      </c>
      <c r="B12" s="115">
        <v>0.12</v>
      </c>
      <c r="C12" s="115">
        <v>0.18</v>
      </c>
      <c r="D12" s="109"/>
      <c r="E12" s="109"/>
      <c r="F12" s="109">
        <v>0.44879999999999998</v>
      </c>
      <c r="G12" s="109"/>
      <c r="H12" s="7">
        <f>PREÇOS!K13</f>
        <v>5.5</v>
      </c>
      <c r="I12" s="87">
        <f t="shared" si="0"/>
        <v>0.77431199999999989</v>
      </c>
      <c r="J12" s="88">
        <f t="shared" si="1"/>
        <v>0.77431199999999989</v>
      </c>
    </row>
    <row r="13" spans="1:10">
      <c r="A13" s="107" t="s">
        <v>96</v>
      </c>
      <c r="B13" s="115">
        <v>7.0000000000000007E-2</v>
      </c>
      <c r="C13" s="115">
        <v>0.17</v>
      </c>
      <c r="D13" s="109"/>
      <c r="E13" s="109"/>
      <c r="F13" s="109"/>
      <c r="G13" s="109"/>
      <c r="H13" s="7">
        <f>PREÇOS!K14</f>
        <v>4.7</v>
      </c>
      <c r="I13" s="84">
        <f t="shared" si="0"/>
        <v>0</v>
      </c>
      <c r="J13" s="4">
        <f t="shared" si="1"/>
        <v>0</v>
      </c>
    </row>
    <row r="14" spans="1:10">
      <c r="A14" s="107" t="s">
        <v>97</v>
      </c>
      <c r="B14" s="115">
        <v>7.0000000000000007E-2</v>
      </c>
      <c r="C14" s="115">
        <v>0.17</v>
      </c>
      <c r="D14" s="109"/>
      <c r="E14" s="109"/>
      <c r="F14" s="109">
        <v>0.45519999999999999</v>
      </c>
      <c r="G14" s="109"/>
      <c r="H14" s="7">
        <f>PREÇOS!K15</f>
        <v>4.7</v>
      </c>
      <c r="I14" s="84">
        <f t="shared" si="0"/>
        <v>0.83370480000000013</v>
      </c>
      <c r="J14" s="4">
        <f t="shared" si="1"/>
        <v>0.83370480000000013</v>
      </c>
    </row>
    <row r="15" spans="1:10">
      <c r="A15" s="107" t="s">
        <v>98</v>
      </c>
      <c r="B15" s="115">
        <v>7.0000000000000007E-2</v>
      </c>
      <c r="C15" s="115">
        <v>0.19</v>
      </c>
      <c r="D15" s="109"/>
      <c r="E15" s="109"/>
      <c r="F15" s="109"/>
      <c r="G15" s="109"/>
      <c r="H15" s="7">
        <f>PREÇOS!K16</f>
        <v>4.7</v>
      </c>
      <c r="I15" s="84">
        <f t="shared" si="0"/>
        <v>0</v>
      </c>
      <c r="J15" s="4">
        <f t="shared" si="1"/>
        <v>0</v>
      </c>
    </row>
    <row r="16" spans="1:10">
      <c r="A16" s="107" t="s">
        <v>99</v>
      </c>
      <c r="B16" s="115">
        <v>7.0000000000000007E-2</v>
      </c>
      <c r="C16" s="115">
        <v>0.18</v>
      </c>
      <c r="D16" s="109"/>
      <c r="E16" s="109"/>
      <c r="F16" s="109"/>
      <c r="G16" s="109"/>
      <c r="H16" s="7">
        <f>PREÇOS!K17</f>
        <v>4.7</v>
      </c>
      <c r="I16" s="84">
        <f t="shared" si="0"/>
        <v>0</v>
      </c>
      <c r="J16" s="4">
        <f t="shared" si="1"/>
        <v>0</v>
      </c>
    </row>
    <row r="17" spans="1:10">
      <c r="A17" s="107" t="s">
        <v>100</v>
      </c>
      <c r="B17" s="115">
        <v>7.0000000000000007E-2</v>
      </c>
      <c r="C17" s="115">
        <v>0.18</v>
      </c>
      <c r="D17" s="109"/>
      <c r="E17" s="109"/>
      <c r="F17" s="109"/>
      <c r="G17" s="109"/>
      <c r="H17" s="7">
        <f>PREÇOS!K18</f>
        <v>4.7</v>
      </c>
      <c r="I17" s="84">
        <f t="shared" si="0"/>
        <v>0</v>
      </c>
      <c r="J17" s="4">
        <f t="shared" si="1"/>
        <v>0</v>
      </c>
    </row>
    <row r="18" spans="1:10">
      <c r="A18" s="107" t="s">
        <v>101</v>
      </c>
      <c r="B18" s="115">
        <v>7.0000000000000007E-2</v>
      </c>
      <c r="C18" s="115">
        <v>0.21</v>
      </c>
      <c r="D18" s="109"/>
      <c r="E18" s="109"/>
      <c r="F18" s="109"/>
      <c r="G18" s="109"/>
      <c r="H18" s="7">
        <f>PREÇOS!K19</f>
        <v>4.7</v>
      </c>
      <c r="I18" s="84">
        <f t="shared" si="0"/>
        <v>0</v>
      </c>
      <c r="J18" s="4">
        <f t="shared" si="1"/>
        <v>0</v>
      </c>
    </row>
    <row r="19" spans="1:10">
      <c r="A19" s="107" t="s">
        <v>10</v>
      </c>
      <c r="B19" s="115">
        <v>0.12</v>
      </c>
      <c r="C19" s="115">
        <v>0.19500000000000001</v>
      </c>
      <c r="D19" s="109"/>
      <c r="E19" s="109"/>
      <c r="F19" s="109">
        <v>0.60799999999999998</v>
      </c>
      <c r="G19" s="109"/>
      <c r="H19" s="7">
        <f>PREÇOS!K20</f>
        <v>5.5</v>
      </c>
      <c r="I19" s="87">
        <f>IF(F19=0,,H19*(1+F19)*C19-(H19*B19))</f>
        <v>1.0645800000000003</v>
      </c>
      <c r="J19" s="88">
        <f t="shared" si="1"/>
        <v>1.0645800000000003</v>
      </c>
    </row>
    <row r="20" spans="1:10">
      <c r="A20" s="107" t="s">
        <v>102</v>
      </c>
      <c r="B20" s="115">
        <v>0.12</v>
      </c>
      <c r="C20" s="115">
        <v>0.22</v>
      </c>
      <c r="D20" s="109"/>
      <c r="E20" s="109"/>
      <c r="F20" s="109">
        <v>0.54730000000000001</v>
      </c>
      <c r="G20" s="109"/>
      <c r="H20" s="7">
        <f>PREÇOS!K21</f>
        <v>5.5</v>
      </c>
      <c r="I20" s="87">
        <f t="shared" si="0"/>
        <v>1.2122329999999999</v>
      </c>
      <c r="J20" s="88">
        <f t="shared" si="1"/>
        <v>1.2122329999999999</v>
      </c>
    </row>
    <row r="21" spans="1:10">
      <c r="A21" s="107" t="s">
        <v>103</v>
      </c>
      <c r="B21" s="115">
        <v>7.0000000000000007E-2</v>
      </c>
      <c r="C21" s="115">
        <v>0.2</v>
      </c>
      <c r="D21" s="109"/>
      <c r="E21" s="109"/>
      <c r="F21" s="109"/>
      <c r="G21" s="109"/>
      <c r="H21" s="7">
        <f>PREÇOS!K22</f>
        <v>4.7</v>
      </c>
      <c r="I21" s="84">
        <f t="shared" si="0"/>
        <v>0</v>
      </c>
      <c r="J21" s="4">
        <f t="shared" si="1"/>
        <v>0</v>
      </c>
    </row>
    <row r="22" spans="1:10">
      <c r="A22" s="107" t="s">
        <v>104</v>
      </c>
      <c r="B22" s="115">
        <v>7.0000000000000007E-2</v>
      </c>
      <c r="C22" s="115">
        <v>0.17499999999999999</v>
      </c>
      <c r="D22" s="109"/>
      <c r="E22" s="109"/>
      <c r="F22" s="109"/>
      <c r="G22" s="109"/>
      <c r="H22" s="7">
        <f>PREÇOS!K23</f>
        <v>4.7</v>
      </c>
      <c r="I22" s="84">
        <f t="shared" si="0"/>
        <v>0</v>
      </c>
      <c r="J22" s="4">
        <f t="shared" si="1"/>
        <v>0</v>
      </c>
    </row>
    <row r="23" spans="1:10">
      <c r="A23" s="107" t="s">
        <v>105</v>
      </c>
      <c r="B23" s="115">
        <v>7.0000000000000007E-2</v>
      </c>
      <c r="C23" s="115">
        <v>0.2</v>
      </c>
      <c r="D23" s="109"/>
      <c r="E23" s="109"/>
      <c r="F23" s="109"/>
      <c r="G23" s="109"/>
      <c r="H23" s="7">
        <f>PREÇOS!K24</f>
        <v>4.7</v>
      </c>
      <c r="I23" s="84">
        <f t="shared" si="0"/>
        <v>0</v>
      </c>
      <c r="J23" s="4">
        <f t="shared" si="1"/>
        <v>0</v>
      </c>
    </row>
    <row r="24" spans="1:10">
      <c r="A24" s="107" t="s">
        <v>106</v>
      </c>
      <c r="B24" s="115">
        <v>0.12</v>
      </c>
      <c r="C24" s="115">
        <v>0.17</v>
      </c>
      <c r="D24" s="109"/>
      <c r="E24" s="109"/>
      <c r="F24" s="109"/>
      <c r="G24" s="109"/>
      <c r="H24" s="7">
        <f>PREÇOS!K25</f>
        <v>5.5</v>
      </c>
      <c r="I24" s="87">
        <f t="shared" si="0"/>
        <v>0</v>
      </c>
      <c r="J24" s="88">
        <f t="shared" si="1"/>
        <v>0</v>
      </c>
    </row>
    <row r="25" spans="1:10">
      <c r="A25" s="107" t="s">
        <v>107</v>
      </c>
      <c r="B25" s="115">
        <v>0.12</v>
      </c>
      <c r="C25" s="115">
        <v>0.17</v>
      </c>
      <c r="D25" s="109"/>
      <c r="E25" s="109"/>
      <c r="F25" s="109"/>
      <c r="G25" s="109"/>
      <c r="H25" s="7">
        <f>PREÇOS!K26</f>
        <v>5.5</v>
      </c>
      <c r="I25" s="87">
        <f t="shared" si="0"/>
        <v>0</v>
      </c>
      <c r="J25" s="88">
        <f t="shared" si="1"/>
        <v>0</v>
      </c>
    </row>
    <row r="26" spans="1:10">
      <c r="A26" s="107" t="s">
        <v>108</v>
      </c>
      <c r="B26" s="115">
        <v>7.0000000000000007E-2</v>
      </c>
      <c r="C26" s="115">
        <v>0.2</v>
      </c>
      <c r="D26" s="109"/>
      <c r="E26" s="109"/>
      <c r="F26" s="109"/>
      <c r="G26" s="109"/>
      <c r="H26" s="7">
        <f>PREÇOS!K27</f>
        <v>4.7</v>
      </c>
      <c r="I26" s="85">
        <f t="shared" si="0"/>
        <v>0</v>
      </c>
      <c r="J26" s="46">
        <f t="shared" si="1"/>
        <v>0</v>
      </c>
    </row>
    <row r="27" spans="1:10">
      <c r="A27" s="107" t="s">
        <v>109</v>
      </c>
      <c r="B27" s="115">
        <v>0.12</v>
      </c>
      <c r="C27" s="115">
        <v>0.18</v>
      </c>
      <c r="D27" s="109"/>
      <c r="E27" s="109"/>
      <c r="F27" s="109">
        <v>0.46300000000000002</v>
      </c>
      <c r="G27" s="109"/>
      <c r="H27" s="7">
        <f>PREÇOS!K28</f>
        <v>5.5</v>
      </c>
      <c r="I27" s="87">
        <f t="shared" si="0"/>
        <v>0.78837000000000002</v>
      </c>
      <c r="J27" s="88">
        <f t="shared" si="1"/>
        <v>0.78837000000000002</v>
      </c>
    </row>
    <row r="28" spans="1:10">
      <c r="A28" s="110" t="s">
        <v>110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0.46300000000000002</v>
      </c>
      <c r="G28" s="89">
        <f t="shared" si="2"/>
        <v>0</v>
      </c>
      <c r="H28" s="7">
        <f>PREÇOS!K29</f>
        <v>5.5</v>
      </c>
      <c r="I28" s="106">
        <f t="shared" si="0"/>
        <v>0.78837000000000002</v>
      </c>
      <c r="J28" s="104">
        <f t="shared" si="1"/>
        <v>0.78837000000000002</v>
      </c>
    </row>
    <row r="29" spans="1:10">
      <c r="A29" s="107" t="s">
        <v>111</v>
      </c>
      <c r="B29" s="115">
        <v>7.0000000000000007E-2</v>
      </c>
      <c r="C29" s="115">
        <v>0.2</v>
      </c>
      <c r="D29" s="109"/>
      <c r="E29" s="109"/>
      <c r="F29" s="109"/>
      <c r="G29" s="109"/>
      <c r="H29" s="7">
        <f>PREÇOS!K30</f>
        <v>4.7</v>
      </c>
      <c r="I29" s="85">
        <f t="shared" si="0"/>
        <v>0</v>
      </c>
      <c r="J29" s="46">
        <f t="shared" si="1"/>
        <v>0</v>
      </c>
    </row>
    <row r="30" spans="1:10">
      <c r="A30" s="3" t="s">
        <v>112</v>
      </c>
      <c r="H30" s="7">
        <f>PREÇOS!K31</f>
        <v>4.33</v>
      </c>
      <c r="I30" s="85">
        <f t="shared" si="0"/>
        <v>0</v>
      </c>
      <c r="J30" s="46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12" sqref="J12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15">
        <v>7.0000000000000007E-2</v>
      </c>
      <c r="C2" s="115">
        <v>0.17</v>
      </c>
      <c r="D2" s="109"/>
      <c r="E2" s="109"/>
      <c r="F2" s="109"/>
      <c r="G2" s="109"/>
      <c r="H2" s="7">
        <f>PREÇOS!L3</f>
        <v>12</v>
      </c>
      <c r="I2" s="8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>
      <c r="A3" s="107" t="s">
        <v>86</v>
      </c>
      <c r="B3" s="115">
        <v>7.0000000000000007E-2</v>
      </c>
      <c r="C3" s="115">
        <v>0.2</v>
      </c>
      <c r="D3" s="109"/>
      <c r="E3" s="109"/>
      <c r="F3" s="109">
        <v>0.71</v>
      </c>
      <c r="G3" s="109"/>
      <c r="H3" s="7">
        <f>PREÇOS!L4</f>
        <v>12</v>
      </c>
      <c r="I3" s="84">
        <f>IF(F3=0,,H3*(1+F3)*C3-(H3*B3))</f>
        <v>3.2640000000000002</v>
      </c>
      <c r="J3" s="4">
        <f t="shared" si="1"/>
        <v>3.2640000000000002</v>
      </c>
    </row>
    <row r="4" spans="1:10">
      <c r="A4" s="107" t="s">
        <v>87</v>
      </c>
      <c r="B4" s="115">
        <v>7.0000000000000007E-2</v>
      </c>
      <c r="C4" s="115">
        <v>0.2</v>
      </c>
      <c r="D4" s="109"/>
      <c r="E4" s="109"/>
      <c r="F4" s="109">
        <v>0.55379999999999996</v>
      </c>
      <c r="G4" s="109"/>
      <c r="H4" s="7">
        <f>PREÇOS!L5</f>
        <v>12</v>
      </c>
      <c r="I4" s="84">
        <f t="shared" si="0"/>
        <v>2.8891200000000001</v>
      </c>
      <c r="J4" s="4">
        <f t="shared" si="1"/>
        <v>2.8891200000000001</v>
      </c>
    </row>
    <row r="5" spans="1:10">
      <c r="A5" s="107" t="s">
        <v>88</v>
      </c>
      <c r="B5" s="115">
        <v>7.0000000000000007E-2</v>
      </c>
      <c r="C5" s="115">
        <v>0.18</v>
      </c>
      <c r="D5" s="109"/>
      <c r="E5" s="109"/>
      <c r="F5" s="109"/>
      <c r="G5" s="109"/>
      <c r="H5" s="7">
        <f>PREÇOS!L6</f>
        <v>12</v>
      </c>
      <c r="I5" s="84">
        <f t="shared" si="0"/>
        <v>0</v>
      </c>
      <c r="J5" s="4">
        <f t="shared" si="1"/>
        <v>0</v>
      </c>
    </row>
    <row r="6" spans="1:10">
      <c r="A6" s="107" t="s">
        <v>89</v>
      </c>
      <c r="B6" s="115">
        <v>7.0000000000000007E-2</v>
      </c>
      <c r="C6" s="115">
        <v>0.19</v>
      </c>
      <c r="D6" s="109"/>
      <c r="E6" s="109"/>
      <c r="F6" s="109"/>
      <c r="G6" s="109"/>
      <c r="H6" s="7">
        <f>PREÇOS!L7</f>
        <v>12</v>
      </c>
      <c r="I6" s="84">
        <f t="shared" si="0"/>
        <v>0</v>
      </c>
      <c r="J6" s="4">
        <f t="shared" si="1"/>
        <v>0</v>
      </c>
    </row>
    <row r="7" spans="1:10">
      <c r="A7" s="107" t="s">
        <v>90</v>
      </c>
      <c r="B7" s="115">
        <v>7.0000000000000007E-2</v>
      </c>
      <c r="C7" s="115">
        <v>0.2</v>
      </c>
      <c r="D7" s="109"/>
      <c r="E7" s="109"/>
      <c r="F7" s="109"/>
      <c r="G7" s="109"/>
      <c r="H7" s="7">
        <f>PREÇOS!L8</f>
        <v>12</v>
      </c>
      <c r="I7" s="84">
        <f t="shared" si="0"/>
        <v>0</v>
      </c>
      <c r="J7" s="4">
        <f t="shared" si="1"/>
        <v>0</v>
      </c>
    </row>
    <row r="8" spans="1:10">
      <c r="A8" s="107" t="s">
        <v>91</v>
      </c>
      <c r="B8" s="115">
        <v>7.0000000000000007E-2</v>
      </c>
      <c r="C8" s="115">
        <v>0.18</v>
      </c>
      <c r="D8" s="109"/>
      <c r="E8" s="109"/>
      <c r="F8" s="109"/>
      <c r="G8" s="109"/>
      <c r="H8" s="7">
        <f>PREÇOS!L9</f>
        <v>12</v>
      </c>
      <c r="I8" s="84">
        <f t="shared" si="0"/>
        <v>0</v>
      </c>
      <c r="J8" s="4">
        <f t="shared" si="1"/>
        <v>0</v>
      </c>
    </row>
    <row r="9" spans="1:10">
      <c r="A9" s="107" t="s">
        <v>92</v>
      </c>
      <c r="B9" s="115">
        <v>7.0000000000000007E-2</v>
      </c>
      <c r="C9" s="115">
        <v>0.17</v>
      </c>
      <c r="D9" s="109"/>
      <c r="E9" s="109"/>
      <c r="F9" s="109"/>
      <c r="G9" s="109"/>
      <c r="H9" s="7">
        <f>PREÇOS!L10</f>
        <v>12.78</v>
      </c>
      <c r="I9" s="84">
        <f t="shared" si="0"/>
        <v>0</v>
      </c>
      <c r="J9" s="4">
        <f t="shared" si="1"/>
        <v>0</v>
      </c>
    </row>
    <row r="10" spans="1:10">
      <c r="A10" s="107" t="s">
        <v>93</v>
      </c>
      <c r="B10" s="115">
        <v>7.0000000000000007E-2</v>
      </c>
      <c r="C10" s="115">
        <v>0.17</v>
      </c>
      <c r="D10" s="109"/>
      <c r="E10" s="109"/>
      <c r="F10" s="109"/>
      <c r="G10" s="109"/>
      <c r="H10" s="7">
        <f>PREÇOS!L11</f>
        <v>12</v>
      </c>
      <c r="I10" s="84">
        <f t="shared" si="0"/>
        <v>0</v>
      </c>
      <c r="J10" s="4">
        <f t="shared" si="1"/>
        <v>0</v>
      </c>
    </row>
    <row r="11" spans="1:10">
      <c r="A11" s="107" t="s">
        <v>94</v>
      </c>
      <c r="B11" s="115">
        <v>7.0000000000000007E-2</v>
      </c>
      <c r="C11" s="115">
        <v>0.2</v>
      </c>
      <c r="D11" s="109"/>
      <c r="E11" s="109"/>
      <c r="F11" s="109"/>
      <c r="G11" s="109"/>
      <c r="H11" s="7">
        <f>PREÇOS!L12</f>
        <v>12</v>
      </c>
      <c r="I11" s="84">
        <f t="shared" si="0"/>
        <v>0</v>
      </c>
      <c r="J11" s="4">
        <f t="shared" si="1"/>
        <v>0</v>
      </c>
    </row>
    <row r="12" spans="1:10">
      <c r="A12" s="107" t="s">
        <v>95</v>
      </c>
      <c r="B12" s="115">
        <v>0.12</v>
      </c>
      <c r="C12" s="115">
        <v>0.18</v>
      </c>
      <c r="D12" s="109"/>
      <c r="E12" s="109"/>
      <c r="F12" s="109">
        <v>0.44879999999999998</v>
      </c>
      <c r="G12" s="109"/>
      <c r="H12" s="7">
        <f>PREÇOS!L13</f>
        <v>13.5</v>
      </c>
      <c r="I12" s="87">
        <f t="shared" si="0"/>
        <v>1.9005839999999996</v>
      </c>
      <c r="J12" s="88">
        <f t="shared" si="1"/>
        <v>1.9005839999999996</v>
      </c>
    </row>
    <row r="13" spans="1:10">
      <c r="A13" s="107" t="s">
        <v>96</v>
      </c>
      <c r="B13" s="115">
        <v>7.0000000000000007E-2</v>
      </c>
      <c r="C13" s="115">
        <v>0.17</v>
      </c>
      <c r="D13" s="109"/>
      <c r="E13" s="109"/>
      <c r="F13" s="109"/>
      <c r="G13" s="109"/>
      <c r="H13" s="7">
        <f>PREÇOS!L14</f>
        <v>12</v>
      </c>
      <c r="I13" s="84">
        <f t="shared" si="0"/>
        <v>0</v>
      </c>
      <c r="J13" s="4">
        <f t="shared" si="1"/>
        <v>0</v>
      </c>
    </row>
    <row r="14" spans="1:10">
      <c r="A14" s="107" t="s">
        <v>97</v>
      </c>
      <c r="B14" s="115">
        <v>7.0000000000000007E-2</v>
      </c>
      <c r="C14" s="115">
        <v>0.17</v>
      </c>
      <c r="D14" s="109"/>
      <c r="E14" s="109"/>
      <c r="F14" s="109">
        <v>0.45519999999999999</v>
      </c>
      <c r="G14" s="109"/>
      <c r="H14" s="7">
        <f>PREÇOS!L15</f>
        <v>12</v>
      </c>
      <c r="I14" s="84">
        <f t="shared" si="0"/>
        <v>2.1286080000000007</v>
      </c>
      <c r="J14" s="4">
        <f t="shared" si="1"/>
        <v>2.1286080000000007</v>
      </c>
    </row>
    <row r="15" spans="1:10">
      <c r="A15" s="107" t="s">
        <v>98</v>
      </c>
      <c r="B15" s="115">
        <v>7.0000000000000007E-2</v>
      </c>
      <c r="C15" s="115">
        <v>0.19</v>
      </c>
      <c r="D15" s="109"/>
      <c r="E15" s="109"/>
      <c r="F15" s="109"/>
      <c r="G15" s="109"/>
      <c r="H15" s="7">
        <f>PREÇOS!L16</f>
        <v>12</v>
      </c>
      <c r="I15" s="84">
        <f t="shared" si="0"/>
        <v>0</v>
      </c>
      <c r="J15" s="4">
        <f t="shared" si="1"/>
        <v>0</v>
      </c>
    </row>
    <row r="16" spans="1:10">
      <c r="A16" s="107" t="s">
        <v>99</v>
      </c>
      <c r="B16" s="115">
        <v>7.0000000000000007E-2</v>
      </c>
      <c r="C16" s="115">
        <v>0.18</v>
      </c>
      <c r="D16" s="109"/>
      <c r="E16" s="109"/>
      <c r="F16" s="109"/>
      <c r="G16" s="109"/>
      <c r="H16" s="7">
        <f>PREÇOS!L17</f>
        <v>12</v>
      </c>
      <c r="I16" s="84">
        <f t="shared" si="0"/>
        <v>0</v>
      </c>
      <c r="J16" s="4">
        <f t="shared" si="1"/>
        <v>0</v>
      </c>
    </row>
    <row r="17" spans="1:10">
      <c r="A17" s="107" t="s">
        <v>100</v>
      </c>
      <c r="B17" s="115">
        <v>7.0000000000000007E-2</v>
      </c>
      <c r="C17" s="115">
        <v>0.18</v>
      </c>
      <c r="D17" s="109"/>
      <c r="E17" s="109"/>
      <c r="F17" s="109"/>
      <c r="G17" s="109"/>
      <c r="H17" s="7">
        <f>PREÇOS!L18</f>
        <v>12</v>
      </c>
      <c r="I17" s="84">
        <f t="shared" si="0"/>
        <v>0</v>
      </c>
      <c r="J17" s="4">
        <f t="shared" si="1"/>
        <v>0</v>
      </c>
    </row>
    <row r="18" spans="1:10">
      <c r="A18" s="107" t="s">
        <v>101</v>
      </c>
      <c r="B18" s="115">
        <v>7.0000000000000007E-2</v>
      </c>
      <c r="C18" s="115">
        <v>0.21</v>
      </c>
      <c r="D18" s="109"/>
      <c r="E18" s="109"/>
      <c r="F18" s="109"/>
      <c r="G18" s="109"/>
      <c r="H18" s="7">
        <f>PREÇOS!L19</f>
        <v>12</v>
      </c>
      <c r="I18" s="84">
        <f t="shared" si="0"/>
        <v>0</v>
      </c>
      <c r="J18" s="4">
        <f t="shared" si="1"/>
        <v>0</v>
      </c>
    </row>
    <row r="19" spans="1:10">
      <c r="A19" s="107" t="s">
        <v>10</v>
      </c>
      <c r="B19" s="115">
        <v>0.12</v>
      </c>
      <c r="C19" s="115">
        <v>0.19500000000000001</v>
      </c>
      <c r="D19" s="109"/>
      <c r="E19" s="109"/>
      <c r="F19" s="109">
        <v>0.60799999999999998</v>
      </c>
      <c r="G19" s="109"/>
      <c r="H19" s="7">
        <f>PREÇOS!L20</f>
        <v>13.5</v>
      </c>
      <c r="I19" s="87">
        <f>IF(F19=0,,H19*(1+F19)*C19-(H19*B19))</f>
        <v>2.6130600000000008</v>
      </c>
      <c r="J19" s="88">
        <f t="shared" si="1"/>
        <v>2.6130600000000008</v>
      </c>
    </row>
    <row r="20" spans="1:10">
      <c r="A20" s="107" t="s">
        <v>102</v>
      </c>
      <c r="B20" s="115">
        <v>0.12</v>
      </c>
      <c r="C20" s="115">
        <v>0.22</v>
      </c>
      <c r="D20" s="109"/>
      <c r="E20" s="109"/>
      <c r="F20" s="109">
        <v>0.54730000000000001</v>
      </c>
      <c r="G20" s="109"/>
      <c r="H20" s="7">
        <f>PREÇOS!L21</f>
        <v>13.5</v>
      </c>
      <c r="I20" s="87">
        <f t="shared" si="0"/>
        <v>2.9754809999999994</v>
      </c>
      <c r="J20" s="88">
        <f t="shared" si="1"/>
        <v>2.9754809999999994</v>
      </c>
    </row>
    <row r="21" spans="1:10">
      <c r="A21" s="107" t="s">
        <v>103</v>
      </c>
      <c r="B21" s="115">
        <v>7.0000000000000007E-2</v>
      </c>
      <c r="C21" s="115">
        <v>0.2</v>
      </c>
      <c r="D21" s="109"/>
      <c r="E21" s="109"/>
      <c r="F21" s="109"/>
      <c r="G21" s="109"/>
      <c r="H21" s="7">
        <f>PREÇOS!L22</f>
        <v>12</v>
      </c>
      <c r="I21" s="84">
        <f t="shared" si="0"/>
        <v>0</v>
      </c>
      <c r="J21" s="4">
        <f t="shared" si="1"/>
        <v>0</v>
      </c>
    </row>
    <row r="22" spans="1:10">
      <c r="A22" s="107" t="s">
        <v>104</v>
      </c>
      <c r="B22" s="115">
        <v>7.0000000000000007E-2</v>
      </c>
      <c r="C22" s="115">
        <v>0.17499999999999999</v>
      </c>
      <c r="D22" s="109"/>
      <c r="E22" s="109"/>
      <c r="F22" s="109"/>
      <c r="G22" s="109"/>
      <c r="H22" s="7">
        <f>PREÇOS!L23</f>
        <v>12</v>
      </c>
      <c r="I22" s="84">
        <f t="shared" si="0"/>
        <v>0</v>
      </c>
      <c r="J22" s="4">
        <f t="shared" si="1"/>
        <v>0</v>
      </c>
    </row>
    <row r="23" spans="1:10">
      <c r="A23" s="107" t="s">
        <v>105</v>
      </c>
      <c r="B23" s="115">
        <v>7.0000000000000007E-2</v>
      </c>
      <c r="C23" s="115">
        <v>0.2</v>
      </c>
      <c r="D23" s="109"/>
      <c r="E23" s="109"/>
      <c r="F23" s="109"/>
      <c r="G23" s="109"/>
      <c r="H23" s="7">
        <f>PREÇOS!L24</f>
        <v>12</v>
      </c>
      <c r="I23" s="84">
        <f t="shared" si="0"/>
        <v>0</v>
      </c>
      <c r="J23" s="4">
        <f t="shared" si="1"/>
        <v>0</v>
      </c>
    </row>
    <row r="24" spans="1:10">
      <c r="A24" s="107" t="s">
        <v>106</v>
      </c>
      <c r="B24" s="115">
        <v>0.12</v>
      </c>
      <c r="C24" s="115">
        <v>0.17</v>
      </c>
      <c r="D24" s="109"/>
      <c r="E24" s="109"/>
      <c r="F24" s="109"/>
      <c r="G24" s="109"/>
      <c r="H24" s="7">
        <f>PREÇOS!L25</f>
        <v>13.5</v>
      </c>
      <c r="I24" s="87">
        <f t="shared" si="0"/>
        <v>0</v>
      </c>
      <c r="J24" s="88">
        <f t="shared" si="1"/>
        <v>0</v>
      </c>
    </row>
    <row r="25" spans="1:10">
      <c r="A25" s="107" t="s">
        <v>107</v>
      </c>
      <c r="B25" s="115">
        <v>0.12</v>
      </c>
      <c r="C25" s="115">
        <v>0.17</v>
      </c>
      <c r="D25" s="109"/>
      <c r="E25" s="109"/>
      <c r="F25" s="109"/>
      <c r="G25" s="109"/>
      <c r="H25" s="7">
        <f>PREÇOS!L26</f>
        <v>13.5</v>
      </c>
      <c r="I25" s="87">
        <f t="shared" si="0"/>
        <v>0</v>
      </c>
      <c r="J25" s="88">
        <f t="shared" si="1"/>
        <v>0</v>
      </c>
    </row>
    <row r="26" spans="1:10">
      <c r="A26" s="107" t="s">
        <v>108</v>
      </c>
      <c r="B26" s="115">
        <v>7.0000000000000007E-2</v>
      </c>
      <c r="C26" s="115">
        <v>0.2</v>
      </c>
      <c r="D26" s="109"/>
      <c r="E26" s="109"/>
      <c r="F26" s="109"/>
      <c r="G26" s="109"/>
      <c r="H26" s="7">
        <f>PREÇOS!L27</f>
        <v>12</v>
      </c>
      <c r="I26" s="85">
        <f t="shared" si="0"/>
        <v>0</v>
      </c>
      <c r="J26" s="46">
        <f t="shared" si="1"/>
        <v>0</v>
      </c>
    </row>
    <row r="27" spans="1:10">
      <c r="A27" s="107" t="s">
        <v>109</v>
      </c>
      <c r="B27" s="115">
        <v>0.12</v>
      </c>
      <c r="C27" s="115">
        <v>0.18</v>
      </c>
      <c r="D27" s="109"/>
      <c r="E27" s="109"/>
      <c r="F27" s="109">
        <v>0.46300000000000002</v>
      </c>
      <c r="G27" s="109"/>
      <c r="H27" s="7">
        <f>PREÇOS!L28</f>
        <v>13.5</v>
      </c>
      <c r="I27" s="87">
        <f t="shared" si="0"/>
        <v>1.9350900000000004</v>
      </c>
      <c r="J27" s="88">
        <f t="shared" si="1"/>
        <v>1.9350900000000004</v>
      </c>
    </row>
    <row r="28" spans="1:10">
      <c r="A28" s="110" t="s">
        <v>110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0.46300000000000002</v>
      </c>
      <c r="G28" s="89">
        <f t="shared" si="2"/>
        <v>0</v>
      </c>
      <c r="H28" s="7">
        <f>PREÇOS!L29</f>
        <v>13.5</v>
      </c>
      <c r="I28" s="106">
        <f t="shared" si="0"/>
        <v>1.9350900000000004</v>
      </c>
      <c r="J28" s="104">
        <f t="shared" si="1"/>
        <v>1.9350900000000004</v>
      </c>
    </row>
    <row r="29" spans="1:10">
      <c r="A29" s="107" t="s">
        <v>111</v>
      </c>
      <c r="B29" s="115">
        <v>7.0000000000000007E-2</v>
      </c>
      <c r="C29" s="115">
        <v>0.2</v>
      </c>
      <c r="D29" s="109"/>
      <c r="E29" s="109"/>
      <c r="F29" s="109"/>
      <c r="G29" s="109"/>
      <c r="H29" s="7">
        <f>PREÇOS!L30</f>
        <v>12</v>
      </c>
      <c r="I29" s="85">
        <f t="shared" si="0"/>
        <v>0</v>
      </c>
      <c r="J29" s="46">
        <f t="shared" si="1"/>
        <v>0</v>
      </c>
    </row>
    <row r="30" spans="1:10">
      <c r="A30" s="3" t="s">
        <v>112</v>
      </c>
      <c r="H30" s="7">
        <f>PREÇOS!L31</f>
        <v>10.63</v>
      </c>
      <c r="I30" s="85">
        <f t="shared" si="0"/>
        <v>0</v>
      </c>
      <c r="J30" s="46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25AE-8078-4A16-86EB-F8EF0A066107}">
  <dimension ref="A1:J30"/>
  <sheetViews>
    <sheetView showGridLines="0" zoomScale="91" zoomScaleNormal="91" workbookViewId="0">
      <pane xSplit="3" ySplit="1" topLeftCell="D9" activePane="bottomRight" state="frozen"/>
      <selection pane="bottomRight" activeCell="Q7" sqref="Q7:R7"/>
      <selection pane="bottomLeft" activeCell="Q7" sqref="Q7:R7"/>
      <selection pane="topRight" activeCell="Q7" sqref="Q7:R7"/>
    </sheetView>
  </sheetViews>
  <sheetFormatPr defaultRowHeight="14.4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6.85546875" bestFit="1" customWidth="1"/>
    <col min="6" max="6" width="20.5703125" bestFit="1" customWidth="1"/>
    <col min="7" max="7" width="21.5703125" bestFit="1" customWidth="1"/>
    <col min="8" max="8" width="8.5703125" bestFit="1" customWidth="1"/>
    <col min="9" max="9" width="12.5703125" bestFit="1" customWidth="1"/>
    <col min="10" max="10" width="13.5703125" bestFit="1" customWidth="1"/>
  </cols>
  <sheetData>
    <row r="1" spans="1:10" ht="15.6">
      <c r="A1" s="1" t="s">
        <v>75</v>
      </c>
      <c r="B1" s="5" t="s">
        <v>76</v>
      </c>
      <c r="C1" s="5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07" t="s">
        <v>85</v>
      </c>
      <c r="B2" s="115">
        <v>7.0000000000000007E-2</v>
      </c>
      <c r="C2" s="115">
        <v>0.19</v>
      </c>
      <c r="D2" s="109"/>
      <c r="E2" s="109"/>
      <c r="F2" s="109"/>
      <c r="G2" s="109"/>
      <c r="H2" s="49">
        <f>PREÇOS!P3</f>
        <v>6.16</v>
      </c>
      <c r="I2" s="46">
        <f t="shared" ref="I2:I29" si="0">IF(F2=0,,H2*(1+F2)*C2-(H2*B2))</f>
        <v>0</v>
      </c>
      <c r="J2" s="46">
        <f t="shared" ref="J2:J29" si="1">IF(G2=0,IF(F2=0,,H2*(1+F2)*C2-(H2*B2)),H2*(1+G2)*C2-(H2*B2))</f>
        <v>0</v>
      </c>
    </row>
    <row r="3" spans="1:10">
      <c r="A3" s="107" t="s">
        <v>86</v>
      </c>
      <c r="B3" s="115">
        <v>7.0000000000000007E-2</v>
      </c>
      <c r="C3" s="115">
        <v>0.2</v>
      </c>
      <c r="D3" s="109"/>
      <c r="E3" s="109"/>
      <c r="F3" s="109">
        <v>0.51129999999999998</v>
      </c>
      <c r="G3" s="109"/>
      <c r="H3" s="49">
        <f>PREÇOS!P4</f>
        <v>6.16</v>
      </c>
      <c r="I3" s="46">
        <f>IF(F3=0,,H3*(1+F3)*C3-(H3*B3))</f>
        <v>1.4307215999999998</v>
      </c>
      <c r="J3" s="46">
        <f t="shared" si="1"/>
        <v>1.4307215999999998</v>
      </c>
    </row>
    <row r="4" spans="1:10">
      <c r="A4" s="107" t="s">
        <v>87</v>
      </c>
      <c r="B4" s="115">
        <v>7.0000000000000007E-2</v>
      </c>
      <c r="C4" s="115">
        <v>0.2</v>
      </c>
      <c r="D4" s="109"/>
      <c r="E4" s="109"/>
      <c r="F4" s="109"/>
      <c r="G4" s="109"/>
      <c r="H4" s="49">
        <f>PREÇOS!P5</f>
        <v>6.16</v>
      </c>
      <c r="I4" s="46">
        <f t="shared" si="0"/>
        <v>0</v>
      </c>
      <c r="J4" s="46">
        <f t="shared" si="1"/>
        <v>0</v>
      </c>
    </row>
    <row r="5" spans="1:10">
      <c r="A5" s="107" t="s">
        <v>88</v>
      </c>
      <c r="B5" s="115">
        <v>7.0000000000000007E-2</v>
      </c>
      <c r="C5" s="115">
        <v>0.18</v>
      </c>
      <c r="D5" s="109"/>
      <c r="E5" s="109"/>
      <c r="F5" s="109">
        <v>0.51980000000000004</v>
      </c>
      <c r="G5" s="109"/>
      <c r="H5" s="49">
        <f>PREÇOS!P6</f>
        <v>6.16</v>
      </c>
      <c r="I5" s="46">
        <f t="shared" si="0"/>
        <v>1.2539542400000001</v>
      </c>
      <c r="J5" s="46">
        <f t="shared" si="1"/>
        <v>1.2539542400000001</v>
      </c>
    </row>
    <row r="6" spans="1:10">
      <c r="A6" s="107" t="s">
        <v>89</v>
      </c>
      <c r="B6" s="115">
        <v>7.0000000000000007E-2</v>
      </c>
      <c r="C6" s="115">
        <v>0.19</v>
      </c>
      <c r="D6" s="109"/>
      <c r="E6" s="109"/>
      <c r="F6" s="109"/>
      <c r="G6" s="109"/>
      <c r="H6" s="49">
        <f>PREÇOS!P7</f>
        <v>6.16</v>
      </c>
      <c r="I6" s="46">
        <f t="shared" si="0"/>
        <v>0</v>
      </c>
      <c r="J6" s="46">
        <f t="shared" si="1"/>
        <v>0</v>
      </c>
    </row>
    <row r="7" spans="1:10">
      <c r="A7" s="107" t="s">
        <v>90</v>
      </c>
      <c r="B7" s="115">
        <v>7.0000000000000007E-2</v>
      </c>
      <c r="C7" s="115">
        <v>0.2</v>
      </c>
      <c r="D7" s="109"/>
      <c r="E7" s="109"/>
      <c r="F7" s="109"/>
      <c r="G7" s="109"/>
      <c r="H7" s="49">
        <f>PREÇOS!P8</f>
        <v>6.16</v>
      </c>
      <c r="I7" s="46">
        <f t="shared" si="0"/>
        <v>0</v>
      </c>
      <c r="J7" s="46">
        <f t="shared" si="1"/>
        <v>0</v>
      </c>
    </row>
    <row r="8" spans="1:10">
      <c r="A8" s="107" t="s">
        <v>91</v>
      </c>
      <c r="B8" s="115">
        <v>7.0000000000000007E-2</v>
      </c>
      <c r="C8" s="115">
        <v>0.18</v>
      </c>
      <c r="D8" s="109"/>
      <c r="E8" s="109"/>
      <c r="F8" s="109"/>
      <c r="G8" s="109"/>
      <c r="H8" s="49">
        <f>PREÇOS!P9</f>
        <v>6.16</v>
      </c>
      <c r="I8" s="46">
        <f t="shared" si="0"/>
        <v>0</v>
      </c>
      <c r="J8" s="46">
        <f t="shared" si="1"/>
        <v>0</v>
      </c>
    </row>
    <row r="9" spans="1:10">
      <c r="A9" s="107" t="s">
        <v>92</v>
      </c>
      <c r="B9" s="115">
        <v>7.0000000000000007E-2</v>
      </c>
      <c r="C9" s="115">
        <v>0.17</v>
      </c>
      <c r="D9" s="109"/>
      <c r="E9" s="109"/>
      <c r="F9" s="109"/>
      <c r="G9" s="109"/>
      <c r="H9" s="49">
        <f>PREÇOS!P10</f>
        <v>6.16</v>
      </c>
      <c r="I9" s="46">
        <f t="shared" si="0"/>
        <v>0</v>
      </c>
      <c r="J9" s="46">
        <f t="shared" si="1"/>
        <v>0</v>
      </c>
    </row>
    <row r="10" spans="1:10">
      <c r="A10" s="107" t="s">
        <v>93</v>
      </c>
      <c r="B10" s="115">
        <v>7.0000000000000007E-2</v>
      </c>
      <c r="C10" s="115">
        <v>0.17</v>
      </c>
      <c r="D10" s="109"/>
      <c r="E10" s="109"/>
      <c r="F10" s="109"/>
      <c r="G10" s="109"/>
      <c r="H10" s="49">
        <f>PREÇOS!P11</f>
        <v>6.16</v>
      </c>
      <c r="I10" s="46">
        <f t="shared" si="0"/>
        <v>0</v>
      </c>
      <c r="J10" s="46">
        <f t="shared" si="1"/>
        <v>0</v>
      </c>
    </row>
    <row r="11" spans="1:10">
      <c r="A11" s="107" t="s">
        <v>94</v>
      </c>
      <c r="B11" s="115">
        <v>7.0000000000000007E-2</v>
      </c>
      <c r="C11" s="115">
        <v>0.2</v>
      </c>
      <c r="D11" s="109"/>
      <c r="E11" s="109"/>
      <c r="F11" s="109"/>
      <c r="G11" s="109"/>
      <c r="H11" s="49">
        <f>PREÇOS!P12</f>
        <v>6.16</v>
      </c>
      <c r="I11" s="46">
        <f t="shared" si="0"/>
        <v>0</v>
      </c>
      <c r="J11" s="46">
        <f t="shared" si="1"/>
        <v>0</v>
      </c>
    </row>
    <row r="12" spans="1:10">
      <c r="A12" s="107" t="s">
        <v>95</v>
      </c>
      <c r="B12" s="115">
        <v>0.12</v>
      </c>
      <c r="C12" s="115">
        <v>0.12</v>
      </c>
      <c r="D12" s="109"/>
      <c r="E12" s="109"/>
      <c r="F12" s="109">
        <v>0.25</v>
      </c>
      <c r="G12" s="109"/>
      <c r="H12" s="86">
        <f>PREÇOS!P13</f>
        <v>6.5100000000000007</v>
      </c>
      <c r="I12" s="88">
        <f t="shared" si="0"/>
        <v>0.19530000000000014</v>
      </c>
      <c r="J12" s="88">
        <f t="shared" si="1"/>
        <v>0.19530000000000014</v>
      </c>
    </row>
    <row r="13" spans="1:10">
      <c r="A13" s="107" t="s">
        <v>96</v>
      </c>
      <c r="B13" s="115">
        <v>7.0000000000000007E-2</v>
      </c>
      <c r="C13" s="115">
        <v>0.17</v>
      </c>
      <c r="D13" s="109"/>
      <c r="E13" s="109"/>
      <c r="F13" s="109"/>
      <c r="G13" s="109"/>
      <c r="H13" s="49">
        <f>PREÇOS!P14</f>
        <v>6.16</v>
      </c>
      <c r="I13" s="46">
        <f t="shared" si="0"/>
        <v>0</v>
      </c>
      <c r="J13" s="46">
        <f t="shared" si="1"/>
        <v>0</v>
      </c>
    </row>
    <row r="14" spans="1:10">
      <c r="A14" s="107" t="s">
        <v>97</v>
      </c>
      <c r="B14" s="115">
        <v>7.0000000000000007E-2</v>
      </c>
      <c r="C14" s="115">
        <v>0.17</v>
      </c>
      <c r="D14" s="109"/>
      <c r="E14" s="109"/>
      <c r="F14" s="109">
        <v>0.39779999999999999</v>
      </c>
      <c r="G14" s="109"/>
      <c r="H14" s="49">
        <f>PREÇOS!P15</f>
        <v>6.16</v>
      </c>
      <c r="I14" s="46">
        <f t="shared" si="0"/>
        <v>1.0325761600000001</v>
      </c>
      <c r="J14" s="46">
        <f t="shared" si="1"/>
        <v>1.0325761600000001</v>
      </c>
    </row>
    <row r="15" spans="1:10">
      <c r="A15" s="107" t="s">
        <v>98</v>
      </c>
      <c r="B15" s="115">
        <v>7.0000000000000007E-2</v>
      </c>
      <c r="C15" s="115">
        <v>0.19</v>
      </c>
      <c r="D15" s="109"/>
      <c r="E15" s="109"/>
      <c r="F15" s="109"/>
      <c r="G15" s="109"/>
      <c r="H15" s="49">
        <f>PREÇOS!P16</f>
        <v>6.16</v>
      </c>
      <c r="I15" s="46">
        <f t="shared" si="0"/>
        <v>0</v>
      </c>
      <c r="J15" s="46">
        <f t="shared" si="1"/>
        <v>0</v>
      </c>
    </row>
    <row r="16" spans="1:10">
      <c r="A16" s="107" t="s">
        <v>99</v>
      </c>
      <c r="B16" s="115">
        <v>7.0000000000000007E-2</v>
      </c>
      <c r="C16" s="115">
        <v>0.18</v>
      </c>
      <c r="D16" s="109"/>
      <c r="E16" s="109"/>
      <c r="F16" s="109"/>
      <c r="G16" s="109"/>
      <c r="H16" s="49">
        <f>PREÇOS!P17</f>
        <v>6.16</v>
      </c>
      <c r="I16" s="46">
        <f t="shared" si="0"/>
        <v>0</v>
      </c>
      <c r="J16" s="46">
        <f t="shared" si="1"/>
        <v>0</v>
      </c>
    </row>
    <row r="17" spans="1:10">
      <c r="A17" s="107" t="s">
        <v>100</v>
      </c>
      <c r="B17" s="115">
        <v>7.0000000000000007E-2</v>
      </c>
      <c r="C17" s="115">
        <v>0.18</v>
      </c>
      <c r="D17" s="109"/>
      <c r="E17" s="109"/>
      <c r="F17" s="109"/>
      <c r="G17" s="109"/>
      <c r="H17" s="49">
        <f>PREÇOS!P18</f>
        <v>6.16</v>
      </c>
      <c r="I17" s="46">
        <f t="shared" si="0"/>
        <v>0</v>
      </c>
      <c r="J17" s="46">
        <f t="shared" si="1"/>
        <v>0</v>
      </c>
    </row>
    <row r="18" spans="1:10">
      <c r="A18" s="107" t="s">
        <v>101</v>
      </c>
      <c r="B18" s="115">
        <v>7.0000000000000007E-2</v>
      </c>
      <c r="C18" s="115">
        <v>0.21</v>
      </c>
      <c r="D18" s="109"/>
      <c r="E18" s="109"/>
      <c r="F18" s="109"/>
      <c r="G18" s="109"/>
      <c r="H18" s="49">
        <f>PREÇOS!P19</f>
        <v>6.16</v>
      </c>
      <c r="I18" s="46">
        <f t="shared" si="0"/>
        <v>0</v>
      </c>
      <c r="J18" s="46">
        <f t="shared" si="1"/>
        <v>0</v>
      </c>
    </row>
    <row r="19" spans="1:10">
      <c r="A19" s="107" t="s">
        <v>10</v>
      </c>
      <c r="B19" s="115">
        <v>0.12</v>
      </c>
      <c r="C19" s="115">
        <v>0.12</v>
      </c>
      <c r="D19" s="109"/>
      <c r="E19" s="109"/>
      <c r="F19" s="109"/>
      <c r="G19" s="109"/>
      <c r="H19" s="86">
        <f>PREÇOS!P20</f>
        <v>6.5100000000000007</v>
      </c>
      <c r="I19" s="88">
        <f t="shared" si="0"/>
        <v>0</v>
      </c>
      <c r="J19" s="88">
        <f t="shared" si="1"/>
        <v>0</v>
      </c>
    </row>
    <row r="20" spans="1:10">
      <c r="A20" s="110" t="s">
        <v>102</v>
      </c>
      <c r="B20" s="90">
        <v>0.12</v>
      </c>
      <c r="C20" s="90">
        <v>0.22</v>
      </c>
      <c r="D20" s="89"/>
      <c r="E20" s="89"/>
      <c r="F20" s="89">
        <v>0.52529999999999999</v>
      </c>
      <c r="G20" s="89"/>
      <c r="H20" s="86">
        <f>PREÇOS!P21</f>
        <v>6.5100000000000007</v>
      </c>
      <c r="I20" s="88">
        <f t="shared" si="0"/>
        <v>1.4033346600000001</v>
      </c>
      <c r="J20" s="88">
        <f t="shared" si="1"/>
        <v>1.4033346600000001</v>
      </c>
    </row>
    <row r="21" spans="1:10">
      <c r="A21" s="107" t="s">
        <v>103</v>
      </c>
      <c r="B21" s="115">
        <v>7.0000000000000007E-2</v>
      </c>
      <c r="C21" s="115">
        <v>0.2</v>
      </c>
      <c r="D21" s="109"/>
      <c r="E21" s="109"/>
      <c r="F21" s="109"/>
      <c r="G21" s="109"/>
      <c r="H21" s="49">
        <f>PREÇOS!P22</f>
        <v>6.16</v>
      </c>
      <c r="I21" s="46">
        <f t="shared" si="0"/>
        <v>0</v>
      </c>
      <c r="J21" s="46">
        <f t="shared" si="1"/>
        <v>0</v>
      </c>
    </row>
    <row r="22" spans="1:10">
      <c r="A22" s="107" t="s">
        <v>104</v>
      </c>
      <c r="B22" s="115">
        <v>7.0000000000000007E-2</v>
      </c>
      <c r="C22" s="115">
        <v>0.17499999999999999</v>
      </c>
      <c r="D22" s="109"/>
      <c r="E22" s="109"/>
      <c r="F22" s="109"/>
      <c r="G22" s="109"/>
      <c r="H22" s="49">
        <f>PREÇOS!P23</f>
        <v>6.16</v>
      </c>
      <c r="I22" s="46">
        <f t="shared" si="0"/>
        <v>0</v>
      </c>
      <c r="J22" s="46">
        <f t="shared" si="1"/>
        <v>0</v>
      </c>
    </row>
    <row r="23" spans="1:10">
      <c r="A23" s="107" t="s">
        <v>105</v>
      </c>
      <c r="B23" s="115">
        <v>7.0000000000000007E-2</v>
      </c>
      <c r="C23" s="115">
        <v>0.2</v>
      </c>
      <c r="D23" s="109"/>
      <c r="E23" s="109"/>
      <c r="F23" s="109"/>
      <c r="G23" s="109"/>
      <c r="H23" s="49">
        <f>PREÇOS!P24</f>
        <v>6.16</v>
      </c>
      <c r="I23" s="46">
        <f t="shared" si="0"/>
        <v>0</v>
      </c>
      <c r="J23" s="46">
        <f t="shared" si="1"/>
        <v>0</v>
      </c>
    </row>
    <row r="24" spans="1:10">
      <c r="A24" s="107" t="s">
        <v>106</v>
      </c>
      <c r="B24" s="115">
        <v>0.12</v>
      </c>
      <c r="C24" s="115">
        <v>0.17</v>
      </c>
      <c r="D24" s="109"/>
      <c r="E24" s="109"/>
      <c r="F24" s="109"/>
      <c r="G24" s="109"/>
      <c r="H24" s="86">
        <f>PREÇOS!P25</f>
        <v>6.5100000000000007</v>
      </c>
      <c r="I24" s="88">
        <f t="shared" si="0"/>
        <v>0</v>
      </c>
      <c r="J24" s="88">
        <f t="shared" si="1"/>
        <v>0</v>
      </c>
    </row>
    <row r="25" spans="1:10">
      <c r="A25" s="107" t="s">
        <v>107</v>
      </c>
      <c r="B25" s="115">
        <v>0.12</v>
      </c>
      <c r="C25" s="115">
        <v>0.17</v>
      </c>
      <c r="D25" s="109"/>
      <c r="E25" s="109"/>
      <c r="F25" s="109"/>
      <c r="G25" s="109"/>
      <c r="H25" s="86">
        <f>PREÇOS!P26</f>
        <v>6.5100000000000007</v>
      </c>
      <c r="I25" s="88">
        <f t="shared" si="0"/>
        <v>0</v>
      </c>
      <c r="J25" s="88">
        <f t="shared" si="1"/>
        <v>0</v>
      </c>
    </row>
    <row r="26" spans="1:10">
      <c r="A26" s="107" t="s">
        <v>108</v>
      </c>
      <c r="B26" s="115">
        <v>7.0000000000000007E-2</v>
      </c>
      <c r="C26" s="115">
        <v>0.2</v>
      </c>
      <c r="D26" s="109"/>
      <c r="E26" s="109"/>
      <c r="F26" s="109"/>
      <c r="G26" s="109"/>
      <c r="H26" s="49">
        <f>PREÇOS!P27</f>
        <v>6.16</v>
      </c>
      <c r="I26" s="46">
        <f t="shared" si="0"/>
        <v>0</v>
      </c>
      <c r="J26" s="46">
        <f t="shared" si="1"/>
        <v>0</v>
      </c>
    </row>
    <row r="27" spans="1:10">
      <c r="A27" s="107" t="s">
        <v>109</v>
      </c>
      <c r="B27" s="115">
        <v>0.12</v>
      </c>
      <c r="C27" s="115">
        <v>0.18</v>
      </c>
      <c r="D27" s="109">
        <v>0.5917</v>
      </c>
      <c r="E27" s="109"/>
      <c r="F27" s="109">
        <v>0.5917</v>
      </c>
      <c r="G27" s="109"/>
      <c r="H27" s="86">
        <f>PREÇOS!P28</f>
        <v>6.5100000000000007</v>
      </c>
      <c r="I27" s="88">
        <f t="shared" si="0"/>
        <v>1.0839540599999999</v>
      </c>
      <c r="J27" s="88">
        <f t="shared" si="1"/>
        <v>1.0839540599999999</v>
      </c>
    </row>
    <row r="28" spans="1:10">
      <c r="A28" s="107" t="s">
        <v>110</v>
      </c>
      <c r="B28" s="115">
        <f>B27</f>
        <v>0.12</v>
      </c>
      <c r="C28" s="115">
        <f t="shared" ref="C28:G28" si="2">C27</f>
        <v>0.18</v>
      </c>
      <c r="D28" s="109">
        <v>0.48320000000000002</v>
      </c>
      <c r="E28" s="109">
        <f t="shared" si="2"/>
        <v>0</v>
      </c>
      <c r="F28" s="109">
        <v>0.48320000000000002</v>
      </c>
      <c r="G28" s="115">
        <f t="shared" si="2"/>
        <v>0</v>
      </c>
      <c r="H28" s="105">
        <f>PREÇOS!P29</f>
        <v>6.5100000000000007</v>
      </c>
      <c r="I28" s="104">
        <f t="shared" si="0"/>
        <v>0.95681376000000007</v>
      </c>
      <c r="J28" s="104">
        <f t="shared" si="1"/>
        <v>0.95681376000000007</v>
      </c>
    </row>
    <row r="29" spans="1:10">
      <c r="A29" s="107" t="s">
        <v>111</v>
      </c>
      <c r="B29" s="115">
        <v>7.0000000000000007E-2</v>
      </c>
      <c r="C29" s="115">
        <v>0.2</v>
      </c>
      <c r="D29" s="109"/>
      <c r="E29" s="109"/>
      <c r="F29" s="109"/>
      <c r="G29" s="109"/>
      <c r="H29" s="49">
        <f>PREÇOS!P30</f>
        <v>6.16</v>
      </c>
      <c r="I29" s="46">
        <f t="shared" si="0"/>
        <v>0</v>
      </c>
      <c r="J29" s="46">
        <f t="shared" si="1"/>
        <v>0</v>
      </c>
    </row>
    <row r="30" spans="1:10">
      <c r="A30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V34"/>
  <sheetViews>
    <sheetView topLeftCell="I1" zoomScale="85" zoomScaleNormal="85" workbookViewId="0">
      <selection activeCell="O13" sqref="O13:V13"/>
    </sheetView>
  </sheetViews>
  <sheetFormatPr defaultRowHeight="14.45"/>
  <cols>
    <col min="1" max="15" width="18.42578125" customWidth="1"/>
  </cols>
  <sheetData>
    <row r="1" spans="1:22" ht="15.6">
      <c r="A1" s="91" t="s">
        <v>114</v>
      </c>
      <c r="B1" s="92" t="s">
        <v>115</v>
      </c>
      <c r="C1" s="93"/>
      <c r="D1" s="93">
        <v>1.03</v>
      </c>
      <c r="E1" s="93"/>
      <c r="F1" s="93"/>
      <c r="G1" s="116"/>
      <c r="H1" s="93"/>
      <c r="I1" s="93">
        <v>1.1000000000000001</v>
      </c>
      <c r="J1" s="93"/>
      <c r="K1" s="93"/>
      <c r="L1" s="93"/>
      <c r="M1" s="93"/>
      <c r="N1" s="93">
        <v>1.05</v>
      </c>
      <c r="O1" s="93"/>
    </row>
    <row r="2" spans="1:22" ht="31.15">
      <c r="A2" s="94" t="s">
        <v>75</v>
      </c>
      <c r="B2" s="117" t="s">
        <v>116</v>
      </c>
      <c r="C2" s="95" t="s">
        <v>117</v>
      </c>
      <c r="D2" s="95" t="s">
        <v>118</v>
      </c>
      <c r="E2" s="95" t="s">
        <v>119</v>
      </c>
      <c r="F2" s="95" t="s">
        <v>120</v>
      </c>
      <c r="G2" s="118" t="s">
        <v>121</v>
      </c>
      <c r="H2" s="95" t="s">
        <v>122</v>
      </c>
      <c r="I2" s="95" t="s">
        <v>123</v>
      </c>
      <c r="J2" s="118" t="s">
        <v>124</v>
      </c>
      <c r="K2" s="119" t="s">
        <v>125</v>
      </c>
      <c r="L2" s="119" t="s">
        <v>126</v>
      </c>
      <c r="M2" s="1" t="s">
        <v>127</v>
      </c>
      <c r="N2" s="95" t="s">
        <v>128</v>
      </c>
      <c r="O2" s="1" t="s">
        <v>129</v>
      </c>
      <c r="P2" s="1" t="s">
        <v>130</v>
      </c>
      <c r="Q2" s="1" t="s">
        <v>131</v>
      </c>
      <c r="R2" s="1" t="s">
        <v>132</v>
      </c>
      <c r="S2" s="1" t="s">
        <v>133</v>
      </c>
      <c r="T2" s="1" t="s">
        <v>134</v>
      </c>
      <c r="U2" s="1" t="s">
        <v>135</v>
      </c>
      <c r="V2" s="1" t="s">
        <v>136</v>
      </c>
    </row>
    <row r="3" spans="1:22">
      <c r="A3" s="8" t="s">
        <v>85</v>
      </c>
      <c r="B3" s="9">
        <v>5.17</v>
      </c>
      <c r="C3" s="9">
        <v>3.2</v>
      </c>
      <c r="D3" s="9">
        <v>10.876800000000001</v>
      </c>
      <c r="E3" s="9">
        <v>7.19</v>
      </c>
      <c r="F3" s="10">
        <v>9.9499999999999993</v>
      </c>
      <c r="G3" s="10">
        <v>7.05</v>
      </c>
      <c r="H3" s="10">
        <v>6.88</v>
      </c>
      <c r="I3" s="9">
        <v>7.3370000000000006</v>
      </c>
      <c r="J3" s="10">
        <v>5.7</v>
      </c>
      <c r="K3" s="10">
        <v>4.7</v>
      </c>
      <c r="L3" s="10">
        <v>12</v>
      </c>
      <c r="M3" s="6">
        <v>5.17</v>
      </c>
      <c r="N3" s="6">
        <v>11.025</v>
      </c>
      <c r="O3" s="84">
        <f>O$12</f>
        <v>5.5141935483870963</v>
      </c>
      <c r="P3" s="84">
        <f t="shared" ref="P3:R11" si="0">P$12</f>
        <v>6.16</v>
      </c>
      <c r="Q3" s="84">
        <f t="shared" si="0"/>
        <v>3.5270967741935486</v>
      </c>
      <c r="R3" s="84">
        <f t="shared" si="0"/>
        <v>4.1232258064516136</v>
      </c>
      <c r="S3" s="84">
        <f>S$13</f>
        <v>16.8</v>
      </c>
      <c r="T3" s="84">
        <f t="shared" ref="T3:V12" si="1">T$13</f>
        <v>14.700000000000001</v>
      </c>
      <c r="U3" s="84">
        <f t="shared" si="1"/>
        <v>18.900000000000002</v>
      </c>
      <c r="V3" s="84">
        <f t="shared" si="1"/>
        <v>28.654499999999999</v>
      </c>
    </row>
    <row r="4" spans="1:22">
      <c r="A4" s="8" t="s">
        <v>86</v>
      </c>
      <c r="B4" s="9">
        <v>5.17</v>
      </c>
      <c r="C4" s="9">
        <v>3.2</v>
      </c>
      <c r="D4" s="9">
        <v>10.876800000000001</v>
      </c>
      <c r="E4" s="9">
        <v>7.19</v>
      </c>
      <c r="F4" s="10">
        <v>9.9499999999999993</v>
      </c>
      <c r="G4" s="10">
        <v>7.05</v>
      </c>
      <c r="H4" s="10">
        <v>6.88</v>
      </c>
      <c r="I4" s="9">
        <v>7.3370000000000006</v>
      </c>
      <c r="J4" s="10">
        <v>5.7</v>
      </c>
      <c r="K4" s="10">
        <v>4.7</v>
      </c>
      <c r="L4" s="10">
        <v>12</v>
      </c>
      <c r="M4" s="6">
        <v>5.17</v>
      </c>
      <c r="N4" s="6">
        <v>11.025</v>
      </c>
      <c r="O4" s="84">
        <f t="shared" ref="O4:O11" si="2">O$12</f>
        <v>5.5141935483870963</v>
      </c>
      <c r="P4" s="84">
        <f t="shared" si="0"/>
        <v>6.16</v>
      </c>
      <c r="Q4" s="84">
        <f t="shared" si="0"/>
        <v>3.5270967741935486</v>
      </c>
      <c r="R4" s="84">
        <f t="shared" si="0"/>
        <v>4.1232258064516136</v>
      </c>
      <c r="S4" s="84">
        <f t="shared" ref="S4:S12" si="3">S$13</f>
        <v>16.8</v>
      </c>
      <c r="T4" s="84">
        <f t="shared" si="1"/>
        <v>14.700000000000001</v>
      </c>
      <c r="U4" s="84">
        <f t="shared" si="1"/>
        <v>18.900000000000002</v>
      </c>
      <c r="V4" s="84">
        <f t="shared" si="1"/>
        <v>28.654499999999999</v>
      </c>
    </row>
    <row r="5" spans="1:22">
      <c r="A5" s="8" t="s">
        <v>87</v>
      </c>
      <c r="B5" s="9">
        <v>5.17</v>
      </c>
      <c r="C5" s="9">
        <v>3.2</v>
      </c>
      <c r="D5" s="9">
        <v>10.876800000000001</v>
      </c>
      <c r="E5" s="9">
        <v>7.19</v>
      </c>
      <c r="F5" s="10">
        <v>9.9499999999999993</v>
      </c>
      <c r="G5" s="10">
        <v>7.05</v>
      </c>
      <c r="H5" s="10">
        <v>6.88</v>
      </c>
      <c r="I5" s="9">
        <v>7.3370000000000006</v>
      </c>
      <c r="J5" s="10">
        <v>5.7</v>
      </c>
      <c r="K5" s="10">
        <v>4.7</v>
      </c>
      <c r="L5" s="10">
        <v>12</v>
      </c>
      <c r="M5" s="6">
        <v>5.17</v>
      </c>
      <c r="N5" s="6">
        <v>11.025</v>
      </c>
      <c r="O5" s="84">
        <f t="shared" si="2"/>
        <v>5.5141935483870963</v>
      </c>
      <c r="P5" s="84">
        <f t="shared" si="0"/>
        <v>6.16</v>
      </c>
      <c r="Q5" s="84">
        <f t="shared" si="0"/>
        <v>3.5270967741935486</v>
      </c>
      <c r="R5" s="84">
        <f t="shared" si="0"/>
        <v>4.1232258064516136</v>
      </c>
      <c r="S5" s="84">
        <f t="shared" si="3"/>
        <v>16.8</v>
      </c>
      <c r="T5" s="84">
        <f t="shared" si="1"/>
        <v>14.700000000000001</v>
      </c>
      <c r="U5" s="84">
        <f t="shared" si="1"/>
        <v>18.900000000000002</v>
      </c>
      <c r="V5" s="84">
        <f t="shared" si="1"/>
        <v>28.654499999999999</v>
      </c>
    </row>
    <row r="6" spans="1:22">
      <c r="A6" s="8" t="s">
        <v>88</v>
      </c>
      <c r="B6" s="9">
        <v>5.17</v>
      </c>
      <c r="C6" s="9">
        <v>3.2</v>
      </c>
      <c r="D6" s="9">
        <v>10.876800000000001</v>
      </c>
      <c r="E6" s="9">
        <v>7.19</v>
      </c>
      <c r="F6" s="10">
        <v>9.9499999999999993</v>
      </c>
      <c r="G6" s="10">
        <v>7.05</v>
      </c>
      <c r="H6" s="10">
        <v>6.88</v>
      </c>
      <c r="I6" s="9">
        <v>7.3370000000000006</v>
      </c>
      <c r="J6" s="10">
        <v>5.7</v>
      </c>
      <c r="K6" s="10">
        <v>4.7</v>
      </c>
      <c r="L6" s="10">
        <v>12</v>
      </c>
      <c r="M6" s="6">
        <v>5.17</v>
      </c>
      <c r="N6" s="6">
        <v>11.025</v>
      </c>
      <c r="O6" s="84">
        <f t="shared" si="2"/>
        <v>5.5141935483870963</v>
      </c>
      <c r="P6" s="84">
        <f t="shared" si="0"/>
        <v>6.16</v>
      </c>
      <c r="Q6" s="84">
        <f t="shared" si="0"/>
        <v>3.5270967741935486</v>
      </c>
      <c r="R6" s="84">
        <f t="shared" si="0"/>
        <v>4.1232258064516136</v>
      </c>
      <c r="S6" s="84">
        <f t="shared" si="3"/>
        <v>16.8</v>
      </c>
      <c r="T6" s="84">
        <f t="shared" si="1"/>
        <v>14.700000000000001</v>
      </c>
      <c r="U6" s="84">
        <f t="shared" si="1"/>
        <v>18.900000000000002</v>
      </c>
      <c r="V6" s="84">
        <f t="shared" si="1"/>
        <v>28.654499999999999</v>
      </c>
    </row>
    <row r="7" spans="1:22">
      <c r="A7" s="8" t="s">
        <v>89</v>
      </c>
      <c r="B7" s="9">
        <v>5.17</v>
      </c>
      <c r="C7" s="9">
        <v>3.2</v>
      </c>
      <c r="D7" s="9">
        <v>10.876800000000001</v>
      </c>
      <c r="E7" s="9">
        <v>7.19</v>
      </c>
      <c r="F7" s="10">
        <v>9.9499999999999993</v>
      </c>
      <c r="G7" s="10">
        <v>7.05</v>
      </c>
      <c r="H7" s="10">
        <v>6.88</v>
      </c>
      <c r="I7" s="9">
        <v>7.3370000000000006</v>
      </c>
      <c r="J7" s="10">
        <v>5.7</v>
      </c>
      <c r="K7" s="10">
        <v>4.7</v>
      </c>
      <c r="L7" s="10">
        <v>12</v>
      </c>
      <c r="M7" s="6">
        <v>5.17</v>
      </c>
      <c r="N7" s="6">
        <v>11.025</v>
      </c>
      <c r="O7" s="84">
        <f t="shared" si="2"/>
        <v>5.5141935483870963</v>
      </c>
      <c r="P7" s="84">
        <f t="shared" si="0"/>
        <v>6.16</v>
      </c>
      <c r="Q7" s="84">
        <f t="shared" si="0"/>
        <v>3.5270967741935486</v>
      </c>
      <c r="R7" s="84">
        <f t="shared" si="0"/>
        <v>4.1232258064516136</v>
      </c>
      <c r="S7" s="84">
        <f t="shared" si="3"/>
        <v>16.8</v>
      </c>
      <c r="T7" s="84">
        <f t="shared" si="1"/>
        <v>14.700000000000001</v>
      </c>
      <c r="U7" s="84">
        <f t="shared" si="1"/>
        <v>18.900000000000002</v>
      </c>
      <c r="V7" s="84">
        <f t="shared" si="1"/>
        <v>28.654499999999999</v>
      </c>
    </row>
    <row r="8" spans="1:22">
      <c r="A8" s="8" t="s">
        <v>90</v>
      </c>
      <c r="B8" s="9">
        <v>5.17</v>
      </c>
      <c r="C8" s="9">
        <v>3.2</v>
      </c>
      <c r="D8" s="9">
        <v>10.876800000000001</v>
      </c>
      <c r="E8" s="9">
        <v>7.19</v>
      </c>
      <c r="F8" s="10">
        <v>9.9499999999999993</v>
      </c>
      <c r="G8" s="10">
        <v>7.05</v>
      </c>
      <c r="H8" s="10">
        <v>6.88</v>
      </c>
      <c r="I8" s="9">
        <v>7.3370000000000006</v>
      </c>
      <c r="J8" s="10">
        <v>5.7</v>
      </c>
      <c r="K8" s="10">
        <v>4.7</v>
      </c>
      <c r="L8" s="10">
        <v>12</v>
      </c>
      <c r="M8" s="6">
        <v>5.17</v>
      </c>
      <c r="N8" s="6">
        <v>11.025</v>
      </c>
      <c r="O8" s="84">
        <f t="shared" si="2"/>
        <v>5.5141935483870963</v>
      </c>
      <c r="P8" s="84">
        <f t="shared" si="0"/>
        <v>6.16</v>
      </c>
      <c r="Q8" s="84">
        <f t="shared" si="0"/>
        <v>3.5270967741935486</v>
      </c>
      <c r="R8" s="84">
        <f t="shared" si="0"/>
        <v>4.1232258064516136</v>
      </c>
      <c r="S8" s="84">
        <f t="shared" si="3"/>
        <v>16.8</v>
      </c>
      <c r="T8" s="84">
        <f t="shared" si="1"/>
        <v>14.700000000000001</v>
      </c>
      <c r="U8" s="84">
        <f t="shared" si="1"/>
        <v>18.900000000000002</v>
      </c>
      <c r="V8" s="84">
        <f t="shared" si="1"/>
        <v>28.654499999999999</v>
      </c>
    </row>
    <row r="9" spans="1:22">
      <c r="A9" s="8" t="s">
        <v>91</v>
      </c>
      <c r="B9" s="9">
        <v>5.17</v>
      </c>
      <c r="C9" s="9">
        <v>3.2</v>
      </c>
      <c r="D9" s="9">
        <v>10.876800000000001</v>
      </c>
      <c r="E9" s="9">
        <v>7.19</v>
      </c>
      <c r="F9" s="10">
        <v>9.9499999999999993</v>
      </c>
      <c r="G9" s="10">
        <v>7.05</v>
      </c>
      <c r="H9" s="10">
        <v>6.88</v>
      </c>
      <c r="I9" s="9">
        <v>7.3370000000000006</v>
      </c>
      <c r="J9" s="10">
        <v>5.7</v>
      </c>
      <c r="K9" s="10">
        <v>4.7</v>
      </c>
      <c r="L9" s="10">
        <v>12</v>
      </c>
      <c r="M9" s="6">
        <v>5.17</v>
      </c>
      <c r="N9" s="6">
        <v>11.025</v>
      </c>
      <c r="O9" s="84">
        <f t="shared" si="2"/>
        <v>5.5141935483870963</v>
      </c>
      <c r="P9" s="84">
        <f t="shared" si="0"/>
        <v>6.16</v>
      </c>
      <c r="Q9" s="84">
        <f t="shared" si="0"/>
        <v>3.5270967741935486</v>
      </c>
      <c r="R9" s="84">
        <f t="shared" si="0"/>
        <v>4.1232258064516136</v>
      </c>
      <c r="S9" s="84">
        <f t="shared" si="3"/>
        <v>16.8</v>
      </c>
      <c r="T9" s="84">
        <f t="shared" si="1"/>
        <v>14.700000000000001</v>
      </c>
      <c r="U9" s="84">
        <f t="shared" si="1"/>
        <v>18.900000000000002</v>
      </c>
      <c r="V9" s="84">
        <f t="shared" si="1"/>
        <v>28.654499999999999</v>
      </c>
    </row>
    <row r="10" spans="1:22">
      <c r="A10" s="11" t="s">
        <v>92</v>
      </c>
      <c r="B10" s="9">
        <v>5.17</v>
      </c>
      <c r="C10" s="9">
        <v>3.2</v>
      </c>
      <c r="D10" s="9">
        <v>10.876800000000001</v>
      </c>
      <c r="E10" s="9">
        <v>7.19</v>
      </c>
      <c r="F10" s="10">
        <v>9.9499999999999993</v>
      </c>
      <c r="G10" s="10">
        <v>7.05</v>
      </c>
      <c r="H10" s="10">
        <v>6.88</v>
      </c>
      <c r="I10" s="9">
        <v>7.3370000000000006</v>
      </c>
      <c r="J10" s="121">
        <v>5.2</v>
      </c>
      <c r="K10" s="121">
        <v>5.2</v>
      </c>
      <c r="L10" s="121">
        <v>12.78</v>
      </c>
      <c r="M10" s="6">
        <v>5.17</v>
      </c>
      <c r="N10" s="6">
        <v>11.025</v>
      </c>
      <c r="O10" s="84">
        <f t="shared" si="2"/>
        <v>5.5141935483870963</v>
      </c>
      <c r="P10" s="84">
        <f t="shared" si="0"/>
        <v>6.16</v>
      </c>
      <c r="Q10" s="84">
        <f t="shared" si="0"/>
        <v>3.5270967741935486</v>
      </c>
      <c r="R10" s="84">
        <f t="shared" si="0"/>
        <v>4.1232258064516136</v>
      </c>
      <c r="S10" s="84">
        <f t="shared" si="3"/>
        <v>16.8</v>
      </c>
      <c r="T10" s="84">
        <f t="shared" si="1"/>
        <v>14.700000000000001</v>
      </c>
      <c r="U10" s="84">
        <f t="shared" si="1"/>
        <v>18.900000000000002</v>
      </c>
      <c r="V10" s="84">
        <f t="shared" si="1"/>
        <v>28.654499999999999</v>
      </c>
    </row>
    <row r="11" spans="1:22">
      <c r="A11" s="8" t="s">
        <v>93</v>
      </c>
      <c r="B11" s="9">
        <v>5.17</v>
      </c>
      <c r="C11" s="9">
        <v>3.2</v>
      </c>
      <c r="D11" s="9">
        <v>10.876800000000001</v>
      </c>
      <c r="E11" s="9">
        <v>7.19</v>
      </c>
      <c r="F11" s="10">
        <v>9.9499999999999993</v>
      </c>
      <c r="G11" s="10">
        <v>7.05</v>
      </c>
      <c r="H11" s="10">
        <v>6.88</v>
      </c>
      <c r="I11" s="9">
        <v>7.3370000000000006</v>
      </c>
      <c r="J11" s="10">
        <v>5.7</v>
      </c>
      <c r="K11" s="10">
        <v>4.7</v>
      </c>
      <c r="L11" s="10">
        <v>12</v>
      </c>
      <c r="M11" s="6">
        <v>5.17</v>
      </c>
      <c r="N11" s="6">
        <v>11.025</v>
      </c>
      <c r="O11" s="84">
        <f t="shared" si="2"/>
        <v>5.5141935483870963</v>
      </c>
      <c r="P11" s="84">
        <f t="shared" si="0"/>
        <v>6.16</v>
      </c>
      <c r="Q11" s="84">
        <f t="shared" si="0"/>
        <v>3.5270967741935486</v>
      </c>
      <c r="R11" s="84">
        <f t="shared" si="0"/>
        <v>4.1232258064516136</v>
      </c>
      <c r="S11" s="84">
        <f t="shared" si="3"/>
        <v>16.8</v>
      </c>
      <c r="T11" s="84">
        <f t="shared" si="1"/>
        <v>14.700000000000001</v>
      </c>
      <c r="U11" s="84">
        <f t="shared" si="1"/>
        <v>18.900000000000002</v>
      </c>
      <c r="V11" s="84">
        <f t="shared" si="1"/>
        <v>28.654499999999999</v>
      </c>
    </row>
    <row r="12" spans="1:22">
      <c r="A12" s="8" t="s">
        <v>94</v>
      </c>
      <c r="B12" s="9">
        <v>5.17</v>
      </c>
      <c r="C12" s="9">
        <v>3.2</v>
      </c>
      <c r="D12" s="9">
        <v>10.876800000000001</v>
      </c>
      <c r="E12" s="9">
        <v>7.19</v>
      </c>
      <c r="F12" s="10">
        <v>9.9499999999999993</v>
      </c>
      <c r="G12" s="10">
        <v>7.05</v>
      </c>
      <c r="H12" s="10">
        <v>6.88</v>
      </c>
      <c r="I12" s="9">
        <v>7.3370000000000006</v>
      </c>
      <c r="J12" s="10">
        <v>5.7</v>
      </c>
      <c r="K12" s="10">
        <v>4.7</v>
      </c>
      <c r="L12" s="10">
        <v>12</v>
      </c>
      <c r="M12" s="6">
        <v>5.17</v>
      </c>
      <c r="N12" s="6">
        <v>11.025</v>
      </c>
      <c r="O12" s="163">
        <f>O13*0.88/0.93</f>
        <v>5.5141935483870963</v>
      </c>
      <c r="P12" s="163">
        <f t="shared" ref="P12:R12" si="4">P13*0.88/0.93</f>
        <v>6.16</v>
      </c>
      <c r="Q12" s="163">
        <f t="shared" si="4"/>
        <v>3.5270967741935486</v>
      </c>
      <c r="R12" s="163">
        <f t="shared" si="4"/>
        <v>4.1232258064516136</v>
      </c>
      <c r="S12" s="84">
        <f t="shared" si="3"/>
        <v>16.8</v>
      </c>
      <c r="T12" s="84">
        <f t="shared" si="1"/>
        <v>14.700000000000001</v>
      </c>
      <c r="U12" s="84">
        <f t="shared" si="1"/>
        <v>18.900000000000002</v>
      </c>
      <c r="V12" s="84">
        <f t="shared" si="1"/>
        <v>28.654499999999999</v>
      </c>
    </row>
    <row r="13" spans="1:22" s="159" customFormat="1">
      <c r="A13" s="12" t="s">
        <v>95</v>
      </c>
      <c r="B13" s="156">
        <v>5.17</v>
      </c>
      <c r="C13" s="96">
        <v>3.41</v>
      </c>
      <c r="D13" s="156">
        <v>10.876800000000001</v>
      </c>
      <c r="E13" s="96">
        <v>7.67</v>
      </c>
      <c r="F13" s="97">
        <v>10.6</v>
      </c>
      <c r="G13" s="97">
        <v>7.5</v>
      </c>
      <c r="H13" s="97">
        <v>7.35</v>
      </c>
      <c r="I13" s="156">
        <v>7.3370000000000006</v>
      </c>
      <c r="J13" s="97">
        <v>5.5</v>
      </c>
      <c r="K13" s="97">
        <v>5.5</v>
      </c>
      <c r="L13" s="97">
        <v>13.5</v>
      </c>
      <c r="M13" s="97">
        <v>5.17</v>
      </c>
      <c r="N13" s="157">
        <v>11.76</v>
      </c>
      <c r="O13" s="164">
        <v>5.8274999999999997</v>
      </c>
      <c r="P13" s="164">
        <v>6.5100000000000007</v>
      </c>
      <c r="Q13" s="164">
        <v>3.7275</v>
      </c>
      <c r="R13" s="164">
        <v>4.3575000000000008</v>
      </c>
      <c r="S13" s="164">
        <v>16.8</v>
      </c>
      <c r="T13" s="164">
        <v>14.700000000000001</v>
      </c>
      <c r="U13" s="164">
        <v>18.900000000000002</v>
      </c>
      <c r="V13" s="164">
        <v>28.654499999999999</v>
      </c>
    </row>
    <row r="14" spans="1:22">
      <c r="A14" s="8" t="s">
        <v>96</v>
      </c>
      <c r="B14" s="9">
        <v>5.17</v>
      </c>
      <c r="C14" s="9">
        <v>3.2</v>
      </c>
      <c r="D14" s="9">
        <v>10.876800000000001</v>
      </c>
      <c r="E14" s="9">
        <v>7.19</v>
      </c>
      <c r="F14" s="10">
        <v>9.9499999999999993</v>
      </c>
      <c r="G14" s="10">
        <v>7.05</v>
      </c>
      <c r="H14" s="10">
        <v>6.88</v>
      </c>
      <c r="I14" s="9">
        <v>7.3370000000000006</v>
      </c>
      <c r="J14" s="10">
        <v>5.7</v>
      </c>
      <c r="K14" s="10">
        <v>4.7</v>
      </c>
      <c r="L14" s="10">
        <v>12</v>
      </c>
      <c r="M14" s="6">
        <v>5.17</v>
      </c>
      <c r="N14" s="6">
        <v>11.025</v>
      </c>
      <c r="O14" s="84">
        <f t="shared" ref="O14:R19" si="5">O$12</f>
        <v>5.5141935483870963</v>
      </c>
      <c r="P14" s="84">
        <f t="shared" si="5"/>
        <v>6.16</v>
      </c>
      <c r="Q14" s="84">
        <f t="shared" si="5"/>
        <v>3.5270967741935486</v>
      </c>
      <c r="R14" s="84">
        <f t="shared" si="5"/>
        <v>4.1232258064516136</v>
      </c>
      <c r="S14" s="84">
        <f t="shared" ref="S14:V19" si="6">S$13</f>
        <v>16.8</v>
      </c>
      <c r="T14" s="84">
        <f t="shared" si="6"/>
        <v>14.700000000000001</v>
      </c>
      <c r="U14" s="84">
        <f t="shared" si="6"/>
        <v>18.900000000000002</v>
      </c>
      <c r="V14" s="84">
        <f t="shared" si="6"/>
        <v>28.654499999999999</v>
      </c>
    </row>
    <row r="15" spans="1:22">
      <c r="A15" s="8" t="s">
        <v>97</v>
      </c>
      <c r="B15" s="9">
        <v>5.17</v>
      </c>
      <c r="C15" s="9">
        <v>3.2</v>
      </c>
      <c r="D15" s="9">
        <v>10.876800000000001</v>
      </c>
      <c r="E15" s="9">
        <v>7.19</v>
      </c>
      <c r="F15" s="10">
        <v>9.9499999999999993</v>
      </c>
      <c r="G15" s="10">
        <v>7.05</v>
      </c>
      <c r="H15" s="10">
        <v>6.88</v>
      </c>
      <c r="I15" s="9">
        <v>7.3370000000000006</v>
      </c>
      <c r="J15" s="10">
        <v>5.7</v>
      </c>
      <c r="K15" s="10">
        <v>4.7</v>
      </c>
      <c r="L15" s="10">
        <v>12</v>
      </c>
      <c r="M15" s="6">
        <v>5.17</v>
      </c>
      <c r="N15" s="6">
        <v>11.025</v>
      </c>
      <c r="O15" s="84">
        <f t="shared" si="5"/>
        <v>5.5141935483870963</v>
      </c>
      <c r="P15" s="84">
        <f t="shared" si="5"/>
        <v>6.16</v>
      </c>
      <c r="Q15" s="84">
        <f t="shared" si="5"/>
        <v>3.5270967741935486</v>
      </c>
      <c r="R15" s="84">
        <f t="shared" si="5"/>
        <v>4.1232258064516136</v>
      </c>
      <c r="S15" s="84">
        <f t="shared" si="6"/>
        <v>16.8</v>
      </c>
      <c r="T15" s="84">
        <f t="shared" si="6"/>
        <v>14.700000000000001</v>
      </c>
      <c r="U15" s="84">
        <f t="shared" si="6"/>
        <v>18.900000000000002</v>
      </c>
      <c r="V15" s="84">
        <f t="shared" si="6"/>
        <v>28.654499999999999</v>
      </c>
    </row>
    <row r="16" spans="1:22">
      <c r="A16" s="8" t="s">
        <v>98</v>
      </c>
      <c r="B16" s="9">
        <v>5.17</v>
      </c>
      <c r="C16" s="9">
        <v>3.2</v>
      </c>
      <c r="D16" s="9">
        <v>10.876800000000001</v>
      </c>
      <c r="E16" s="9">
        <v>7.19</v>
      </c>
      <c r="F16" s="10">
        <v>9.9499999999999993</v>
      </c>
      <c r="G16" s="10">
        <v>7.05</v>
      </c>
      <c r="H16" s="10">
        <v>6.88</v>
      </c>
      <c r="I16" s="9">
        <v>7.3370000000000006</v>
      </c>
      <c r="J16" s="10">
        <v>5.7</v>
      </c>
      <c r="K16" s="10">
        <v>4.7</v>
      </c>
      <c r="L16" s="10">
        <v>12</v>
      </c>
      <c r="M16" s="6">
        <v>5.17</v>
      </c>
      <c r="N16" s="6">
        <v>11.025</v>
      </c>
      <c r="O16" s="84">
        <f t="shared" si="5"/>
        <v>5.5141935483870963</v>
      </c>
      <c r="P16" s="84">
        <f t="shared" si="5"/>
        <v>6.16</v>
      </c>
      <c r="Q16" s="84">
        <f t="shared" si="5"/>
        <v>3.5270967741935486</v>
      </c>
      <c r="R16" s="84">
        <f t="shared" si="5"/>
        <v>4.1232258064516136</v>
      </c>
      <c r="S16" s="84">
        <f t="shared" si="6"/>
        <v>16.8</v>
      </c>
      <c r="T16" s="84">
        <f t="shared" si="6"/>
        <v>14.700000000000001</v>
      </c>
      <c r="U16" s="84">
        <f t="shared" si="6"/>
        <v>18.900000000000002</v>
      </c>
      <c r="V16" s="84">
        <f t="shared" si="6"/>
        <v>28.654499999999999</v>
      </c>
    </row>
    <row r="17" spans="1:22">
      <c r="A17" s="8" t="s">
        <v>99</v>
      </c>
      <c r="B17" s="9">
        <v>5.17</v>
      </c>
      <c r="C17" s="9">
        <v>3.2</v>
      </c>
      <c r="D17" s="9">
        <v>10.876800000000001</v>
      </c>
      <c r="E17" s="9">
        <v>7.19</v>
      </c>
      <c r="F17" s="10">
        <v>9.9499999999999993</v>
      </c>
      <c r="G17" s="10">
        <v>7.05</v>
      </c>
      <c r="H17" s="10">
        <v>6.88</v>
      </c>
      <c r="I17" s="9">
        <v>7.3370000000000006</v>
      </c>
      <c r="J17" s="10">
        <v>5.7</v>
      </c>
      <c r="K17" s="10">
        <v>4.7</v>
      </c>
      <c r="L17" s="10">
        <v>12</v>
      </c>
      <c r="M17" s="6">
        <v>5.17</v>
      </c>
      <c r="N17" s="6">
        <v>11.025</v>
      </c>
      <c r="O17" s="84">
        <f t="shared" si="5"/>
        <v>5.5141935483870963</v>
      </c>
      <c r="P17" s="84">
        <f t="shared" si="5"/>
        <v>6.16</v>
      </c>
      <c r="Q17" s="84">
        <f t="shared" si="5"/>
        <v>3.5270967741935486</v>
      </c>
      <c r="R17" s="84">
        <f t="shared" si="5"/>
        <v>4.1232258064516136</v>
      </c>
      <c r="S17" s="84">
        <f t="shared" si="6"/>
        <v>16.8</v>
      </c>
      <c r="T17" s="84">
        <f t="shared" si="6"/>
        <v>14.700000000000001</v>
      </c>
      <c r="U17" s="84">
        <f t="shared" si="6"/>
        <v>18.900000000000002</v>
      </c>
      <c r="V17" s="84">
        <f t="shared" si="6"/>
        <v>28.654499999999999</v>
      </c>
    </row>
    <row r="18" spans="1:22">
      <c r="A18" s="8" t="s">
        <v>100</v>
      </c>
      <c r="B18" s="9">
        <v>5.17</v>
      </c>
      <c r="C18" s="9">
        <v>3.2</v>
      </c>
      <c r="D18" s="9">
        <v>10.876800000000001</v>
      </c>
      <c r="E18" s="9">
        <v>7.19</v>
      </c>
      <c r="F18" s="10">
        <v>9.9499999999999993</v>
      </c>
      <c r="G18" s="10">
        <v>7.05</v>
      </c>
      <c r="H18" s="10">
        <v>6.88</v>
      </c>
      <c r="I18" s="9">
        <v>7.3370000000000006</v>
      </c>
      <c r="J18" s="10">
        <v>5.7</v>
      </c>
      <c r="K18" s="10">
        <v>4.7</v>
      </c>
      <c r="L18" s="10">
        <v>12</v>
      </c>
      <c r="M18" s="6">
        <v>5.17</v>
      </c>
      <c r="N18" s="6">
        <v>11.025</v>
      </c>
      <c r="O18" s="84">
        <f t="shared" si="5"/>
        <v>5.5141935483870963</v>
      </c>
      <c r="P18" s="84">
        <f t="shared" si="5"/>
        <v>6.16</v>
      </c>
      <c r="Q18" s="84">
        <f t="shared" si="5"/>
        <v>3.5270967741935486</v>
      </c>
      <c r="R18" s="84">
        <f t="shared" si="5"/>
        <v>4.1232258064516136</v>
      </c>
      <c r="S18" s="84">
        <f t="shared" si="6"/>
        <v>16.8</v>
      </c>
      <c r="T18" s="84">
        <f t="shared" si="6"/>
        <v>14.700000000000001</v>
      </c>
      <c r="U18" s="84">
        <f t="shared" si="6"/>
        <v>18.900000000000002</v>
      </c>
      <c r="V18" s="84">
        <f t="shared" si="6"/>
        <v>28.654499999999999</v>
      </c>
    </row>
    <row r="19" spans="1:22">
      <c r="A19" s="8" t="s">
        <v>101</v>
      </c>
      <c r="B19" s="9">
        <v>5.17</v>
      </c>
      <c r="C19" s="9">
        <v>3.2</v>
      </c>
      <c r="D19" s="9">
        <v>10.876800000000001</v>
      </c>
      <c r="E19" s="9">
        <v>7.19</v>
      </c>
      <c r="F19" s="10">
        <v>9.9499999999999993</v>
      </c>
      <c r="G19" s="10">
        <v>7.05</v>
      </c>
      <c r="H19" s="10">
        <v>6.88</v>
      </c>
      <c r="I19" s="9">
        <v>7.3370000000000006</v>
      </c>
      <c r="J19" s="10">
        <v>5.7</v>
      </c>
      <c r="K19" s="10">
        <v>4.7</v>
      </c>
      <c r="L19" s="10">
        <v>12</v>
      </c>
      <c r="M19" s="6">
        <v>5.17</v>
      </c>
      <c r="N19" s="6">
        <v>11.025</v>
      </c>
      <c r="O19" s="84">
        <f t="shared" si="5"/>
        <v>5.5141935483870963</v>
      </c>
      <c r="P19" s="84">
        <f t="shared" si="5"/>
        <v>6.16</v>
      </c>
      <c r="Q19" s="84">
        <f t="shared" si="5"/>
        <v>3.5270967741935486</v>
      </c>
      <c r="R19" s="84">
        <f t="shared" si="5"/>
        <v>4.1232258064516136</v>
      </c>
      <c r="S19" s="84">
        <f t="shared" si="6"/>
        <v>16.8</v>
      </c>
      <c r="T19" s="84">
        <f t="shared" si="6"/>
        <v>14.700000000000001</v>
      </c>
      <c r="U19" s="84">
        <f t="shared" si="6"/>
        <v>18.900000000000002</v>
      </c>
      <c r="V19" s="84">
        <f t="shared" si="6"/>
        <v>28.654499999999999</v>
      </c>
    </row>
    <row r="20" spans="1:22" s="159" customFormat="1">
      <c r="A20" s="12" t="s">
        <v>10</v>
      </c>
      <c r="B20" s="160">
        <v>5.62</v>
      </c>
      <c r="C20" s="96">
        <v>3.41</v>
      </c>
      <c r="D20" s="160">
        <v>11.917100000000001</v>
      </c>
      <c r="E20" s="96">
        <v>7.67</v>
      </c>
      <c r="F20" s="97">
        <v>10.6</v>
      </c>
      <c r="G20" s="97">
        <v>7.5</v>
      </c>
      <c r="H20" s="97">
        <v>7.35</v>
      </c>
      <c r="I20" s="160">
        <v>7.9750000000000005</v>
      </c>
      <c r="J20" s="97">
        <v>5.5</v>
      </c>
      <c r="K20" s="97">
        <v>5.5</v>
      </c>
      <c r="L20" s="97">
        <v>13.5</v>
      </c>
      <c r="M20" s="97">
        <v>5.62</v>
      </c>
      <c r="N20" s="157">
        <v>11.76</v>
      </c>
      <c r="O20" s="163">
        <f>O$13</f>
        <v>5.8274999999999997</v>
      </c>
      <c r="P20" s="163">
        <f t="shared" ref="P20:V31" si="7">P$13</f>
        <v>6.5100000000000007</v>
      </c>
      <c r="Q20" s="163">
        <f t="shared" si="7"/>
        <v>3.7275</v>
      </c>
      <c r="R20" s="163">
        <f t="shared" si="7"/>
        <v>4.3575000000000008</v>
      </c>
      <c r="S20" s="163">
        <f>S19*0.94/0.88</f>
        <v>17.945454545454545</v>
      </c>
      <c r="T20" s="163">
        <f t="shared" ref="T20:V20" si="8">T19*0.94/0.88</f>
        <v>15.702272727272726</v>
      </c>
      <c r="U20" s="163">
        <f t="shared" si="8"/>
        <v>20.188636363636366</v>
      </c>
      <c r="V20" s="163">
        <f t="shared" si="8"/>
        <v>30.608215909090905</v>
      </c>
    </row>
    <row r="21" spans="1:22" s="159" customFormat="1">
      <c r="A21" s="12" t="s">
        <v>102</v>
      </c>
      <c r="B21" s="156">
        <v>5.17</v>
      </c>
      <c r="C21" s="96">
        <v>3.41</v>
      </c>
      <c r="D21" s="156">
        <v>10.876800000000001</v>
      </c>
      <c r="E21" s="96">
        <v>7.67</v>
      </c>
      <c r="F21" s="97">
        <v>10.6</v>
      </c>
      <c r="G21" s="97">
        <v>7.5</v>
      </c>
      <c r="H21" s="97">
        <v>7.35</v>
      </c>
      <c r="I21" s="156">
        <v>7.3370000000000006</v>
      </c>
      <c r="J21" s="97">
        <v>5.5</v>
      </c>
      <c r="K21" s="97">
        <v>5.5</v>
      </c>
      <c r="L21" s="97">
        <v>13.5</v>
      </c>
      <c r="M21" s="97">
        <v>5.17</v>
      </c>
      <c r="N21" s="157">
        <v>11.76</v>
      </c>
      <c r="O21" s="158">
        <f>O$13</f>
        <v>5.8274999999999997</v>
      </c>
      <c r="P21" s="158">
        <f t="shared" si="7"/>
        <v>6.5100000000000007</v>
      </c>
      <c r="Q21" s="158">
        <f t="shared" si="7"/>
        <v>3.7275</v>
      </c>
      <c r="R21" s="158">
        <f t="shared" si="7"/>
        <v>4.3575000000000008</v>
      </c>
      <c r="S21" s="158">
        <f t="shared" si="7"/>
        <v>16.8</v>
      </c>
      <c r="T21" s="158">
        <f t="shared" si="7"/>
        <v>14.700000000000001</v>
      </c>
      <c r="U21" s="158">
        <f t="shared" si="7"/>
        <v>18.900000000000002</v>
      </c>
      <c r="V21" s="158">
        <f t="shared" si="7"/>
        <v>28.654499999999999</v>
      </c>
    </row>
    <row r="22" spans="1:22">
      <c r="A22" s="8" t="s">
        <v>103</v>
      </c>
      <c r="B22" s="9">
        <v>5.17</v>
      </c>
      <c r="C22" s="9">
        <v>3.2</v>
      </c>
      <c r="D22" s="9">
        <v>10.876800000000001</v>
      </c>
      <c r="E22" s="9">
        <v>7.19</v>
      </c>
      <c r="F22" s="10">
        <v>9.9499999999999993</v>
      </c>
      <c r="G22" s="10">
        <v>7.05</v>
      </c>
      <c r="H22" s="10">
        <v>6.88</v>
      </c>
      <c r="I22" s="9">
        <v>7.3370000000000006</v>
      </c>
      <c r="J22" s="10">
        <v>5.7</v>
      </c>
      <c r="K22" s="10">
        <v>4.7</v>
      </c>
      <c r="L22" s="10">
        <v>12</v>
      </c>
      <c r="M22" s="6">
        <v>5.17</v>
      </c>
      <c r="N22" s="6">
        <v>11.025</v>
      </c>
      <c r="O22" s="84">
        <f t="shared" ref="O22:R24" si="9">O$12</f>
        <v>5.5141935483870963</v>
      </c>
      <c r="P22" s="84">
        <f t="shared" si="9"/>
        <v>6.16</v>
      </c>
      <c r="Q22" s="84">
        <f t="shared" si="9"/>
        <v>3.5270967741935486</v>
      </c>
      <c r="R22" s="84">
        <f t="shared" si="9"/>
        <v>4.1232258064516136</v>
      </c>
      <c r="S22" s="84">
        <f t="shared" si="7"/>
        <v>16.8</v>
      </c>
      <c r="T22" s="84">
        <f t="shared" si="7"/>
        <v>14.700000000000001</v>
      </c>
      <c r="U22" s="84">
        <f t="shared" si="7"/>
        <v>18.900000000000002</v>
      </c>
      <c r="V22" s="84">
        <f t="shared" si="7"/>
        <v>28.654499999999999</v>
      </c>
    </row>
    <row r="23" spans="1:22">
      <c r="A23" s="8" t="s">
        <v>104</v>
      </c>
      <c r="B23" s="9">
        <v>5.17</v>
      </c>
      <c r="C23" s="9">
        <v>3.2</v>
      </c>
      <c r="D23" s="9">
        <v>10.876800000000001</v>
      </c>
      <c r="E23" s="9">
        <v>7.19</v>
      </c>
      <c r="F23" s="10">
        <v>9.9499999999999993</v>
      </c>
      <c r="G23" s="10">
        <v>7.05</v>
      </c>
      <c r="H23" s="10">
        <v>6.88</v>
      </c>
      <c r="I23" s="9">
        <v>7.3370000000000006</v>
      </c>
      <c r="J23" s="10">
        <v>5.7</v>
      </c>
      <c r="K23" s="10">
        <v>4.7</v>
      </c>
      <c r="L23" s="10">
        <v>12</v>
      </c>
      <c r="M23" s="6">
        <v>5.17</v>
      </c>
      <c r="N23" s="6">
        <v>11.025</v>
      </c>
      <c r="O23" s="84">
        <f t="shared" si="9"/>
        <v>5.5141935483870963</v>
      </c>
      <c r="P23" s="84">
        <f t="shared" si="9"/>
        <v>6.16</v>
      </c>
      <c r="Q23" s="84">
        <f t="shared" si="9"/>
        <v>3.5270967741935486</v>
      </c>
      <c r="R23" s="84">
        <f t="shared" si="9"/>
        <v>4.1232258064516136</v>
      </c>
      <c r="S23" s="84">
        <f t="shared" si="7"/>
        <v>16.8</v>
      </c>
      <c r="T23" s="84">
        <f t="shared" si="7"/>
        <v>14.700000000000001</v>
      </c>
      <c r="U23" s="84">
        <f t="shared" si="7"/>
        <v>18.900000000000002</v>
      </c>
      <c r="V23" s="84">
        <f t="shared" si="7"/>
        <v>28.654499999999999</v>
      </c>
    </row>
    <row r="24" spans="1:22">
      <c r="A24" s="8" t="s">
        <v>105</v>
      </c>
      <c r="B24" s="9">
        <v>5.17</v>
      </c>
      <c r="C24" s="9">
        <v>3.2</v>
      </c>
      <c r="D24" s="9">
        <v>10.876800000000001</v>
      </c>
      <c r="E24" s="9">
        <v>7.19</v>
      </c>
      <c r="F24" s="10">
        <v>9.9499999999999993</v>
      </c>
      <c r="G24" s="10">
        <v>7.05</v>
      </c>
      <c r="H24" s="10">
        <v>6.88</v>
      </c>
      <c r="I24" s="9">
        <v>7.3370000000000006</v>
      </c>
      <c r="J24" s="10">
        <v>5.7</v>
      </c>
      <c r="K24" s="10">
        <v>4.7</v>
      </c>
      <c r="L24" s="10">
        <v>12</v>
      </c>
      <c r="M24" s="6">
        <v>5.17</v>
      </c>
      <c r="N24" s="6">
        <v>11.025</v>
      </c>
      <c r="O24" s="84">
        <f t="shared" si="9"/>
        <v>5.5141935483870963</v>
      </c>
      <c r="P24" s="84">
        <f t="shared" si="9"/>
        <v>6.16</v>
      </c>
      <c r="Q24" s="84">
        <f t="shared" si="9"/>
        <v>3.5270967741935486</v>
      </c>
      <c r="R24" s="84">
        <f t="shared" si="9"/>
        <v>4.1232258064516136</v>
      </c>
      <c r="S24" s="84">
        <f t="shared" si="7"/>
        <v>16.8</v>
      </c>
      <c r="T24" s="84">
        <f t="shared" si="7"/>
        <v>14.700000000000001</v>
      </c>
      <c r="U24" s="84">
        <f t="shared" si="7"/>
        <v>18.900000000000002</v>
      </c>
      <c r="V24" s="84">
        <f t="shared" si="7"/>
        <v>28.654499999999999</v>
      </c>
    </row>
    <row r="25" spans="1:22" s="159" customFormat="1">
      <c r="A25" s="12" t="s">
        <v>106</v>
      </c>
      <c r="B25" s="156">
        <v>5.17</v>
      </c>
      <c r="C25" s="96">
        <v>3.41</v>
      </c>
      <c r="D25" s="156">
        <v>10.876800000000001</v>
      </c>
      <c r="E25" s="96">
        <v>7.67</v>
      </c>
      <c r="F25" s="97">
        <v>10.6</v>
      </c>
      <c r="G25" s="97">
        <v>7.5</v>
      </c>
      <c r="H25" s="97">
        <v>7.35</v>
      </c>
      <c r="I25" s="156">
        <v>7.3370000000000006</v>
      </c>
      <c r="J25" s="97">
        <v>5.5</v>
      </c>
      <c r="K25" s="97">
        <v>5.5</v>
      </c>
      <c r="L25" s="97">
        <v>13.5</v>
      </c>
      <c r="M25" s="97">
        <v>5.17</v>
      </c>
      <c r="N25" s="157">
        <v>11.76</v>
      </c>
      <c r="O25" s="158">
        <f t="shared" ref="O25:R26" si="10">O$13</f>
        <v>5.8274999999999997</v>
      </c>
      <c r="P25" s="158">
        <f t="shared" si="10"/>
        <v>6.5100000000000007</v>
      </c>
      <c r="Q25" s="158">
        <f t="shared" si="10"/>
        <v>3.7275</v>
      </c>
      <c r="R25" s="158">
        <f t="shared" si="10"/>
        <v>4.3575000000000008</v>
      </c>
      <c r="S25" s="158">
        <f t="shared" si="7"/>
        <v>16.8</v>
      </c>
      <c r="T25" s="158">
        <f t="shared" si="7"/>
        <v>14.700000000000001</v>
      </c>
      <c r="U25" s="158">
        <f t="shared" si="7"/>
        <v>18.900000000000002</v>
      </c>
      <c r="V25" s="158">
        <f t="shared" si="7"/>
        <v>28.654499999999999</v>
      </c>
    </row>
    <row r="26" spans="1:22" s="159" customFormat="1">
      <c r="A26" s="12" t="s">
        <v>107</v>
      </c>
      <c r="B26" s="156">
        <v>5.17</v>
      </c>
      <c r="C26" s="96">
        <v>3.41</v>
      </c>
      <c r="D26" s="156">
        <v>10.876800000000001</v>
      </c>
      <c r="E26" s="96">
        <v>7.67</v>
      </c>
      <c r="F26" s="97">
        <v>10.6</v>
      </c>
      <c r="G26" s="97">
        <v>7.5</v>
      </c>
      <c r="H26" s="97">
        <v>7.35</v>
      </c>
      <c r="I26" s="156">
        <v>7.3370000000000006</v>
      </c>
      <c r="J26" s="97">
        <v>5.5</v>
      </c>
      <c r="K26" s="97">
        <v>5.5</v>
      </c>
      <c r="L26" s="97">
        <v>13.5</v>
      </c>
      <c r="M26" s="97">
        <v>5.17</v>
      </c>
      <c r="N26" s="157">
        <v>11.76</v>
      </c>
      <c r="O26" s="158">
        <f t="shared" si="10"/>
        <v>5.8274999999999997</v>
      </c>
      <c r="P26" s="158">
        <f t="shared" si="10"/>
        <v>6.5100000000000007</v>
      </c>
      <c r="Q26" s="158">
        <f t="shared" si="10"/>
        <v>3.7275</v>
      </c>
      <c r="R26" s="158">
        <f t="shared" si="10"/>
        <v>4.3575000000000008</v>
      </c>
      <c r="S26" s="158">
        <f t="shared" si="7"/>
        <v>16.8</v>
      </c>
      <c r="T26" s="158">
        <f t="shared" si="7"/>
        <v>14.700000000000001</v>
      </c>
      <c r="U26" s="158">
        <f t="shared" si="7"/>
        <v>18.900000000000002</v>
      </c>
      <c r="V26" s="158">
        <f t="shared" si="7"/>
        <v>28.654499999999999</v>
      </c>
    </row>
    <row r="27" spans="1:22">
      <c r="A27" s="8" t="s">
        <v>108</v>
      </c>
      <c r="B27" s="9">
        <v>5.17</v>
      </c>
      <c r="C27" s="9">
        <v>3.2</v>
      </c>
      <c r="D27" s="9">
        <v>10.876800000000001</v>
      </c>
      <c r="E27" s="9">
        <v>7.19</v>
      </c>
      <c r="F27" s="10">
        <v>9.9499999999999993</v>
      </c>
      <c r="G27" s="10">
        <v>7.05</v>
      </c>
      <c r="H27" s="10">
        <v>6.88</v>
      </c>
      <c r="I27" s="9">
        <v>7.3370000000000006</v>
      </c>
      <c r="J27" s="10">
        <v>5.7</v>
      </c>
      <c r="K27" s="10">
        <v>4.7</v>
      </c>
      <c r="L27" s="10">
        <v>12</v>
      </c>
      <c r="M27" s="6">
        <v>5.17</v>
      </c>
      <c r="N27" s="6">
        <v>11.025</v>
      </c>
      <c r="O27" s="84">
        <f t="shared" ref="O27:R27" si="11">O$12</f>
        <v>5.5141935483870963</v>
      </c>
      <c r="P27" s="84">
        <f t="shared" si="11"/>
        <v>6.16</v>
      </c>
      <c r="Q27" s="84">
        <f t="shared" si="11"/>
        <v>3.5270967741935486</v>
      </c>
      <c r="R27" s="84">
        <f t="shared" si="11"/>
        <v>4.1232258064516136</v>
      </c>
      <c r="S27" s="84">
        <f t="shared" si="7"/>
        <v>16.8</v>
      </c>
      <c r="T27" s="84">
        <f t="shared" si="7"/>
        <v>14.700000000000001</v>
      </c>
      <c r="U27" s="84">
        <f t="shared" si="7"/>
        <v>18.900000000000002</v>
      </c>
      <c r="V27" s="84">
        <f t="shared" si="7"/>
        <v>28.654499999999999</v>
      </c>
    </row>
    <row r="28" spans="1:22" s="159" customFormat="1">
      <c r="A28" s="12" t="s">
        <v>109</v>
      </c>
      <c r="B28" s="156">
        <v>5.17</v>
      </c>
      <c r="C28" s="96">
        <v>3.41</v>
      </c>
      <c r="D28" s="156">
        <v>10.876800000000001</v>
      </c>
      <c r="E28" s="96">
        <v>7.67</v>
      </c>
      <c r="F28" s="97">
        <v>10.6</v>
      </c>
      <c r="G28" s="97">
        <v>7.5</v>
      </c>
      <c r="H28" s="97">
        <v>7.35</v>
      </c>
      <c r="I28" s="156">
        <v>7.3370000000000006</v>
      </c>
      <c r="J28" s="97">
        <v>5.5</v>
      </c>
      <c r="K28" s="97">
        <v>5.5</v>
      </c>
      <c r="L28" s="97">
        <v>13.5</v>
      </c>
      <c r="M28" s="97">
        <v>5.17</v>
      </c>
      <c r="N28" s="157">
        <v>11.76</v>
      </c>
      <c r="O28" s="158">
        <f t="shared" ref="O28:R29" si="12">O$13</f>
        <v>5.8274999999999997</v>
      </c>
      <c r="P28" s="158">
        <f t="shared" si="12"/>
        <v>6.5100000000000007</v>
      </c>
      <c r="Q28" s="158">
        <f t="shared" si="12"/>
        <v>3.7275</v>
      </c>
      <c r="R28" s="158">
        <f t="shared" si="12"/>
        <v>4.3575000000000008</v>
      </c>
      <c r="S28" s="158">
        <f t="shared" si="7"/>
        <v>16.8</v>
      </c>
      <c r="T28" s="158">
        <f t="shared" si="7"/>
        <v>14.700000000000001</v>
      </c>
      <c r="U28" s="158">
        <f t="shared" si="7"/>
        <v>18.900000000000002</v>
      </c>
      <c r="V28" s="158">
        <f t="shared" si="7"/>
        <v>28.654499999999999</v>
      </c>
    </row>
    <row r="29" spans="1:22" s="159" customFormat="1">
      <c r="A29" s="12" t="s">
        <v>110</v>
      </c>
      <c r="B29" s="156">
        <v>5.17</v>
      </c>
      <c r="C29" s="96">
        <v>3.41</v>
      </c>
      <c r="D29" s="156">
        <v>10.876800000000001</v>
      </c>
      <c r="E29" s="96">
        <v>7.67</v>
      </c>
      <c r="F29" s="97">
        <v>10.6</v>
      </c>
      <c r="G29" s="97">
        <v>7.5</v>
      </c>
      <c r="H29" s="97">
        <v>7.35</v>
      </c>
      <c r="I29" s="156">
        <v>7.3370000000000006</v>
      </c>
      <c r="J29" s="97">
        <v>5.5</v>
      </c>
      <c r="K29" s="97">
        <v>5.5</v>
      </c>
      <c r="L29" s="97">
        <v>13.5</v>
      </c>
      <c r="M29" s="97">
        <v>5.17</v>
      </c>
      <c r="N29" s="157">
        <v>11.76</v>
      </c>
      <c r="O29" s="158">
        <f t="shared" si="12"/>
        <v>5.8274999999999997</v>
      </c>
      <c r="P29" s="158">
        <f t="shared" si="12"/>
        <v>6.5100000000000007</v>
      </c>
      <c r="Q29" s="158">
        <f t="shared" si="12"/>
        <v>3.7275</v>
      </c>
      <c r="R29" s="158">
        <f t="shared" si="12"/>
        <v>4.3575000000000008</v>
      </c>
      <c r="S29" s="158">
        <f t="shared" si="7"/>
        <v>16.8</v>
      </c>
      <c r="T29" s="158">
        <f t="shared" si="7"/>
        <v>14.700000000000001</v>
      </c>
      <c r="U29" s="158">
        <f t="shared" si="7"/>
        <v>18.900000000000002</v>
      </c>
      <c r="V29" s="158">
        <f t="shared" si="7"/>
        <v>28.654499999999999</v>
      </c>
    </row>
    <row r="30" spans="1:22">
      <c r="A30" s="8" t="s">
        <v>111</v>
      </c>
      <c r="B30" s="9">
        <v>5.17</v>
      </c>
      <c r="C30" s="9">
        <v>3.2</v>
      </c>
      <c r="D30" s="9">
        <v>10.876800000000001</v>
      </c>
      <c r="E30" s="9">
        <v>7.19</v>
      </c>
      <c r="F30" s="10">
        <v>9.9499999999999993</v>
      </c>
      <c r="G30" s="10">
        <v>7.05</v>
      </c>
      <c r="H30" s="10">
        <v>6.88</v>
      </c>
      <c r="I30" s="9">
        <v>7.3370000000000006</v>
      </c>
      <c r="J30" s="10">
        <v>5.7</v>
      </c>
      <c r="K30" s="10">
        <v>4.7</v>
      </c>
      <c r="L30" s="10">
        <v>12</v>
      </c>
      <c r="M30" s="6">
        <v>5.17</v>
      </c>
      <c r="N30" s="6">
        <v>11.025</v>
      </c>
      <c r="O30" s="84">
        <f t="shared" ref="O30:R31" si="13">O$12</f>
        <v>5.5141935483870963</v>
      </c>
      <c r="P30" s="84">
        <f t="shared" si="13"/>
        <v>6.16</v>
      </c>
      <c r="Q30" s="84">
        <f t="shared" si="13"/>
        <v>3.5270967741935486</v>
      </c>
      <c r="R30" s="84">
        <f t="shared" si="13"/>
        <v>4.1232258064516136</v>
      </c>
      <c r="S30" s="84">
        <f t="shared" si="7"/>
        <v>16.8</v>
      </c>
      <c r="T30" s="84">
        <f t="shared" si="7"/>
        <v>14.700000000000001</v>
      </c>
      <c r="U30" s="84">
        <f t="shared" si="7"/>
        <v>18.900000000000002</v>
      </c>
      <c r="V30" s="84">
        <f t="shared" si="7"/>
        <v>28.654499999999999</v>
      </c>
    </row>
    <row r="31" spans="1:22" s="159" customFormat="1">
      <c r="A31" s="161" t="s">
        <v>112</v>
      </c>
      <c r="B31" s="157">
        <v>4.47</v>
      </c>
      <c r="C31" s="157">
        <v>2.68</v>
      </c>
      <c r="D31" s="157">
        <v>9.434800000000001</v>
      </c>
      <c r="E31" s="157">
        <v>6.03</v>
      </c>
      <c r="F31" s="157">
        <v>8.34</v>
      </c>
      <c r="G31" s="157">
        <v>5.9</v>
      </c>
      <c r="H31" s="157">
        <v>5.79</v>
      </c>
      <c r="I31" s="157">
        <v>6.3580000000000005</v>
      </c>
      <c r="J31" s="162">
        <v>4.33</v>
      </c>
      <c r="K31" s="162">
        <v>4.33</v>
      </c>
      <c r="L31" s="162">
        <v>10.63</v>
      </c>
      <c r="M31" s="162">
        <v>4.47</v>
      </c>
      <c r="N31" s="157"/>
      <c r="O31" s="84">
        <f t="shared" si="13"/>
        <v>5.5141935483870963</v>
      </c>
      <c r="P31" s="84">
        <f t="shared" si="13"/>
        <v>6.16</v>
      </c>
      <c r="Q31" s="84">
        <f t="shared" si="13"/>
        <v>3.5270967741935486</v>
      </c>
      <c r="R31" s="84">
        <f t="shared" si="13"/>
        <v>4.1232258064516136</v>
      </c>
      <c r="S31" s="84">
        <f t="shared" si="7"/>
        <v>16.8</v>
      </c>
      <c r="T31" s="84">
        <f t="shared" si="7"/>
        <v>14.700000000000001</v>
      </c>
      <c r="U31" s="84">
        <f t="shared" si="7"/>
        <v>18.900000000000002</v>
      </c>
      <c r="V31" s="84">
        <f t="shared" si="7"/>
        <v>28.654499999999999</v>
      </c>
    </row>
    <row r="32" spans="1:22">
      <c r="O32" s="84"/>
      <c r="P32" s="84"/>
      <c r="Q32" s="84"/>
      <c r="R32" s="84"/>
      <c r="S32" s="84"/>
      <c r="T32" s="84"/>
      <c r="U32" s="84"/>
      <c r="V32" s="84"/>
    </row>
    <row r="33" spans="1:15">
      <c r="A33" s="100" t="s">
        <v>22</v>
      </c>
      <c r="B33" s="101">
        <v>8.99</v>
      </c>
      <c r="C33" s="102">
        <v>5.49</v>
      </c>
      <c r="D33" s="102">
        <v>18.989999999999998</v>
      </c>
      <c r="E33" s="102">
        <v>12.99</v>
      </c>
      <c r="F33" s="102">
        <v>17.989999999999998</v>
      </c>
      <c r="G33" s="102">
        <v>13.89</v>
      </c>
      <c r="H33" s="102">
        <v>12.9</v>
      </c>
      <c r="I33" s="102">
        <v>11.99</v>
      </c>
      <c r="J33" s="102">
        <v>9.99</v>
      </c>
      <c r="K33" s="102">
        <v>9.99</v>
      </c>
      <c r="L33" s="102">
        <v>24.99</v>
      </c>
      <c r="M33" s="102">
        <v>9.49</v>
      </c>
      <c r="N33" s="102">
        <v>18.989999999999998</v>
      </c>
      <c r="O33" s="6"/>
    </row>
    <row r="34" spans="1:15">
      <c r="I34" t="s">
        <v>137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topLeftCell="E1" zoomScale="70" zoomScaleNormal="70" workbookViewId="0">
      <selection activeCell="Q7" sqref="Q7:R7"/>
    </sheetView>
  </sheetViews>
  <sheetFormatPr defaultRowHeight="14.45"/>
  <cols>
    <col min="1" max="3" width="13.140625" bestFit="1" customWidth="1"/>
    <col min="4" max="4" width="14.140625" bestFit="1" customWidth="1"/>
    <col min="5" max="6" width="13.140625" bestFit="1" customWidth="1"/>
    <col min="7" max="7" width="14.140625" bestFit="1" customWidth="1"/>
    <col min="8" max="8" width="13.5703125" customWidth="1"/>
    <col min="9" max="9" width="15.42578125" customWidth="1"/>
    <col min="10" max="10" width="22.42578125" customWidth="1"/>
    <col min="11" max="11" width="19.5703125" customWidth="1"/>
    <col min="12" max="12" width="19.140625" customWidth="1"/>
    <col min="13" max="15" width="13.140625" bestFit="1" customWidth="1"/>
  </cols>
  <sheetData>
    <row r="1" spans="1:22">
      <c r="A1" s="122" t="s">
        <v>138</v>
      </c>
      <c r="B1" s="122" t="s">
        <v>138</v>
      </c>
      <c r="C1" s="122" t="s">
        <v>138</v>
      </c>
      <c r="D1" s="122" t="s">
        <v>138</v>
      </c>
      <c r="E1" s="122" t="s">
        <v>138</v>
      </c>
      <c r="F1" s="122" t="s">
        <v>138</v>
      </c>
      <c r="G1" s="122" t="s">
        <v>138</v>
      </c>
      <c r="H1" s="122" t="s">
        <v>138</v>
      </c>
      <c r="I1" s="122" t="s">
        <v>138</v>
      </c>
      <c r="J1" s="122" t="s">
        <v>138</v>
      </c>
      <c r="K1" s="122" t="s">
        <v>138</v>
      </c>
      <c r="L1" s="122" t="s">
        <v>138</v>
      </c>
      <c r="M1" s="122" t="s">
        <v>138</v>
      </c>
      <c r="N1" s="122" t="s">
        <v>138</v>
      </c>
      <c r="O1" s="122" t="s">
        <v>138</v>
      </c>
    </row>
    <row r="2" spans="1:22" ht="31.15">
      <c r="A2" s="94" t="s">
        <v>75</v>
      </c>
      <c r="B2" s="129" t="s">
        <v>116</v>
      </c>
      <c r="C2" s="128" t="s">
        <v>117</v>
      </c>
      <c r="D2" s="129" t="s">
        <v>118</v>
      </c>
      <c r="E2" s="129" t="s">
        <v>119</v>
      </c>
      <c r="F2" s="128" t="s">
        <v>120</v>
      </c>
      <c r="G2" s="129" t="s">
        <v>121</v>
      </c>
      <c r="H2" s="128" t="s">
        <v>122</v>
      </c>
      <c r="I2" s="129" t="s">
        <v>123</v>
      </c>
      <c r="J2" s="130" t="s">
        <v>124</v>
      </c>
      <c r="K2" s="130" t="s">
        <v>125</v>
      </c>
      <c r="L2" s="130" t="s">
        <v>126</v>
      </c>
      <c r="M2" s="129" t="s">
        <v>127</v>
      </c>
      <c r="N2" s="128" t="s">
        <v>128</v>
      </c>
      <c r="O2" s="129" t="s">
        <v>129</v>
      </c>
      <c r="P2" s="129" t="s">
        <v>130</v>
      </c>
      <c r="Q2" s="129" t="s">
        <v>131</v>
      </c>
      <c r="R2" s="129" t="s">
        <v>132</v>
      </c>
      <c r="S2" s="129" t="s">
        <v>133</v>
      </c>
      <c r="T2" s="129" t="s">
        <v>135</v>
      </c>
      <c r="U2" s="129" t="s">
        <v>134</v>
      </c>
      <c r="V2" t="s">
        <v>136</v>
      </c>
    </row>
    <row r="3" spans="1:22">
      <c r="A3" s="8" t="s">
        <v>85</v>
      </c>
      <c r="B3" s="9">
        <v>9.49</v>
      </c>
      <c r="C3" s="123">
        <v>5.79</v>
      </c>
      <c r="D3" s="9">
        <v>19.989999999999998</v>
      </c>
      <c r="E3" s="123">
        <v>13.69</v>
      </c>
      <c r="F3" s="123">
        <v>18.989999999999998</v>
      </c>
      <c r="G3" s="123">
        <v>13.89</v>
      </c>
      <c r="H3" s="123">
        <v>13.49</v>
      </c>
      <c r="I3" s="9">
        <v>13.49</v>
      </c>
      <c r="J3" s="9">
        <v>8.99</v>
      </c>
      <c r="K3" s="124">
        <v>7.99</v>
      </c>
      <c r="L3" s="124">
        <v>19.989999999999998</v>
      </c>
      <c r="M3" s="10">
        <v>9.49</v>
      </c>
      <c r="N3" s="10">
        <v>18.989999999999998</v>
      </c>
      <c r="O3" s="10">
        <v>7.99</v>
      </c>
      <c r="P3">
        <v>8.6</v>
      </c>
      <c r="Q3">
        <v>4.99</v>
      </c>
      <c r="R3">
        <v>5.99</v>
      </c>
      <c r="S3">
        <v>36</v>
      </c>
      <c r="T3">
        <v>36</v>
      </c>
      <c r="U3">
        <v>27</v>
      </c>
      <c r="V3">
        <v>48</v>
      </c>
    </row>
    <row r="4" spans="1:22">
      <c r="A4" s="8" t="s">
        <v>86</v>
      </c>
      <c r="B4" s="9">
        <v>9.49</v>
      </c>
      <c r="C4" s="123">
        <v>5.79</v>
      </c>
      <c r="D4" s="9">
        <v>19.989999999999998</v>
      </c>
      <c r="E4" s="123">
        <v>13.69</v>
      </c>
      <c r="F4" s="123">
        <v>18.989999999999998</v>
      </c>
      <c r="G4" s="123">
        <v>13.89</v>
      </c>
      <c r="H4" s="123">
        <v>13.49</v>
      </c>
      <c r="I4" s="9">
        <v>13.49</v>
      </c>
      <c r="J4" s="9">
        <v>8.99</v>
      </c>
      <c r="K4" s="124">
        <v>7.99</v>
      </c>
      <c r="L4" s="124">
        <v>19.989999999999998</v>
      </c>
      <c r="M4" s="10">
        <v>9.49</v>
      </c>
      <c r="N4" s="10">
        <v>18.989999999999998</v>
      </c>
      <c r="O4" s="10">
        <v>7.99</v>
      </c>
      <c r="P4">
        <v>8.6</v>
      </c>
      <c r="Q4">
        <v>4.99</v>
      </c>
      <c r="R4">
        <v>5.99</v>
      </c>
      <c r="S4">
        <v>36</v>
      </c>
      <c r="T4">
        <v>36</v>
      </c>
      <c r="U4">
        <v>27</v>
      </c>
      <c r="V4">
        <v>48</v>
      </c>
    </row>
    <row r="5" spans="1:22">
      <c r="A5" s="8" t="s">
        <v>87</v>
      </c>
      <c r="B5" s="9">
        <v>9.49</v>
      </c>
      <c r="C5" s="123">
        <v>5.79</v>
      </c>
      <c r="D5" s="9">
        <v>19.989999999999998</v>
      </c>
      <c r="E5" s="123">
        <v>13.69</v>
      </c>
      <c r="F5" s="123">
        <v>18.989999999999998</v>
      </c>
      <c r="G5" s="123">
        <v>13.89</v>
      </c>
      <c r="H5" s="123">
        <v>13.49</v>
      </c>
      <c r="I5" s="9">
        <v>13.49</v>
      </c>
      <c r="J5" s="9">
        <v>8.99</v>
      </c>
      <c r="K5" s="124">
        <v>7.99</v>
      </c>
      <c r="L5" s="124">
        <v>19.989999999999998</v>
      </c>
      <c r="M5" s="10">
        <v>9.49</v>
      </c>
      <c r="N5" s="10">
        <v>18.989999999999998</v>
      </c>
      <c r="O5" s="10">
        <v>7.99</v>
      </c>
      <c r="P5">
        <v>8.6</v>
      </c>
      <c r="Q5">
        <v>4.99</v>
      </c>
      <c r="R5">
        <v>5.99</v>
      </c>
      <c r="S5">
        <v>36</v>
      </c>
      <c r="T5">
        <v>36</v>
      </c>
      <c r="U5">
        <v>27</v>
      </c>
      <c r="V5">
        <v>48</v>
      </c>
    </row>
    <row r="6" spans="1:22">
      <c r="A6" s="8" t="s">
        <v>88</v>
      </c>
      <c r="B6" s="9">
        <v>9.49</v>
      </c>
      <c r="C6" s="123">
        <v>5.79</v>
      </c>
      <c r="D6" s="9">
        <v>19.989999999999998</v>
      </c>
      <c r="E6" s="123">
        <v>13.69</v>
      </c>
      <c r="F6" s="123">
        <v>18.989999999999998</v>
      </c>
      <c r="G6" s="123">
        <v>13.89</v>
      </c>
      <c r="H6" s="123">
        <v>13.49</v>
      </c>
      <c r="I6" s="9">
        <v>13.49</v>
      </c>
      <c r="J6" s="9">
        <v>8.99</v>
      </c>
      <c r="K6" s="124">
        <v>7.99</v>
      </c>
      <c r="L6" s="124">
        <v>19.989999999999998</v>
      </c>
      <c r="M6" s="10">
        <v>9.49</v>
      </c>
      <c r="N6" s="10">
        <v>18.989999999999998</v>
      </c>
      <c r="O6" s="10">
        <v>7.99</v>
      </c>
      <c r="P6">
        <v>8.6</v>
      </c>
      <c r="Q6">
        <v>4.99</v>
      </c>
      <c r="R6">
        <v>5.99</v>
      </c>
      <c r="S6">
        <v>36</v>
      </c>
      <c r="T6">
        <v>36</v>
      </c>
      <c r="U6">
        <v>27</v>
      </c>
      <c r="V6">
        <v>48</v>
      </c>
    </row>
    <row r="7" spans="1:22">
      <c r="A7" s="8" t="s">
        <v>89</v>
      </c>
      <c r="B7" s="9">
        <v>9.49</v>
      </c>
      <c r="C7" s="123">
        <v>5.79</v>
      </c>
      <c r="D7" s="9">
        <v>19.989999999999998</v>
      </c>
      <c r="E7" s="123">
        <v>13.69</v>
      </c>
      <c r="F7" s="123">
        <v>18.989999999999998</v>
      </c>
      <c r="G7" s="123">
        <v>13.89</v>
      </c>
      <c r="H7" s="123">
        <v>13.49</v>
      </c>
      <c r="I7" s="9">
        <v>13.49</v>
      </c>
      <c r="J7" s="9">
        <v>8.99</v>
      </c>
      <c r="K7" s="124">
        <v>7.99</v>
      </c>
      <c r="L7" s="124">
        <v>19.989999999999998</v>
      </c>
      <c r="M7" s="10">
        <v>9.49</v>
      </c>
      <c r="N7" s="10">
        <v>18.989999999999998</v>
      </c>
      <c r="O7" s="10">
        <v>7.99</v>
      </c>
      <c r="P7">
        <v>8.6</v>
      </c>
      <c r="Q7">
        <v>4.99</v>
      </c>
      <c r="R7">
        <v>5.99</v>
      </c>
      <c r="S7">
        <v>36</v>
      </c>
      <c r="T7">
        <v>36</v>
      </c>
      <c r="U7">
        <v>27</v>
      </c>
      <c r="V7">
        <v>48</v>
      </c>
    </row>
    <row r="8" spans="1:22">
      <c r="A8" s="8" t="s">
        <v>90</v>
      </c>
      <c r="B8" s="9">
        <v>9.49</v>
      </c>
      <c r="C8" s="123">
        <v>5.79</v>
      </c>
      <c r="D8" s="9">
        <v>19.989999999999998</v>
      </c>
      <c r="E8" s="123">
        <v>13.69</v>
      </c>
      <c r="F8" s="123">
        <v>18.989999999999998</v>
      </c>
      <c r="G8" s="123">
        <v>13.89</v>
      </c>
      <c r="H8" s="123">
        <v>13.49</v>
      </c>
      <c r="I8" s="9">
        <v>13.49</v>
      </c>
      <c r="J8" s="9">
        <v>8.99</v>
      </c>
      <c r="K8" s="124">
        <v>7.99</v>
      </c>
      <c r="L8" s="124">
        <v>19.989999999999998</v>
      </c>
      <c r="M8" s="10">
        <v>9.49</v>
      </c>
      <c r="N8" s="10">
        <v>18.989999999999998</v>
      </c>
      <c r="O8" s="10">
        <v>7.99</v>
      </c>
      <c r="P8">
        <v>8.6</v>
      </c>
      <c r="Q8">
        <v>4.99</v>
      </c>
      <c r="R8">
        <v>5.99</v>
      </c>
      <c r="S8">
        <v>36</v>
      </c>
      <c r="T8">
        <v>36</v>
      </c>
      <c r="U8">
        <v>27</v>
      </c>
      <c r="V8">
        <v>48</v>
      </c>
    </row>
    <row r="9" spans="1:22">
      <c r="A9" s="8" t="s">
        <v>91</v>
      </c>
      <c r="B9" s="9">
        <v>9.49</v>
      </c>
      <c r="C9" s="123">
        <v>5.79</v>
      </c>
      <c r="D9" s="9">
        <v>19.989999999999998</v>
      </c>
      <c r="E9" s="123">
        <v>13.69</v>
      </c>
      <c r="F9" s="123">
        <v>18.989999999999998</v>
      </c>
      <c r="G9" s="123">
        <v>13.89</v>
      </c>
      <c r="H9" s="123">
        <v>13.49</v>
      </c>
      <c r="I9" s="9">
        <v>13.49</v>
      </c>
      <c r="J9" s="9">
        <v>8.99</v>
      </c>
      <c r="K9" s="124">
        <v>7.99</v>
      </c>
      <c r="L9" s="124">
        <v>19.989999999999998</v>
      </c>
      <c r="M9" s="10">
        <v>9.49</v>
      </c>
      <c r="N9" s="10">
        <v>18.989999999999998</v>
      </c>
      <c r="O9" s="10">
        <v>7.99</v>
      </c>
      <c r="P9">
        <v>8.6</v>
      </c>
      <c r="Q9">
        <v>4.99</v>
      </c>
      <c r="R9">
        <v>5.99</v>
      </c>
      <c r="S9">
        <v>36</v>
      </c>
      <c r="T9">
        <v>36</v>
      </c>
      <c r="U9">
        <v>27</v>
      </c>
      <c r="V9">
        <v>48</v>
      </c>
    </row>
    <row r="10" spans="1:22" ht="18">
      <c r="A10" s="11" t="s">
        <v>92</v>
      </c>
      <c r="B10" s="9">
        <v>9.49</v>
      </c>
      <c r="C10" s="123">
        <v>5.79</v>
      </c>
      <c r="D10" s="9">
        <v>19.989999999999998</v>
      </c>
      <c r="E10" s="123">
        <v>13.69</v>
      </c>
      <c r="F10" s="123">
        <v>18.989999999999998</v>
      </c>
      <c r="G10" s="123">
        <v>13.89</v>
      </c>
      <c r="H10" s="123">
        <v>13.49</v>
      </c>
      <c r="I10" s="9">
        <v>13.49</v>
      </c>
      <c r="J10" s="127">
        <v>9.99</v>
      </c>
      <c r="K10" s="127">
        <v>9.99</v>
      </c>
      <c r="L10" s="127">
        <v>24.99</v>
      </c>
      <c r="M10" s="10">
        <v>9.49</v>
      </c>
      <c r="N10" s="10">
        <v>18.989999999999998</v>
      </c>
      <c r="O10" s="10">
        <v>7.99</v>
      </c>
      <c r="P10">
        <v>8.6</v>
      </c>
      <c r="Q10">
        <v>4.99</v>
      </c>
      <c r="R10">
        <v>5.99</v>
      </c>
      <c r="S10">
        <v>36</v>
      </c>
      <c r="T10">
        <v>36</v>
      </c>
      <c r="U10">
        <v>27</v>
      </c>
      <c r="V10">
        <v>48</v>
      </c>
    </row>
    <row r="11" spans="1:22">
      <c r="A11" s="8" t="s">
        <v>93</v>
      </c>
      <c r="B11" s="9">
        <v>9.49</v>
      </c>
      <c r="C11" s="123">
        <v>5.79</v>
      </c>
      <c r="D11" s="9">
        <v>19.989999999999998</v>
      </c>
      <c r="E11" s="123">
        <v>13.69</v>
      </c>
      <c r="F11" s="123">
        <v>18.989999999999998</v>
      </c>
      <c r="G11" s="123">
        <v>13.89</v>
      </c>
      <c r="H11" s="123">
        <v>13.49</v>
      </c>
      <c r="I11" s="9">
        <v>13.49</v>
      </c>
      <c r="J11" s="9">
        <v>8.99</v>
      </c>
      <c r="K11" s="124">
        <v>7.99</v>
      </c>
      <c r="L11" s="124">
        <v>19.989999999999998</v>
      </c>
      <c r="M11" s="10">
        <v>9.49</v>
      </c>
      <c r="N11" s="10">
        <v>18.989999999999998</v>
      </c>
      <c r="O11" s="10">
        <v>7.99</v>
      </c>
      <c r="P11">
        <v>8.6</v>
      </c>
      <c r="Q11">
        <v>4.99</v>
      </c>
      <c r="R11">
        <v>5.99</v>
      </c>
      <c r="S11">
        <v>36</v>
      </c>
      <c r="T11">
        <v>36</v>
      </c>
      <c r="U11">
        <v>27</v>
      </c>
      <c r="V11">
        <v>48</v>
      </c>
    </row>
    <row r="12" spans="1:22">
      <c r="A12" s="8" t="s">
        <v>94</v>
      </c>
      <c r="B12" s="9">
        <v>9.49</v>
      </c>
      <c r="C12" s="123">
        <v>5.79</v>
      </c>
      <c r="D12" s="9">
        <v>19.989999999999998</v>
      </c>
      <c r="E12" s="123">
        <v>13.69</v>
      </c>
      <c r="F12" s="123">
        <v>18.989999999999998</v>
      </c>
      <c r="G12" s="123">
        <v>13.89</v>
      </c>
      <c r="H12" s="123">
        <v>13.49</v>
      </c>
      <c r="I12" s="9">
        <v>13.49</v>
      </c>
      <c r="J12" s="9">
        <v>8.99</v>
      </c>
      <c r="K12" s="124">
        <v>7.99</v>
      </c>
      <c r="L12" s="124">
        <v>19.989999999999998</v>
      </c>
      <c r="M12" s="10">
        <v>9.49</v>
      </c>
      <c r="N12" s="10">
        <v>18.989999999999998</v>
      </c>
      <c r="O12" s="10">
        <v>7.99</v>
      </c>
      <c r="P12">
        <v>8.6</v>
      </c>
      <c r="Q12">
        <v>4.99</v>
      </c>
      <c r="R12">
        <v>5.99</v>
      </c>
      <c r="S12">
        <v>36</v>
      </c>
      <c r="T12">
        <v>36</v>
      </c>
      <c r="U12">
        <v>27</v>
      </c>
      <c r="V12">
        <v>48</v>
      </c>
    </row>
    <row r="13" spans="1:22">
      <c r="A13" s="12" t="s">
        <v>95</v>
      </c>
      <c r="B13" s="9">
        <v>9.49</v>
      </c>
      <c r="C13" s="123">
        <v>5.79</v>
      </c>
      <c r="D13" s="9">
        <v>19.989999999999998</v>
      </c>
      <c r="E13" s="96">
        <v>13.69</v>
      </c>
      <c r="F13" s="123">
        <v>18.989999999999998</v>
      </c>
      <c r="G13" s="96">
        <v>13.89</v>
      </c>
      <c r="H13" s="123">
        <v>13.49</v>
      </c>
      <c r="I13" s="9">
        <v>13.49</v>
      </c>
      <c r="J13" s="97">
        <v>9.99</v>
      </c>
      <c r="K13" s="97">
        <v>9.99</v>
      </c>
      <c r="L13" s="97">
        <v>24.99</v>
      </c>
      <c r="M13" s="97">
        <v>9.49</v>
      </c>
      <c r="N13" s="10">
        <v>18.989999999999998</v>
      </c>
      <c r="O13" s="97">
        <v>7.99</v>
      </c>
      <c r="P13">
        <v>8.6</v>
      </c>
      <c r="Q13">
        <v>4.99</v>
      </c>
      <c r="R13">
        <v>5.99</v>
      </c>
      <c r="S13">
        <v>36</v>
      </c>
      <c r="T13">
        <v>36</v>
      </c>
      <c r="U13">
        <v>27</v>
      </c>
      <c r="V13">
        <v>48</v>
      </c>
    </row>
    <row r="14" spans="1:22">
      <c r="A14" s="8" t="s">
        <v>96</v>
      </c>
      <c r="B14" s="9">
        <v>9.49</v>
      </c>
      <c r="C14" s="123">
        <v>5.79</v>
      </c>
      <c r="D14" s="9">
        <v>19.989999999999998</v>
      </c>
      <c r="E14" s="123">
        <v>13.69</v>
      </c>
      <c r="F14" s="123">
        <v>18.989999999999998</v>
      </c>
      <c r="G14" s="123">
        <v>13.89</v>
      </c>
      <c r="H14" s="123">
        <v>13.49</v>
      </c>
      <c r="I14" s="9">
        <v>13.49</v>
      </c>
      <c r="J14" s="9">
        <v>8.99</v>
      </c>
      <c r="K14" s="124">
        <v>7.99</v>
      </c>
      <c r="L14" s="124">
        <v>19.989999999999998</v>
      </c>
      <c r="M14" s="10">
        <v>9.49</v>
      </c>
      <c r="N14" s="10">
        <v>18.989999999999998</v>
      </c>
      <c r="O14" s="10">
        <v>7.99</v>
      </c>
      <c r="P14">
        <v>8.6</v>
      </c>
      <c r="Q14">
        <v>4.99</v>
      </c>
      <c r="R14">
        <v>5.99</v>
      </c>
      <c r="S14">
        <v>36</v>
      </c>
      <c r="T14">
        <v>36</v>
      </c>
      <c r="U14">
        <v>27</v>
      </c>
      <c r="V14">
        <v>48</v>
      </c>
    </row>
    <row r="15" spans="1:22">
      <c r="A15" s="8" t="s">
        <v>97</v>
      </c>
      <c r="B15" s="9">
        <v>9.49</v>
      </c>
      <c r="C15" s="123">
        <v>5.79</v>
      </c>
      <c r="D15" s="9">
        <v>19.989999999999998</v>
      </c>
      <c r="E15" s="123">
        <v>13.69</v>
      </c>
      <c r="F15" s="123">
        <v>18.989999999999998</v>
      </c>
      <c r="G15" s="123">
        <v>13.89</v>
      </c>
      <c r="H15" s="123">
        <v>13.49</v>
      </c>
      <c r="I15" s="9">
        <v>13.49</v>
      </c>
      <c r="J15" s="9">
        <v>8.99</v>
      </c>
      <c r="K15" s="124">
        <v>7.99</v>
      </c>
      <c r="L15" s="124">
        <v>19.989999999999998</v>
      </c>
      <c r="M15" s="10">
        <v>9.49</v>
      </c>
      <c r="N15" s="10">
        <v>18.989999999999998</v>
      </c>
      <c r="O15" s="10">
        <v>7.99</v>
      </c>
      <c r="P15">
        <v>8.6</v>
      </c>
      <c r="Q15">
        <v>4.99</v>
      </c>
      <c r="R15">
        <v>5.99</v>
      </c>
      <c r="S15">
        <v>36</v>
      </c>
      <c r="T15">
        <v>36</v>
      </c>
      <c r="U15">
        <v>27</v>
      </c>
      <c r="V15">
        <v>48</v>
      </c>
    </row>
    <row r="16" spans="1:22">
      <c r="A16" s="8" t="s">
        <v>98</v>
      </c>
      <c r="B16" s="9">
        <v>9.49</v>
      </c>
      <c r="C16" s="123">
        <v>5.79</v>
      </c>
      <c r="D16" s="9">
        <v>19.989999999999998</v>
      </c>
      <c r="E16" s="123">
        <v>13.69</v>
      </c>
      <c r="F16" s="123">
        <v>18.989999999999998</v>
      </c>
      <c r="G16" s="123">
        <v>13.89</v>
      </c>
      <c r="H16" s="123">
        <v>13.49</v>
      </c>
      <c r="I16" s="9">
        <v>13.49</v>
      </c>
      <c r="J16" s="9">
        <v>8.99</v>
      </c>
      <c r="K16" s="124">
        <v>7.99</v>
      </c>
      <c r="L16" s="124">
        <v>19.989999999999998</v>
      </c>
      <c r="M16" s="10">
        <v>9.49</v>
      </c>
      <c r="N16" s="10">
        <v>18.989999999999998</v>
      </c>
      <c r="O16" s="10">
        <v>7.99</v>
      </c>
      <c r="P16">
        <v>8.6</v>
      </c>
      <c r="Q16">
        <v>4.99</v>
      </c>
      <c r="R16">
        <v>5.99</v>
      </c>
      <c r="S16">
        <v>36</v>
      </c>
      <c r="T16">
        <v>36</v>
      </c>
      <c r="U16">
        <v>27</v>
      </c>
      <c r="V16">
        <v>48</v>
      </c>
    </row>
    <row r="17" spans="1:22">
      <c r="A17" s="8" t="s">
        <v>99</v>
      </c>
      <c r="B17" s="9">
        <v>9.49</v>
      </c>
      <c r="C17" s="123">
        <v>5.79</v>
      </c>
      <c r="D17" s="9">
        <v>19.989999999999998</v>
      </c>
      <c r="E17" s="123">
        <v>13.69</v>
      </c>
      <c r="F17" s="123">
        <v>18.989999999999998</v>
      </c>
      <c r="G17" s="123">
        <v>13.89</v>
      </c>
      <c r="H17" s="123">
        <v>13.49</v>
      </c>
      <c r="I17" s="9">
        <v>13.49</v>
      </c>
      <c r="J17" s="9">
        <v>8.99</v>
      </c>
      <c r="K17" s="124">
        <v>7.99</v>
      </c>
      <c r="L17" s="124">
        <v>19.989999999999998</v>
      </c>
      <c r="M17" s="10">
        <v>9.49</v>
      </c>
      <c r="N17" s="10">
        <v>18.989999999999998</v>
      </c>
      <c r="O17" s="10">
        <v>7.99</v>
      </c>
      <c r="P17">
        <v>8.6</v>
      </c>
      <c r="Q17">
        <v>4.99</v>
      </c>
      <c r="R17">
        <v>5.99</v>
      </c>
      <c r="S17">
        <v>36</v>
      </c>
      <c r="T17">
        <v>36</v>
      </c>
      <c r="U17">
        <v>27</v>
      </c>
      <c r="V17">
        <v>48</v>
      </c>
    </row>
    <row r="18" spans="1:22">
      <c r="A18" s="8" t="s">
        <v>100</v>
      </c>
      <c r="B18" s="9">
        <v>9.49</v>
      </c>
      <c r="C18" s="123">
        <v>5.79</v>
      </c>
      <c r="D18" s="9">
        <v>19.989999999999998</v>
      </c>
      <c r="E18" s="123">
        <v>13.69</v>
      </c>
      <c r="F18" s="123">
        <v>18.989999999999998</v>
      </c>
      <c r="G18" s="123">
        <v>13.89</v>
      </c>
      <c r="H18" s="123">
        <v>13.49</v>
      </c>
      <c r="I18" s="9">
        <v>13.49</v>
      </c>
      <c r="J18" s="9">
        <v>8.99</v>
      </c>
      <c r="K18" s="124">
        <v>7.99</v>
      </c>
      <c r="L18" s="124">
        <v>19.989999999999998</v>
      </c>
      <c r="M18" s="10">
        <v>9.49</v>
      </c>
      <c r="N18" s="10">
        <v>18.989999999999998</v>
      </c>
      <c r="O18" s="10">
        <v>7.99</v>
      </c>
      <c r="P18">
        <v>8.6</v>
      </c>
      <c r="Q18">
        <v>4.99</v>
      </c>
      <c r="R18">
        <v>5.99</v>
      </c>
      <c r="S18">
        <v>36</v>
      </c>
      <c r="T18">
        <v>36</v>
      </c>
      <c r="U18">
        <v>27</v>
      </c>
      <c r="V18">
        <v>48</v>
      </c>
    </row>
    <row r="19" spans="1:22">
      <c r="A19" s="8" t="s">
        <v>101</v>
      </c>
      <c r="B19" s="9">
        <v>9.49</v>
      </c>
      <c r="C19" s="123">
        <v>5.79</v>
      </c>
      <c r="D19" s="9">
        <v>19.989999999999998</v>
      </c>
      <c r="E19" s="123">
        <v>13.69</v>
      </c>
      <c r="F19" s="123">
        <v>18.989999999999998</v>
      </c>
      <c r="G19" s="123">
        <v>13.89</v>
      </c>
      <c r="H19" s="123">
        <v>13.49</v>
      </c>
      <c r="I19" s="9">
        <v>13.49</v>
      </c>
      <c r="J19" s="9">
        <v>8.99</v>
      </c>
      <c r="K19" s="124">
        <v>7.99</v>
      </c>
      <c r="L19" s="124">
        <v>19.989999999999998</v>
      </c>
      <c r="M19" s="10">
        <v>9.49</v>
      </c>
      <c r="N19" s="10">
        <v>18.989999999999998</v>
      </c>
      <c r="O19" s="10">
        <v>7.99</v>
      </c>
      <c r="P19">
        <v>8.6</v>
      </c>
      <c r="Q19">
        <v>4.99</v>
      </c>
      <c r="R19">
        <v>5.99</v>
      </c>
      <c r="S19">
        <v>36</v>
      </c>
      <c r="T19">
        <v>36</v>
      </c>
      <c r="U19">
        <v>27</v>
      </c>
      <c r="V19">
        <v>48</v>
      </c>
    </row>
    <row r="20" spans="1:22">
      <c r="A20" s="13" t="s">
        <v>10</v>
      </c>
      <c r="B20" s="14">
        <v>9.49</v>
      </c>
      <c r="C20" s="123">
        <v>5.79</v>
      </c>
      <c r="D20" s="14">
        <v>19.989999999999998</v>
      </c>
      <c r="E20" s="96">
        <v>13.69</v>
      </c>
      <c r="F20" s="123">
        <v>18.989999999999998</v>
      </c>
      <c r="G20" s="96">
        <v>13.89</v>
      </c>
      <c r="H20" s="123">
        <v>13.49</v>
      </c>
      <c r="I20" s="9">
        <v>13.49</v>
      </c>
      <c r="J20" s="97">
        <v>9.99</v>
      </c>
      <c r="K20" s="97">
        <v>9.99</v>
      </c>
      <c r="L20" s="97">
        <v>24.99</v>
      </c>
      <c r="M20" s="97">
        <v>9.49</v>
      </c>
      <c r="N20" s="10">
        <v>18.989999999999998</v>
      </c>
      <c r="O20" s="97">
        <v>7.99</v>
      </c>
      <c r="P20">
        <v>8.6</v>
      </c>
      <c r="Q20">
        <v>4.99</v>
      </c>
      <c r="R20">
        <v>5.99</v>
      </c>
      <c r="S20">
        <v>36</v>
      </c>
      <c r="T20">
        <v>36</v>
      </c>
      <c r="U20">
        <v>27</v>
      </c>
      <c r="V20">
        <v>48</v>
      </c>
    </row>
    <row r="21" spans="1:22">
      <c r="A21" s="12" t="s">
        <v>102</v>
      </c>
      <c r="B21" s="9">
        <v>9.49</v>
      </c>
      <c r="C21" s="123">
        <v>5.79</v>
      </c>
      <c r="D21" s="9">
        <v>19.989999999999998</v>
      </c>
      <c r="E21" s="96">
        <v>13.69</v>
      </c>
      <c r="F21" s="123">
        <v>18.989999999999998</v>
      </c>
      <c r="G21" s="96">
        <v>13.89</v>
      </c>
      <c r="H21" s="123">
        <v>13.49</v>
      </c>
      <c r="I21" s="9">
        <v>13.49</v>
      </c>
      <c r="J21" s="97">
        <v>9.99</v>
      </c>
      <c r="K21" s="97">
        <v>9.99</v>
      </c>
      <c r="L21" s="97">
        <v>24.99</v>
      </c>
      <c r="M21" s="97">
        <v>9.49</v>
      </c>
      <c r="N21" s="10">
        <v>18.989999999999998</v>
      </c>
      <c r="O21" s="97">
        <v>7.99</v>
      </c>
      <c r="P21">
        <v>8.6</v>
      </c>
      <c r="Q21">
        <v>4.99</v>
      </c>
      <c r="R21">
        <v>5.99</v>
      </c>
      <c r="S21">
        <v>36</v>
      </c>
      <c r="T21">
        <v>36</v>
      </c>
      <c r="U21">
        <v>27</v>
      </c>
      <c r="V21">
        <v>48</v>
      </c>
    </row>
    <row r="22" spans="1:22">
      <c r="A22" s="8" t="s">
        <v>103</v>
      </c>
      <c r="B22" s="9">
        <v>9.49</v>
      </c>
      <c r="C22" s="123">
        <v>5.79</v>
      </c>
      <c r="D22" s="9">
        <v>19.989999999999998</v>
      </c>
      <c r="E22" s="123">
        <v>13.69</v>
      </c>
      <c r="F22" s="123">
        <v>18.989999999999998</v>
      </c>
      <c r="G22" s="123">
        <v>13.89</v>
      </c>
      <c r="H22" s="123">
        <v>13.49</v>
      </c>
      <c r="I22" s="9">
        <v>13.49</v>
      </c>
      <c r="J22" s="9">
        <v>8.99</v>
      </c>
      <c r="K22" s="124">
        <v>7.99</v>
      </c>
      <c r="L22" s="124">
        <v>19.989999999999998</v>
      </c>
      <c r="M22" s="10">
        <v>9.49</v>
      </c>
      <c r="N22" s="10">
        <v>18.989999999999998</v>
      </c>
      <c r="O22" s="10">
        <v>7.99</v>
      </c>
      <c r="P22">
        <v>8.6</v>
      </c>
      <c r="Q22">
        <v>4.99</v>
      </c>
      <c r="R22">
        <v>5.99</v>
      </c>
      <c r="S22">
        <v>36</v>
      </c>
      <c r="T22">
        <v>36</v>
      </c>
      <c r="U22">
        <v>27</v>
      </c>
      <c r="V22">
        <v>48</v>
      </c>
    </row>
    <row r="23" spans="1:22">
      <c r="A23" s="8" t="s">
        <v>104</v>
      </c>
      <c r="B23" s="9">
        <v>9.49</v>
      </c>
      <c r="C23" s="123">
        <v>5.79</v>
      </c>
      <c r="D23" s="9">
        <v>19.989999999999998</v>
      </c>
      <c r="E23" s="123">
        <v>13.69</v>
      </c>
      <c r="F23" s="123">
        <v>18.989999999999998</v>
      </c>
      <c r="G23" s="123">
        <v>13.89</v>
      </c>
      <c r="H23" s="123">
        <v>13.49</v>
      </c>
      <c r="I23" s="9">
        <v>13.49</v>
      </c>
      <c r="J23" s="9">
        <v>8.99</v>
      </c>
      <c r="K23" s="124">
        <v>7.99</v>
      </c>
      <c r="L23" s="124">
        <v>19.989999999999998</v>
      </c>
      <c r="M23" s="10">
        <v>9.49</v>
      </c>
      <c r="N23" s="10">
        <v>18.989999999999998</v>
      </c>
      <c r="O23" s="10">
        <v>7.99</v>
      </c>
      <c r="P23">
        <v>8.6</v>
      </c>
      <c r="Q23">
        <v>4.99</v>
      </c>
      <c r="R23">
        <v>5.99</v>
      </c>
      <c r="S23">
        <v>36</v>
      </c>
      <c r="T23">
        <v>36</v>
      </c>
      <c r="U23">
        <v>27</v>
      </c>
      <c r="V23">
        <v>48</v>
      </c>
    </row>
    <row r="24" spans="1:22">
      <c r="A24" s="8" t="s">
        <v>105</v>
      </c>
      <c r="B24" s="9">
        <v>9.49</v>
      </c>
      <c r="C24" s="123">
        <v>5.79</v>
      </c>
      <c r="D24" s="9">
        <v>19.989999999999998</v>
      </c>
      <c r="E24" s="123">
        <v>13.69</v>
      </c>
      <c r="F24" s="123">
        <v>18.989999999999998</v>
      </c>
      <c r="G24" s="123">
        <v>13.89</v>
      </c>
      <c r="H24" s="123">
        <v>13.49</v>
      </c>
      <c r="I24" s="9">
        <v>13.49</v>
      </c>
      <c r="J24" s="9">
        <v>8.99</v>
      </c>
      <c r="K24" s="124">
        <v>7.99</v>
      </c>
      <c r="L24" s="124">
        <v>19.989999999999998</v>
      </c>
      <c r="M24" s="10">
        <v>9.49</v>
      </c>
      <c r="N24" s="10">
        <v>18.989999999999998</v>
      </c>
      <c r="O24" s="10">
        <v>7.99</v>
      </c>
      <c r="P24">
        <v>8.6</v>
      </c>
      <c r="Q24">
        <v>4.99</v>
      </c>
      <c r="R24">
        <v>5.99</v>
      </c>
      <c r="S24">
        <v>36</v>
      </c>
      <c r="T24">
        <v>36</v>
      </c>
      <c r="U24">
        <v>27</v>
      </c>
      <c r="V24">
        <v>48</v>
      </c>
    </row>
    <row r="25" spans="1:22">
      <c r="A25" s="12" t="s">
        <v>106</v>
      </c>
      <c r="B25" s="9">
        <v>9.49</v>
      </c>
      <c r="C25" s="123">
        <v>5.79</v>
      </c>
      <c r="D25" s="9">
        <v>19.989999999999998</v>
      </c>
      <c r="E25" s="96">
        <v>13.69</v>
      </c>
      <c r="F25" s="123">
        <v>18.989999999999998</v>
      </c>
      <c r="G25" s="96">
        <v>13.89</v>
      </c>
      <c r="H25" s="123">
        <v>13.49</v>
      </c>
      <c r="I25" s="9">
        <v>13.49</v>
      </c>
      <c r="J25" s="97">
        <v>9.99</v>
      </c>
      <c r="K25" s="97">
        <v>9.99</v>
      </c>
      <c r="L25" s="97">
        <v>24.99</v>
      </c>
      <c r="M25" s="97">
        <v>9.49</v>
      </c>
      <c r="N25" s="10">
        <v>18.989999999999998</v>
      </c>
      <c r="O25" s="97">
        <v>7.99</v>
      </c>
      <c r="P25">
        <v>8.6</v>
      </c>
      <c r="Q25">
        <v>4.99</v>
      </c>
      <c r="R25">
        <v>5.99</v>
      </c>
      <c r="S25">
        <v>36</v>
      </c>
      <c r="T25">
        <v>36</v>
      </c>
      <c r="U25">
        <v>27</v>
      </c>
      <c r="V25">
        <v>48</v>
      </c>
    </row>
    <row r="26" spans="1:22">
      <c r="A26" s="12" t="s">
        <v>107</v>
      </c>
      <c r="B26" s="9">
        <v>9.49</v>
      </c>
      <c r="C26" s="123">
        <v>5.79</v>
      </c>
      <c r="D26" s="9">
        <v>19.989999999999998</v>
      </c>
      <c r="E26" s="96">
        <v>13.69</v>
      </c>
      <c r="F26" s="123">
        <v>18.989999999999998</v>
      </c>
      <c r="G26" s="96">
        <v>13.89</v>
      </c>
      <c r="H26" s="123">
        <v>13.49</v>
      </c>
      <c r="I26" s="9">
        <v>13.49</v>
      </c>
      <c r="J26" s="97">
        <v>9.99</v>
      </c>
      <c r="K26" s="97">
        <v>9.99</v>
      </c>
      <c r="L26" s="97">
        <v>24.99</v>
      </c>
      <c r="M26" s="97">
        <v>9.49</v>
      </c>
      <c r="N26" s="10">
        <v>18.989999999999998</v>
      </c>
      <c r="O26" s="97">
        <v>7.99</v>
      </c>
      <c r="P26">
        <v>8.6</v>
      </c>
      <c r="Q26">
        <v>4.99</v>
      </c>
      <c r="R26">
        <v>5.99</v>
      </c>
      <c r="S26">
        <v>36</v>
      </c>
      <c r="T26">
        <v>36</v>
      </c>
      <c r="U26">
        <v>27</v>
      </c>
      <c r="V26">
        <v>48</v>
      </c>
    </row>
    <row r="27" spans="1:22">
      <c r="A27" s="8" t="s">
        <v>108</v>
      </c>
      <c r="B27" s="9">
        <v>9.49</v>
      </c>
      <c r="C27" s="123">
        <v>5.79</v>
      </c>
      <c r="D27" s="9">
        <v>19.989999999999998</v>
      </c>
      <c r="E27" s="123">
        <v>13.69</v>
      </c>
      <c r="F27" s="123">
        <v>18.989999999999998</v>
      </c>
      <c r="G27" s="123">
        <v>13.89</v>
      </c>
      <c r="H27" s="123">
        <v>13.49</v>
      </c>
      <c r="I27" s="9">
        <v>13.49</v>
      </c>
      <c r="J27" s="9">
        <v>8.99</v>
      </c>
      <c r="K27" s="124">
        <v>7.99</v>
      </c>
      <c r="L27" s="124">
        <v>19.989999999999998</v>
      </c>
      <c r="M27" s="10">
        <v>9.49</v>
      </c>
      <c r="N27" s="10">
        <v>18.989999999999998</v>
      </c>
      <c r="O27" s="10">
        <v>7.99</v>
      </c>
      <c r="P27">
        <v>8.6</v>
      </c>
      <c r="Q27">
        <v>4.99</v>
      </c>
      <c r="R27">
        <v>5.99</v>
      </c>
      <c r="S27">
        <v>36</v>
      </c>
      <c r="T27">
        <v>36</v>
      </c>
      <c r="U27">
        <v>27</v>
      </c>
      <c r="V27">
        <v>48</v>
      </c>
    </row>
    <row r="28" spans="1:22">
      <c r="A28" s="12" t="s">
        <v>109</v>
      </c>
      <c r="B28" s="9">
        <v>9.49</v>
      </c>
      <c r="C28" s="123">
        <v>5.79</v>
      </c>
      <c r="D28" s="9">
        <v>19.989999999999998</v>
      </c>
      <c r="E28" s="96">
        <v>13.69</v>
      </c>
      <c r="F28" s="123">
        <v>18.989999999999998</v>
      </c>
      <c r="G28" s="96">
        <v>13.89</v>
      </c>
      <c r="H28" s="123">
        <v>13.49</v>
      </c>
      <c r="I28" s="9">
        <v>13.49</v>
      </c>
      <c r="J28" s="97">
        <v>9.99</v>
      </c>
      <c r="K28" s="97">
        <v>9.99</v>
      </c>
      <c r="L28" s="97">
        <v>24.99</v>
      </c>
      <c r="M28" s="97">
        <v>9.49</v>
      </c>
      <c r="N28" s="10">
        <v>18.989999999999998</v>
      </c>
      <c r="O28" s="97">
        <v>7.99</v>
      </c>
      <c r="P28">
        <v>8.6</v>
      </c>
      <c r="Q28">
        <v>4.99</v>
      </c>
      <c r="R28">
        <v>5.99</v>
      </c>
      <c r="S28">
        <v>36</v>
      </c>
      <c r="T28">
        <v>36</v>
      </c>
      <c r="U28">
        <v>27</v>
      </c>
      <c r="V28">
        <v>48</v>
      </c>
    </row>
    <row r="29" spans="1:22">
      <c r="A29" s="125" t="s">
        <v>110</v>
      </c>
      <c r="B29" s="9">
        <v>9.49</v>
      </c>
      <c r="C29" s="123">
        <v>5.79</v>
      </c>
      <c r="D29" s="9">
        <v>19.989999999999998</v>
      </c>
      <c r="E29" s="96">
        <v>13.69</v>
      </c>
      <c r="F29" s="123">
        <v>18.989999999999998</v>
      </c>
      <c r="G29" s="96">
        <v>13.89</v>
      </c>
      <c r="H29" s="123">
        <v>13.49</v>
      </c>
      <c r="I29" s="9">
        <v>13.49</v>
      </c>
      <c r="J29" s="97">
        <v>9.99</v>
      </c>
      <c r="K29" s="97">
        <v>9.99</v>
      </c>
      <c r="L29" s="97">
        <v>24.99</v>
      </c>
      <c r="M29" s="97">
        <v>9.49</v>
      </c>
      <c r="N29" s="10">
        <v>18.989999999999998</v>
      </c>
      <c r="O29" s="97">
        <v>7.99</v>
      </c>
      <c r="P29">
        <v>8.6</v>
      </c>
      <c r="Q29">
        <v>4.99</v>
      </c>
      <c r="R29">
        <v>5.99</v>
      </c>
      <c r="S29">
        <v>36</v>
      </c>
      <c r="T29">
        <v>36</v>
      </c>
      <c r="U29">
        <v>27</v>
      </c>
      <c r="V29">
        <v>48</v>
      </c>
    </row>
    <row r="30" spans="1:22">
      <c r="A30" s="8" t="s">
        <v>111</v>
      </c>
      <c r="B30" s="9">
        <v>9.49</v>
      </c>
      <c r="C30" s="123">
        <v>5.79</v>
      </c>
      <c r="D30" s="9">
        <v>19.989999999999998</v>
      </c>
      <c r="E30" s="123">
        <v>13.69</v>
      </c>
      <c r="F30" s="123">
        <v>18.989999999999998</v>
      </c>
      <c r="G30" s="123">
        <v>13.89</v>
      </c>
      <c r="H30" s="123">
        <v>13.49</v>
      </c>
      <c r="I30" s="9">
        <v>13.49</v>
      </c>
      <c r="J30" s="9">
        <v>8.99</v>
      </c>
      <c r="K30" s="124">
        <v>7.99</v>
      </c>
      <c r="L30" s="124">
        <v>19.989999999999998</v>
      </c>
      <c r="M30" s="10">
        <v>9.49</v>
      </c>
      <c r="N30" s="10">
        <v>18.989999999999998</v>
      </c>
      <c r="O30" s="10">
        <v>7.99</v>
      </c>
      <c r="P30">
        <v>8.6</v>
      </c>
      <c r="Q30">
        <v>4.99</v>
      </c>
      <c r="R30">
        <v>5.99</v>
      </c>
      <c r="S30">
        <v>36</v>
      </c>
      <c r="T30">
        <v>36</v>
      </c>
      <c r="U30">
        <v>27</v>
      </c>
      <c r="V30">
        <v>48</v>
      </c>
    </row>
    <row r="31" spans="1:22">
      <c r="A31" s="98" t="s">
        <v>112</v>
      </c>
      <c r="B31" s="126"/>
      <c r="C31" s="99"/>
      <c r="D31" s="126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</row>
    <row r="33" spans="1:15">
      <c r="A33" s="100" t="s">
        <v>22</v>
      </c>
      <c r="B33" s="101">
        <v>9.49</v>
      </c>
      <c r="C33" s="102">
        <v>5.79</v>
      </c>
      <c r="D33" s="102">
        <v>19.989999999999998</v>
      </c>
      <c r="E33" s="102">
        <v>13.69</v>
      </c>
      <c r="F33" s="102">
        <v>17.989999999999998</v>
      </c>
      <c r="G33" s="102">
        <v>13.89</v>
      </c>
      <c r="H33" s="102">
        <v>13.49</v>
      </c>
      <c r="I33" s="102">
        <v>12.49</v>
      </c>
      <c r="J33" s="102">
        <v>9.99</v>
      </c>
      <c r="K33" s="102">
        <v>9.99</v>
      </c>
      <c r="L33" s="102">
        <v>24.99</v>
      </c>
      <c r="M33" s="102">
        <v>9.49</v>
      </c>
      <c r="N33" s="102">
        <v>18.989999999999998</v>
      </c>
      <c r="O33" s="102">
        <v>0</v>
      </c>
    </row>
    <row r="34" spans="1:15">
      <c r="I34" t="s">
        <v>137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f5e84c2a592e76d56bbbd4bd12db6994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18baec009220313167bf842860059cd9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129B2E86-C947-44CC-838B-29F77540F4E7}"/>
</file>

<file path=customXml/itemProps2.xml><?xml version="1.0" encoding="utf-8"?>
<ds:datastoreItem xmlns:ds="http://schemas.openxmlformats.org/officeDocument/2006/customXml" ds:itemID="{D21EF7E8-DE11-44FF-8395-617541DDD514}"/>
</file>

<file path=customXml/itemProps3.xml><?xml version="1.0" encoding="utf-8"?>
<ds:datastoreItem xmlns:ds="http://schemas.openxmlformats.org/officeDocument/2006/customXml" ds:itemID="{1C3AFA67-AE5E-4383-8D1B-37A62B4F1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João Vitor Tadra</cp:lastModifiedBy>
  <cp:revision/>
  <dcterms:created xsi:type="dcterms:W3CDTF">2022-06-23T15:46:56Z</dcterms:created>
  <dcterms:modified xsi:type="dcterms:W3CDTF">2026-05-18T13:32:22Z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