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joao.vitor\Desktop\"/>
    </mc:Choice>
  </mc:AlternateContent>
  <xr:revisionPtr revIDLastSave="0" documentId="8_{5E38EC65-BC16-4037-B909-6F7E5267F8F7}" xr6:coauthVersionLast="47" xr6:coauthVersionMax="47" xr10:uidLastSave="{00000000-0000-0000-0000-000000000000}"/>
  <workbookProtection workbookAlgorithmName="SHA-512" workbookHashValue="9nDYLB7T6hfLV/aAk/T0hpaOTvHnenOQXy0GmHcnGBnf5yXe25LTDbajC0AMl48eGq1coJX7r4d1cQ97fZvFPA==" workbookSaltValue="YldWmCtrEHhrPeLqCa476Q==" workbookSpinCount="100000" lockStructure="1"/>
  <bookViews>
    <workbookView xWindow="-28920" yWindow="660" windowWidth="29040" windowHeight="15720" xr2:uid="{00000000-000D-0000-FFFF-FFFF00000000}"/>
  </bookViews>
  <sheets>
    <sheet name="Tabelas" sheetId="1" r:id="rId1"/>
    <sheet name="Planilha1" sheetId="5" state="hidden" r:id="rId2"/>
    <sheet name="ST BISCOITINHOS" sheetId="2" state="hidden" r:id="rId3"/>
    <sheet name="ST PAPAPASTA" sheetId="3" state="hidden" r:id="rId4"/>
    <sheet name="ST PALITINHOS" sheetId="6" state="hidden" r:id="rId5"/>
    <sheet name="ST EXTRUSADOS" sheetId="13" state="hidden" r:id="rId6"/>
    <sheet name="ST BISCOTTI" sheetId="8" state="hidden" r:id="rId7"/>
    <sheet name="ST CEREAL" sheetId="7" state="hidden" r:id="rId8"/>
    <sheet name="ST CEREAL SABOR POUCH 170" sheetId="9" state="hidden" r:id="rId9"/>
    <sheet name="ST MULTI 170 POUCH" sheetId="10" state="hidden" r:id="rId10"/>
    <sheet name="ST MULTI 500 POUCH" sheetId="11" state="hidden" r:id="rId11"/>
    <sheet name="ST RECHEADOS" sheetId="14" state="hidden" r:id="rId12"/>
    <sheet name="PREÇOS" sheetId="4" state="hidden" r:id="rId13"/>
    <sheet name="PSC" sheetId="12" state="hidden" r:id="rId14"/>
  </sheets>
  <definedNames>
    <definedName name="_xlnm._FilterDatabase" localSheetId="12" hidden="1">PREÇOS!$A$2:$F$2</definedName>
    <definedName name="_xlnm._FilterDatabase" localSheetId="3" hidden="1">'ST PAPAPASTA'!$A$1:$J$1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4" l="1"/>
  <c r="U20" i="4"/>
  <c r="T20" i="4"/>
  <c r="S20" i="4"/>
  <c r="M20" i="4"/>
  <c r="I20" i="4"/>
  <c r="D20" i="4"/>
  <c r="B20" i="4"/>
  <c r="R31" i="4"/>
  <c r="Q31" i="4"/>
  <c r="P31" i="4"/>
  <c r="O31" i="4"/>
  <c r="N31" i="4"/>
  <c r="M31" i="4"/>
  <c r="L31" i="4"/>
  <c r="K31" i="4"/>
  <c r="B31" i="4"/>
  <c r="V30" i="4"/>
  <c r="V31" i="4" s="1"/>
  <c r="U30" i="4"/>
  <c r="U31" i="4" s="1"/>
  <c r="T30" i="4"/>
  <c r="T31" i="4" s="1"/>
  <c r="S30" i="4"/>
  <c r="S31" i="4" s="1"/>
  <c r="R30" i="4"/>
  <c r="Q30" i="4"/>
  <c r="P30" i="4"/>
  <c r="O30" i="4"/>
  <c r="N30" i="4"/>
  <c r="M30" i="4"/>
  <c r="L30" i="4"/>
  <c r="K30" i="4"/>
  <c r="J30" i="4"/>
  <c r="J31" i="4" s="1"/>
  <c r="I30" i="4"/>
  <c r="I31" i="4" s="1"/>
  <c r="H30" i="4"/>
  <c r="H31" i="4" s="1"/>
  <c r="F30" i="4"/>
  <c r="F31" i="4" s="1"/>
  <c r="B30" i="4"/>
  <c r="V29" i="4"/>
  <c r="U29" i="4"/>
  <c r="T29" i="4"/>
  <c r="S29" i="4"/>
  <c r="R29" i="4"/>
  <c r="Q29" i="4"/>
  <c r="P29" i="4"/>
  <c r="O29" i="4"/>
  <c r="N29" i="4"/>
  <c r="M29" i="4"/>
  <c r="I29" i="4"/>
  <c r="B29" i="4"/>
  <c r="V28" i="4"/>
  <c r="U28" i="4"/>
  <c r="T28" i="4"/>
  <c r="S28" i="4"/>
  <c r="R28" i="4"/>
  <c r="Q28" i="4"/>
  <c r="P28" i="4"/>
  <c r="O28" i="4"/>
  <c r="N28" i="4"/>
  <c r="M28" i="4"/>
  <c r="L28" i="4"/>
  <c r="K28" i="4"/>
  <c r="I28" i="4"/>
  <c r="B28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F27" i="4"/>
  <c r="B27" i="4"/>
  <c r="L26" i="4"/>
  <c r="L29" i="4" s="1"/>
  <c r="K26" i="4"/>
  <c r="K29" i="4" s="1"/>
  <c r="J26" i="4"/>
  <c r="J28" i="4" s="1"/>
  <c r="H26" i="4"/>
  <c r="H17" i="4" s="1"/>
  <c r="F26" i="4"/>
  <c r="F8" i="4" s="1"/>
  <c r="E26" i="4"/>
  <c r="E30" i="4" s="1"/>
  <c r="E31" i="4" s="1"/>
  <c r="D26" i="4"/>
  <c r="D29" i="4" s="1"/>
  <c r="C26" i="4"/>
  <c r="C10" i="4" s="1"/>
  <c r="V25" i="4"/>
  <c r="U25" i="4"/>
  <c r="T25" i="4"/>
  <c r="S25" i="4"/>
  <c r="R25" i="4"/>
  <c r="Q25" i="4"/>
  <c r="P25" i="4"/>
  <c r="O25" i="4"/>
  <c r="N25" i="4"/>
  <c r="M25" i="4"/>
  <c r="L25" i="4"/>
  <c r="K25" i="4"/>
  <c r="I25" i="4"/>
  <c r="B25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F24" i="4"/>
  <c r="B24" i="4"/>
  <c r="V23" i="4"/>
  <c r="U23" i="4"/>
  <c r="T23" i="4"/>
  <c r="S23" i="4"/>
  <c r="R23" i="4"/>
  <c r="Q23" i="4"/>
  <c r="P23" i="4"/>
  <c r="O23" i="4"/>
  <c r="N23" i="4"/>
  <c r="M23" i="4"/>
  <c r="I23" i="4"/>
  <c r="B23" i="4"/>
  <c r="V22" i="4"/>
  <c r="U22" i="4"/>
  <c r="T22" i="4"/>
  <c r="S22" i="4"/>
  <c r="R22" i="4"/>
  <c r="Q22" i="4"/>
  <c r="P22" i="4"/>
  <c r="O22" i="4"/>
  <c r="N22" i="4"/>
  <c r="M22" i="4"/>
  <c r="L22" i="4"/>
  <c r="K22" i="4"/>
  <c r="I22" i="4"/>
  <c r="B22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F21" i="4"/>
  <c r="B21" i="4"/>
  <c r="R20" i="4"/>
  <c r="Q20" i="4"/>
  <c r="P20" i="4"/>
  <c r="O20" i="4"/>
  <c r="N20" i="4"/>
  <c r="V19" i="4"/>
  <c r="U19" i="4"/>
  <c r="T19" i="4"/>
  <c r="S19" i="4"/>
  <c r="R19" i="4"/>
  <c r="Q19" i="4"/>
  <c r="P19" i="4"/>
  <c r="O19" i="4"/>
  <c r="N19" i="4"/>
  <c r="M19" i="4"/>
  <c r="L19" i="4"/>
  <c r="K19" i="4"/>
  <c r="I19" i="4"/>
  <c r="B19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F18" i="4"/>
  <c r="B18" i="4"/>
  <c r="V17" i="4"/>
  <c r="U17" i="4"/>
  <c r="T17" i="4"/>
  <c r="S17" i="4"/>
  <c r="R17" i="4"/>
  <c r="Q17" i="4"/>
  <c r="P17" i="4"/>
  <c r="O17" i="4"/>
  <c r="N17" i="4"/>
  <c r="M17" i="4"/>
  <c r="I17" i="4"/>
  <c r="B17" i="4"/>
  <c r="V16" i="4"/>
  <c r="U16" i="4"/>
  <c r="T16" i="4"/>
  <c r="S16" i="4"/>
  <c r="R16" i="4"/>
  <c r="Q16" i="4"/>
  <c r="P16" i="4"/>
  <c r="O16" i="4"/>
  <c r="N16" i="4"/>
  <c r="M16" i="4"/>
  <c r="L16" i="4"/>
  <c r="K16" i="4"/>
  <c r="I16" i="4"/>
  <c r="B16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F15" i="4"/>
  <c r="B15" i="4"/>
  <c r="V14" i="4"/>
  <c r="U14" i="4"/>
  <c r="T14" i="4"/>
  <c r="S14" i="4"/>
  <c r="R14" i="4"/>
  <c r="Q14" i="4"/>
  <c r="P14" i="4"/>
  <c r="O14" i="4"/>
  <c r="N14" i="4"/>
  <c r="M14" i="4"/>
  <c r="I14" i="4"/>
  <c r="B14" i="4"/>
  <c r="V13" i="4"/>
  <c r="U13" i="4"/>
  <c r="T13" i="4"/>
  <c r="S13" i="4"/>
  <c r="R13" i="4"/>
  <c r="Q13" i="4"/>
  <c r="P13" i="4"/>
  <c r="O13" i="4"/>
  <c r="N13" i="4"/>
  <c r="M13" i="4"/>
  <c r="L13" i="4"/>
  <c r="K13" i="4"/>
  <c r="I13" i="4"/>
  <c r="B13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F12" i="4"/>
  <c r="B12" i="4"/>
  <c r="V11" i="4"/>
  <c r="U11" i="4"/>
  <c r="T11" i="4"/>
  <c r="S11" i="4"/>
  <c r="R11" i="4"/>
  <c r="Q11" i="4"/>
  <c r="P11" i="4"/>
  <c r="O11" i="4"/>
  <c r="N11" i="4"/>
  <c r="M11" i="4"/>
  <c r="I11" i="4"/>
  <c r="B11" i="4"/>
  <c r="V10" i="4"/>
  <c r="U10" i="4"/>
  <c r="T10" i="4"/>
  <c r="S10" i="4"/>
  <c r="R10" i="4"/>
  <c r="Q10" i="4"/>
  <c r="P10" i="4"/>
  <c r="O10" i="4"/>
  <c r="N10" i="4"/>
  <c r="M10" i="4"/>
  <c r="L10" i="4"/>
  <c r="K10" i="4"/>
  <c r="I10" i="4"/>
  <c r="B10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F9" i="4"/>
  <c r="B9" i="4"/>
  <c r="V8" i="4"/>
  <c r="U8" i="4"/>
  <c r="T8" i="4"/>
  <c r="S8" i="4"/>
  <c r="R8" i="4"/>
  <c r="Q8" i="4"/>
  <c r="P8" i="4"/>
  <c r="O8" i="4"/>
  <c r="N8" i="4"/>
  <c r="M8" i="4"/>
  <c r="I8" i="4"/>
  <c r="B8" i="4"/>
  <c r="V7" i="4"/>
  <c r="U7" i="4"/>
  <c r="T7" i="4"/>
  <c r="S7" i="4"/>
  <c r="R7" i="4"/>
  <c r="Q7" i="4"/>
  <c r="P7" i="4"/>
  <c r="O7" i="4"/>
  <c r="N7" i="4"/>
  <c r="M7" i="4"/>
  <c r="L7" i="4"/>
  <c r="K7" i="4"/>
  <c r="I7" i="4"/>
  <c r="B7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F6" i="4"/>
  <c r="B6" i="4"/>
  <c r="V5" i="4"/>
  <c r="U5" i="4"/>
  <c r="T5" i="4"/>
  <c r="S5" i="4"/>
  <c r="R5" i="4"/>
  <c r="Q5" i="4"/>
  <c r="P5" i="4"/>
  <c r="O5" i="4"/>
  <c r="N5" i="4"/>
  <c r="M5" i="4"/>
  <c r="I5" i="4"/>
  <c r="B5" i="4"/>
  <c r="V4" i="4"/>
  <c r="U4" i="4"/>
  <c r="T4" i="4"/>
  <c r="S4" i="4"/>
  <c r="R4" i="4"/>
  <c r="Q4" i="4"/>
  <c r="P4" i="4"/>
  <c r="O4" i="4"/>
  <c r="N4" i="4"/>
  <c r="M4" i="4"/>
  <c r="L4" i="4"/>
  <c r="K4" i="4"/>
  <c r="I4" i="4"/>
  <c r="B4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F3" i="4"/>
  <c r="B3" i="4"/>
  <c r="H29" i="12"/>
  <c r="H30" i="12" s="1"/>
  <c r="I28" i="12"/>
  <c r="I29" i="12" s="1"/>
  <c r="I30" i="12" s="1"/>
  <c r="I16" i="12"/>
  <c r="I17" i="12" s="1"/>
  <c r="I18" i="12" s="1"/>
  <c r="I19" i="12" s="1"/>
  <c r="I20" i="12" s="1"/>
  <c r="I21" i="12" s="1"/>
  <c r="I22" i="12" s="1"/>
  <c r="I23" i="12" s="1"/>
  <c r="I24" i="12" s="1"/>
  <c r="I25" i="12" s="1"/>
  <c r="I26" i="12" s="1"/>
  <c r="I27" i="12" s="1"/>
  <c r="F11" i="12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P9" i="12"/>
  <c r="P10" i="12" s="1"/>
  <c r="P11" i="12" s="1"/>
  <c r="P12" i="12" s="1"/>
  <c r="P13" i="12" s="1"/>
  <c r="P14" i="12" s="1"/>
  <c r="P15" i="12" s="1"/>
  <c r="P16" i="12" s="1"/>
  <c r="P17" i="12" s="1"/>
  <c r="P18" i="12" s="1"/>
  <c r="P19" i="12" s="1"/>
  <c r="P20" i="12" s="1"/>
  <c r="P21" i="12" s="1"/>
  <c r="P22" i="12" s="1"/>
  <c r="P23" i="12" s="1"/>
  <c r="P24" i="12" s="1"/>
  <c r="P25" i="12" s="1"/>
  <c r="P26" i="12" s="1"/>
  <c r="P27" i="12" s="1"/>
  <c r="P28" i="12" s="1"/>
  <c r="P29" i="12" s="1"/>
  <c r="P30" i="12" s="1"/>
  <c r="U8" i="12"/>
  <c r="U9" i="12" s="1"/>
  <c r="U10" i="12" s="1"/>
  <c r="U11" i="12" s="1"/>
  <c r="U12" i="12" s="1"/>
  <c r="U13" i="12" s="1"/>
  <c r="U14" i="12" s="1"/>
  <c r="U15" i="12" s="1"/>
  <c r="U16" i="12" s="1"/>
  <c r="U17" i="12" s="1"/>
  <c r="U18" i="12" s="1"/>
  <c r="U19" i="12" s="1"/>
  <c r="U20" i="12" s="1"/>
  <c r="U21" i="12" s="1"/>
  <c r="U22" i="12" s="1"/>
  <c r="U23" i="12" s="1"/>
  <c r="U24" i="12" s="1"/>
  <c r="U25" i="12" s="1"/>
  <c r="U26" i="12" s="1"/>
  <c r="U27" i="12" s="1"/>
  <c r="U28" i="12" s="1"/>
  <c r="U29" i="12" s="1"/>
  <c r="U30" i="12" s="1"/>
  <c r="G8" i="12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G19" i="12" s="1"/>
  <c r="G20" i="12" s="1"/>
  <c r="G21" i="12" s="1"/>
  <c r="G22" i="12" s="1"/>
  <c r="G23" i="12" s="1"/>
  <c r="G24" i="12" s="1"/>
  <c r="G25" i="12" s="1"/>
  <c r="G26" i="12" s="1"/>
  <c r="G27" i="12" s="1"/>
  <c r="G28" i="12" s="1"/>
  <c r="G29" i="12" s="1"/>
  <c r="G30" i="12" s="1"/>
  <c r="Q7" i="12"/>
  <c r="Q8" i="12" s="1"/>
  <c r="Q9" i="12" s="1"/>
  <c r="Q10" i="12" s="1"/>
  <c r="Q11" i="12" s="1"/>
  <c r="Q12" i="12" s="1"/>
  <c r="Q13" i="12" s="1"/>
  <c r="Q14" i="12" s="1"/>
  <c r="Q15" i="12" s="1"/>
  <c r="Q16" i="12" s="1"/>
  <c r="Q17" i="12" s="1"/>
  <c r="Q18" i="12" s="1"/>
  <c r="Q19" i="12" s="1"/>
  <c r="Q20" i="12" s="1"/>
  <c r="Q21" i="12" s="1"/>
  <c r="Q22" i="12" s="1"/>
  <c r="Q23" i="12" s="1"/>
  <c r="Q24" i="12" s="1"/>
  <c r="Q25" i="12" s="1"/>
  <c r="Q26" i="12" s="1"/>
  <c r="Q27" i="12" s="1"/>
  <c r="Q28" i="12" s="1"/>
  <c r="Q29" i="12" s="1"/>
  <c r="Q30" i="12" s="1"/>
  <c r="K6" i="12"/>
  <c r="K7" i="12" s="1"/>
  <c r="K8" i="12" s="1"/>
  <c r="K9" i="12" s="1"/>
  <c r="K10" i="12" s="1"/>
  <c r="K11" i="12" s="1"/>
  <c r="K12" i="12" s="1"/>
  <c r="K13" i="12" s="1"/>
  <c r="K14" i="12" s="1"/>
  <c r="K15" i="12" s="1"/>
  <c r="K16" i="12" s="1"/>
  <c r="K17" i="12" s="1"/>
  <c r="K18" i="12" s="1"/>
  <c r="K19" i="12" s="1"/>
  <c r="K20" i="12" s="1"/>
  <c r="K21" i="12" s="1"/>
  <c r="K22" i="12" s="1"/>
  <c r="K23" i="12" s="1"/>
  <c r="K24" i="12" s="1"/>
  <c r="K25" i="12" s="1"/>
  <c r="K26" i="12" s="1"/>
  <c r="K27" i="12" s="1"/>
  <c r="K28" i="12" s="1"/>
  <c r="K29" i="12" s="1"/>
  <c r="K30" i="12" s="1"/>
  <c r="F6" i="12"/>
  <c r="F7" i="12" s="1"/>
  <c r="F8" i="12" s="1"/>
  <c r="F9" i="12" s="1"/>
  <c r="F10" i="12" s="1"/>
  <c r="Q5" i="12"/>
  <c r="Q6" i="12" s="1"/>
  <c r="P5" i="12"/>
  <c r="P6" i="12" s="1"/>
  <c r="P7" i="12" s="1"/>
  <c r="P8" i="12" s="1"/>
  <c r="O5" i="12"/>
  <c r="O6" i="12" s="1"/>
  <c r="O7" i="12" s="1"/>
  <c r="O8" i="12" s="1"/>
  <c r="O9" i="12" s="1"/>
  <c r="O10" i="12" s="1"/>
  <c r="O11" i="12" s="1"/>
  <c r="O12" i="12" s="1"/>
  <c r="O13" i="12" s="1"/>
  <c r="O14" i="12" s="1"/>
  <c r="O15" i="12" s="1"/>
  <c r="O16" i="12" s="1"/>
  <c r="O17" i="12" s="1"/>
  <c r="O18" i="12" s="1"/>
  <c r="O19" i="12" s="1"/>
  <c r="O20" i="12" s="1"/>
  <c r="O21" i="12" s="1"/>
  <c r="O22" i="12" s="1"/>
  <c r="O23" i="12" s="1"/>
  <c r="O24" i="12" s="1"/>
  <c r="O25" i="12" s="1"/>
  <c r="O26" i="12" s="1"/>
  <c r="O27" i="12" s="1"/>
  <c r="O28" i="12" s="1"/>
  <c r="O29" i="12" s="1"/>
  <c r="O30" i="12" s="1"/>
  <c r="M5" i="12"/>
  <c r="M6" i="12" s="1"/>
  <c r="M7" i="12" s="1"/>
  <c r="M8" i="12" s="1"/>
  <c r="M9" i="12" s="1"/>
  <c r="M10" i="12" s="1"/>
  <c r="M11" i="12" s="1"/>
  <c r="M12" i="12" s="1"/>
  <c r="M13" i="12" s="1"/>
  <c r="M14" i="12" s="1"/>
  <c r="M15" i="12" s="1"/>
  <c r="M16" i="12" s="1"/>
  <c r="M17" i="12" s="1"/>
  <c r="M18" i="12" s="1"/>
  <c r="M19" i="12" s="1"/>
  <c r="M20" i="12" s="1"/>
  <c r="M21" i="12" s="1"/>
  <c r="M22" i="12" s="1"/>
  <c r="M23" i="12" s="1"/>
  <c r="M24" i="12" s="1"/>
  <c r="M25" i="12" s="1"/>
  <c r="M26" i="12" s="1"/>
  <c r="M27" i="12" s="1"/>
  <c r="M28" i="12" s="1"/>
  <c r="M29" i="12" s="1"/>
  <c r="M30" i="12" s="1"/>
  <c r="L5" i="12"/>
  <c r="L6" i="12" s="1"/>
  <c r="L7" i="12" s="1"/>
  <c r="L8" i="12" s="1"/>
  <c r="L9" i="12" s="1"/>
  <c r="L10" i="12" s="1"/>
  <c r="L11" i="12" s="1"/>
  <c r="L12" i="12" s="1"/>
  <c r="L13" i="12" s="1"/>
  <c r="L14" i="12" s="1"/>
  <c r="L15" i="12" s="1"/>
  <c r="L16" i="12" s="1"/>
  <c r="L17" i="12" s="1"/>
  <c r="L18" i="12" s="1"/>
  <c r="L19" i="12" s="1"/>
  <c r="L20" i="12" s="1"/>
  <c r="L21" i="12" s="1"/>
  <c r="L22" i="12" s="1"/>
  <c r="L23" i="12" s="1"/>
  <c r="L24" i="12" s="1"/>
  <c r="L25" i="12" s="1"/>
  <c r="L26" i="12" s="1"/>
  <c r="L27" i="12" s="1"/>
  <c r="L28" i="12" s="1"/>
  <c r="L29" i="12" s="1"/>
  <c r="L30" i="12" s="1"/>
  <c r="K5" i="12"/>
  <c r="D5" i="12"/>
  <c r="D6" i="12" s="1"/>
  <c r="D7" i="12" s="1"/>
  <c r="D8" i="12" s="1"/>
  <c r="D9" i="12" s="1"/>
  <c r="D10" i="12" s="1"/>
  <c r="D11" i="12" s="1"/>
  <c r="D12" i="12" s="1"/>
  <c r="D13" i="12" s="1"/>
  <c r="D14" i="12" s="1"/>
  <c r="D15" i="12" s="1"/>
  <c r="D16" i="12" s="1"/>
  <c r="D17" i="12" s="1"/>
  <c r="D18" i="12" s="1"/>
  <c r="D19" i="12" s="1"/>
  <c r="D20" i="12" s="1"/>
  <c r="D21" i="12" s="1"/>
  <c r="D22" i="12" s="1"/>
  <c r="D23" i="12" s="1"/>
  <c r="D24" i="12" s="1"/>
  <c r="D25" i="12" s="1"/>
  <c r="D26" i="12" s="1"/>
  <c r="D27" i="12" s="1"/>
  <c r="D28" i="12" s="1"/>
  <c r="D29" i="12" s="1"/>
  <c r="D30" i="12" s="1"/>
  <c r="C5" i="12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V4" i="12"/>
  <c r="V5" i="12" s="1"/>
  <c r="V6" i="12" s="1"/>
  <c r="V7" i="12" s="1"/>
  <c r="V8" i="12" s="1"/>
  <c r="V9" i="12" s="1"/>
  <c r="V10" i="12" s="1"/>
  <c r="V11" i="12" s="1"/>
  <c r="V12" i="12" s="1"/>
  <c r="V13" i="12" s="1"/>
  <c r="V14" i="12" s="1"/>
  <c r="V15" i="12" s="1"/>
  <c r="V16" i="12" s="1"/>
  <c r="V17" i="12" s="1"/>
  <c r="V18" i="12" s="1"/>
  <c r="V19" i="12" s="1"/>
  <c r="V20" i="12" s="1"/>
  <c r="V21" i="12" s="1"/>
  <c r="V22" i="12" s="1"/>
  <c r="V23" i="12" s="1"/>
  <c r="V24" i="12" s="1"/>
  <c r="V25" i="12" s="1"/>
  <c r="V26" i="12" s="1"/>
  <c r="V27" i="12" s="1"/>
  <c r="V28" i="12" s="1"/>
  <c r="V29" i="12" s="1"/>
  <c r="V30" i="12" s="1"/>
  <c r="U4" i="12"/>
  <c r="U5" i="12" s="1"/>
  <c r="U6" i="12" s="1"/>
  <c r="U7" i="12" s="1"/>
  <c r="T4" i="12"/>
  <c r="T5" i="12" s="1"/>
  <c r="T6" i="12" s="1"/>
  <c r="T7" i="12" s="1"/>
  <c r="T8" i="12" s="1"/>
  <c r="T9" i="12" s="1"/>
  <c r="T10" i="12" s="1"/>
  <c r="T11" i="12" s="1"/>
  <c r="T12" i="12" s="1"/>
  <c r="T13" i="12" s="1"/>
  <c r="T14" i="12" s="1"/>
  <c r="T15" i="12" s="1"/>
  <c r="T16" i="12" s="1"/>
  <c r="T17" i="12" s="1"/>
  <c r="T18" i="12" s="1"/>
  <c r="T19" i="12" s="1"/>
  <c r="T20" i="12" s="1"/>
  <c r="T21" i="12" s="1"/>
  <c r="T22" i="12" s="1"/>
  <c r="T23" i="12" s="1"/>
  <c r="T24" i="12" s="1"/>
  <c r="T25" i="12" s="1"/>
  <c r="T26" i="12" s="1"/>
  <c r="T27" i="12" s="1"/>
  <c r="T28" i="12" s="1"/>
  <c r="T29" i="12" s="1"/>
  <c r="T30" i="12" s="1"/>
  <c r="S4" i="12"/>
  <c r="S5" i="12" s="1"/>
  <c r="S6" i="12" s="1"/>
  <c r="S7" i="12" s="1"/>
  <c r="S8" i="12" s="1"/>
  <c r="S9" i="12" s="1"/>
  <c r="S10" i="12" s="1"/>
  <c r="S11" i="12" s="1"/>
  <c r="S12" i="12" s="1"/>
  <c r="S13" i="12" s="1"/>
  <c r="S14" i="12" s="1"/>
  <c r="S15" i="12" s="1"/>
  <c r="S16" i="12" s="1"/>
  <c r="S17" i="12" s="1"/>
  <c r="S18" i="12" s="1"/>
  <c r="S19" i="12" s="1"/>
  <c r="S20" i="12" s="1"/>
  <c r="S21" i="12" s="1"/>
  <c r="S22" i="12" s="1"/>
  <c r="S23" i="12" s="1"/>
  <c r="S24" i="12" s="1"/>
  <c r="S25" i="12" s="1"/>
  <c r="S26" i="12" s="1"/>
  <c r="S27" i="12" s="1"/>
  <c r="S28" i="12" s="1"/>
  <c r="S29" i="12" s="1"/>
  <c r="S30" i="12" s="1"/>
  <c r="R4" i="12"/>
  <c r="R5" i="12" s="1"/>
  <c r="R6" i="12" s="1"/>
  <c r="R7" i="12" s="1"/>
  <c r="R8" i="12" s="1"/>
  <c r="R9" i="12" s="1"/>
  <c r="R10" i="12" s="1"/>
  <c r="R11" i="12" s="1"/>
  <c r="R12" i="12" s="1"/>
  <c r="R13" i="12" s="1"/>
  <c r="R14" i="12" s="1"/>
  <c r="R15" i="12" s="1"/>
  <c r="R16" i="12" s="1"/>
  <c r="R17" i="12" s="1"/>
  <c r="R18" i="12" s="1"/>
  <c r="R19" i="12" s="1"/>
  <c r="R20" i="12" s="1"/>
  <c r="R21" i="12" s="1"/>
  <c r="R22" i="12" s="1"/>
  <c r="R23" i="12" s="1"/>
  <c r="R24" i="12" s="1"/>
  <c r="R25" i="12" s="1"/>
  <c r="R26" i="12" s="1"/>
  <c r="R27" i="12" s="1"/>
  <c r="R28" i="12" s="1"/>
  <c r="R29" i="12" s="1"/>
  <c r="R30" i="12" s="1"/>
  <c r="Q4" i="12"/>
  <c r="P4" i="12"/>
  <c r="O4" i="12"/>
  <c r="N4" i="12"/>
  <c r="N5" i="12" s="1"/>
  <c r="N6" i="12" s="1"/>
  <c r="N7" i="12" s="1"/>
  <c r="N8" i="12" s="1"/>
  <c r="N9" i="12" s="1"/>
  <c r="N10" i="12" s="1"/>
  <c r="N11" i="12" s="1"/>
  <c r="N12" i="12" s="1"/>
  <c r="N13" i="12" s="1"/>
  <c r="N14" i="12" s="1"/>
  <c r="N15" i="12" s="1"/>
  <c r="N16" i="12" s="1"/>
  <c r="N17" i="12" s="1"/>
  <c r="N18" i="12" s="1"/>
  <c r="N19" i="12" s="1"/>
  <c r="N20" i="12" s="1"/>
  <c r="N21" i="12" s="1"/>
  <c r="N22" i="12" s="1"/>
  <c r="N23" i="12" s="1"/>
  <c r="N24" i="12" s="1"/>
  <c r="N25" i="12" s="1"/>
  <c r="N26" i="12" s="1"/>
  <c r="N27" i="12" s="1"/>
  <c r="N28" i="12" s="1"/>
  <c r="N29" i="12" s="1"/>
  <c r="N30" i="12" s="1"/>
  <c r="M4" i="12"/>
  <c r="L4" i="12"/>
  <c r="K4" i="12"/>
  <c r="J4" i="12"/>
  <c r="J5" i="12" s="1"/>
  <c r="J6" i="12" s="1"/>
  <c r="J7" i="12" s="1"/>
  <c r="J8" i="12" s="1"/>
  <c r="J9" i="12" s="1"/>
  <c r="J10" i="12" s="1"/>
  <c r="J11" i="12" s="1"/>
  <c r="J12" i="12" s="1"/>
  <c r="J13" i="12" s="1"/>
  <c r="J14" i="12" s="1"/>
  <c r="J15" i="12" s="1"/>
  <c r="J16" i="12" s="1"/>
  <c r="J17" i="12" s="1"/>
  <c r="J18" i="12" s="1"/>
  <c r="J19" i="12" s="1"/>
  <c r="J20" i="12" s="1"/>
  <c r="J21" i="12" s="1"/>
  <c r="J22" i="12" s="1"/>
  <c r="J23" i="12" s="1"/>
  <c r="J24" i="12" s="1"/>
  <c r="J25" i="12" s="1"/>
  <c r="J26" i="12" s="1"/>
  <c r="J27" i="12" s="1"/>
  <c r="J28" i="12" s="1"/>
  <c r="J29" i="12" s="1"/>
  <c r="J30" i="12" s="1"/>
  <c r="I4" i="12"/>
  <c r="I5" i="12" s="1"/>
  <c r="I6" i="12" s="1"/>
  <c r="I7" i="12" s="1"/>
  <c r="I8" i="12" s="1"/>
  <c r="I9" i="12" s="1"/>
  <c r="I10" i="12" s="1"/>
  <c r="I11" i="12" s="1"/>
  <c r="I12" i="12" s="1"/>
  <c r="I13" i="12" s="1"/>
  <c r="I14" i="12" s="1"/>
  <c r="I15" i="12" s="1"/>
  <c r="H4" i="12"/>
  <c r="H5" i="12" s="1"/>
  <c r="H6" i="12" s="1"/>
  <c r="H7" i="12" s="1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H19" i="12" s="1"/>
  <c r="H20" i="12" s="1"/>
  <c r="H21" i="12" s="1"/>
  <c r="H22" i="12" s="1"/>
  <c r="H23" i="12" s="1"/>
  <c r="H24" i="12" s="1"/>
  <c r="H25" i="12" s="1"/>
  <c r="H26" i="12" s="1"/>
  <c r="H27" i="12" s="1"/>
  <c r="H28" i="12" s="1"/>
  <c r="G4" i="12"/>
  <c r="G5" i="12" s="1"/>
  <c r="G6" i="12" s="1"/>
  <c r="G7" i="12" s="1"/>
  <c r="F4" i="12"/>
  <c r="F5" i="12" s="1"/>
  <c r="E4" i="12"/>
  <c r="E5" i="12" s="1"/>
  <c r="E6" i="12" s="1"/>
  <c r="E7" i="12" s="1"/>
  <c r="E8" i="12" s="1"/>
  <c r="E9" i="12" s="1"/>
  <c r="E10" i="12" s="1"/>
  <c r="E11" i="12" s="1"/>
  <c r="E12" i="12" s="1"/>
  <c r="E13" i="12" s="1"/>
  <c r="E14" i="12" s="1"/>
  <c r="E15" i="12" s="1"/>
  <c r="E16" i="12" s="1"/>
  <c r="E17" i="12" s="1"/>
  <c r="E18" i="12" s="1"/>
  <c r="E19" i="12" s="1"/>
  <c r="E20" i="12" s="1"/>
  <c r="E21" i="12" s="1"/>
  <c r="E22" i="12" s="1"/>
  <c r="E23" i="12" s="1"/>
  <c r="E24" i="12" s="1"/>
  <c r="E25" i="12" s="1"/>
  <c r="E26" i="12" s="1"/>
  <c r="E27" i="12" s="1"/>
  <c r="E28" i="12" s="1"/>
  <c r="E29" i="12" s="1"/>
  <c r="E30" i="12" s="1"/>
  <c r="D4" i="12"/>
  <c r="C4" i="12"/>
  <c r="B4" i="12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D11" i="4" l="1"/>
  <c r="D23" i="4"/>
  <c r="F14" i="4"/>
  <c r="F23" i="4"/>
  <c r="F29" i="4"/>
  <c r="C28" i="4"/>
  <c r="C5" i="4"/>
  <c r="C20" i="4"/>
  <c r="C23" i="4"/>
  <c r="D5" i="4"/>
  <c r="D8" i="4"/>
  <c r="D17" i="4"/>
  <c r="E5" i="4"/>
  <c r="E8" i="4"/>
  <c r="E11" i="4"/>
  <c r="E14" i="4"/>
  <c r="E17" i="4"/>
  <c r="E23" i="4"/>
  <c r="E29" i="4"/>
  <c r="F5" i="4"/>
  <c r="F20" i="4"/>
  <c r="C4" i="4"/>
  <c r="H5" i="4"/>
  <c r="H14" i="4"/>
  <c r="C16" i="4"/>
  <c r="C19" i="4"/>
  <c r="H20" i="4"/>
  <c r="C22" i="4"/>
  <c r="C25" i="4"/>
  <c r="D4" i="4"/>
  <c r="D7" i="4"/>
  <c r="D10" i="4"/>
  <c r="D13" i="4"/>
  <c r="J5" i="4"/>
  <c r="J8" i="4"/>
  <c r="E10" i="4"/>
  <c r="J11" i="4"/>
  <c r="E13" i="4"/>
  <c r="J14" i="4"/>
  <c r="J17" i="4"/>
  <c r="E25" i="4"/>
  <c r="F4" i="4"/>
  <c r="K5" i="4"/>
  <c r="F7" i="4"/>
  <c r="K8" i="4"/>
  <c r="F10" i="4"/>
  <c r="K11" i="4"/>
  <c r="F13" i="4"/>
  <c r="K14" i="4"/>
  <c r="F16" i="4"/>
  <c r="K17" i="4"/>
  <c r="F19" i="4"/>
  <c r="K20" i="4"/>
  <c r="F22" i="4"/>
  <c r="K23" i="4"/>
  <c r="F25" i="4"/>
  <c r="F28" i="4"/>
  <c r="C8" i="4"/>
  <c r="C14" i="4"/>
  <c r="C29" i="4"/>
  <c r="C7" i="4"/>
  <c r="H11" i="4"/>
  <c r="H23" i="4"/>
  <c r="D25" i="4"/>
  <c r="D28" i="4"/>
  <c r="E19" i="4"/>
  <c r="J20" i="4"/>
  <c r="E22" i="4"/>
  <c r="J29" i="4"/>
  <c r="C3" i="4"/>
  <c r="H4" i="4"/>
  <c r="L5" i="4"/>
  <c r="C6" i="4"/>
  <c r="H7" i="4"/>
  <c r="L8" i="4"/>
  <c r="C9" i="4"/>
  <c r="H10" i="4"/>
  <c r="L11" i="4"/>
  <c r="C12" i="4"/>
  <c r="H13" i="4"/>
  <c r="L14" i="4"/>
  <c r="C15" i="4"/>
  <c r="H16" i="4"/>
  <c r="L17" i="4"/>
  <c r="C18" i="4"/>
  <c r="H19" i="4"/>
  <c r="L20" i="4"/>
  <c r="C21" i="4"/>
  <c r="H22" i="4"/>
  <c r="L23" i="4"/>
  <c r="C24" i="4"/>
  <c r="H25" i="4"/>
  <c r="C27" i="4"/>
  <c r="H28" i="4"/>
  <c r="C30" i="4"/>
  <c r="C31" i="4" s="1"/>
  <c r="C11" i="4"/>
  <c r="E20" i="4"/>
  <c r="F11" i="4"/>
  <c r="F17" i="4"/>
  <c r="H8" i="4"/>
  <c r="C13" i="4"/>
  <c r="H29" i="4"/>
  <c r="D16" i="4"/>
  <c r="D19" i="4"/>
  <c r="D22" i="4"/>
  <c r="E4" i="4"/>
  <c r="E7" i="4"/>
  <c r="E16" i="4"/>
  <c r="J23" i="4"/>
  <c r="E28" i="4"/>
  <c r="D3" i="4"/>
  <c r="D6" i="4"/>
  <c r="D9" i="4"/>
  <c r="D12" i="4"/>
  <c r="D15" i="4"/>
  <c r="D18" i="4"/>
  <c r="D21" i="4"/>
  <c r="D24" i="4"/>
  <c r="D27" i="4"/>
  <c r="D30" i="4"/>
  <c r="D31" i="4" s="1"/>
  <c r="C17" i="4"/>
  <c r="D14" i="4"/>
  <c r="E3" i="4"/>
  <c r="J4" i="4"/>
  <c r="E6" i="4"/>
  <c r="J7" i="4"/>
  <c r="E9" i="4"/>
  <c r="J10" i="4"/>
  <c r="E12" i="4"/>
  <c r="J13" i="4"/>
  <c r="E15" i="4"/>
  <c r="J16" i="4"/>
  <c r="E18" i="4"/>
  <c r="J19" i="4"/>
  <c r="E21" i="4"/>
  <c r="J22" i="4"/>
  <c r="E24" i="4"/>
  <c r="J25" i="4"/>
  <c r="E27" i="4"/>
  <c r="H4" i="13"/>
  <c r="K56" i="1"/>
  <c r="K55" i="1"/>
  <c r="K54" i="1"/>
  <c r="K59" i="1"/>
  <c r="K58" i="1"/>
  <c r="H28" i="13"/>
  <c r="H27" i="13"/>
  <c r="H25" i="13"/>
  <c r="H24" i="13"/>
  <c r="H20" i="13"/>
  <c r="J20" i="13" s="1"/>
  <c r="H19" i="13"/>
  <c r="J19" i="13" s="1"/>
  <c r="H12" i="13"/>
  <c r="I12" i="13" s="1"/>
  <c r="J29" i="14"/>
  <c r="I29" i="14"/>
  <c r="G28" i="14"/>
  <c r="C28" i="14"/>
  <c r="B28" i="14"/>
  <c r="J26" i="14"/>
  <c r="I26" i="14"/>
  <c r="J25" i="14"/>
  <c r="I25" i="14"/>
  <c r="J24" i="14"/>
  <c r="I24" i="14"/>
  <c r="J23" i="14"/>
  <c r="I23" i="14"/>
  <c r="J22" i="14"/>
  <c r="I22" i="14"/>
  <c r="J21" i="14"/>
  <c r="I21" i="14"/>
  <c r="J19" i="14"/>
  <c r="I19" i="14"/>
  <c r="J18" i="14"/>
  <c r="I18" i="14"/>
  <c r="J17" i="14"/>
  <c r="I17" i="14"/>
  <c r="J16" i="14"/>
  <c r="I16" i="14"/>
  <c r="J15" i="14"/>
  <c r="I15" i="14"/>
  <c r="J13" i="14"/>
  <c r="I13" i="14"/>
  <c r="J11" i="14"/>
  <c r="I11" i="14"/>
  <c r="J10" i="14"/>
  <c r="I10" i="14"/>
  <c r="J9" i="14"/>
  <c r="I9" i="14"/>
  <c r="J8" i="14"/>
  <c r="I8" i="14"/>
  <c r="J7" i="14"/>
  <c r="I7" i="14"/>
  <c r="J6" i="14"/>
  <c r="I6" i="14"/>
  <c r="J4" i="14"/>
  <c r="I4" i="14"/>
  <c r="J2" i="14"/>
  <c r="I2" i="14"/>
  <c r="J30" i="13"/>
  <c r="I30" i="13"/>
  <c r="J29" i="13"/>
  <c r="I29" i="13"/>
  <c r="G28" i="13"/>
  <c r="J28" i="13" s="1"/>
  <c r="F28" i="13"/>
  <c r="I28" i="13" s="1"/>
  <c r="E28" i="13"/>
  <c r="D28" i="13"/>
  <c r="C28" i="13"/>
  <c r="B28" i="13"/>
  <c r="J27" i="13"/>
  <c r="I27" i="13"/>
  <c r="N56" i="1" s="1"/>
  <c r="J26" i="13"/>
  <c r="I26" i="13"/>
  <c r="J25" i="13"/>
  <c r="I25" i="13"/>
  <c r="J24" i="13"/>
  <c r="I24" i="13"/>
  <c r="J23" i="13"/>
  <c r="I23" i="13"/>
  <c r="J22" i="13"/>
  <c r="I22" i="13"/>
  <c r="J21" i="13"/>
  <c r="I21" i="13"/>
  <c r="J18" i="13"/>
  <c r="I18" i="13"/>
  <c r="J17" i="13"/>
  <c r="I17" i="13"/>
  <c r="J16" i="13"/>
  <c r="I16" i="13"/>
  <c r="J15" i="13"/>
  <c r="I15" i="13"/>
  <c r="J13" i="13"/>
  <c r="I13" i="13"/>
  <c r="J11" i="13"/>
  <c r="I11" i="13"/>
  <c r="J10" i="13"/>
  <c r="I10" i="13"/>
  <c r="J9" i="13"/>
  <c r="I9" i="13"/>
  <c r="J8" i="13"/>
  <c r="I8" i="13"/>
  <c r="J7" i="13"/>
  <c r="I7" i="13"/>
  <c r="J6" i="13"/>
  <c r="I6" i="13"/>
  <c r="J4" i="13"/>
  <c r="I4" i="13"/>
  <c r="J2" i="13"/>
  <c r="I2" i="13"/>
  <c r="H16" i="13" l="1"/>
  <c r="H5" i="13"/>
  <c r="J5" i="13" s="1"/>
  <c r="H10" i="13"/>
  <c r="H13" i="13"/>
  <c r="H17" i="13"/>
  <c r="H26" i="13"/>
  <c r="H2" i="13"/>
  <c r="H6" i="13"/>
  <c r="H21" i="13"/>
  <c r="H3" i="13"/>
  <c r="J3" i="13" s="1"/>
  <c r="H8" i="13"/>
  <c r="H22" i="13"/>
  <c r="H29" i="13"/>
  <c r="H9" i="13"/>
  <c r="H14" i="13"/>
  <c r="J14" i="13" s="1"/>
  <c r="H11" i="13"/>
  <c r="H15" i="13"/>
  <c r="H18" i="13"/>
  <c r="H30" i="13"/>
  <c r="H7" i="13"/>
  <c r="H23" i="13"/>
  <c r="N54" i="1"/>
  <c r="N55" i="1"/>
  <c r="J12" i="13"/>
  <c r="I20" i="13"/>
  <c r="I19" i="13"/>
  <c r="G54" i="1"/>
  <c r="I14" i="13" l="1"/>
  <c r="I5" i="13"/>
  <c r="I3" i="13"/>
  <c r="K79" i="1"/>
  <c r="K78" i="1"/>
  <c r="K77" i="1"/>
  <c r="K76" i="1"/>
  <c r="K75" i="1"/>
  <c r="K74" i="1"/>
  <c r="K73" i="1"/>
  <c r="K72" i="1"/>
  <c r="K71" i="1"/>
  <c r="K70" i="1"/>
  <c r="K69" i="1"/>
  <c r="K68" i="1"/>
  <c r="L79" i="1"/>
  <c r="L78" i="1"/>
  <c r="L77" i="1"/>
  <c r="L76" i="1"/>
  <c r="L75" i="1"/>
  <c r="L74" i="1"/>
  <c r="L73" i="1"/>
  <c r="L72" i="1"/>
  <c r="L71" i="1"/>
  <c r="L70" i="1"/>
  <c r="L69" i="1"/>
  <c r="L68" i="1"/>
  <c r="G79" i="1"/>
  <c r="G78" i="1"/>
  <c r="G77" i="1"/>
  <c r="G76" i="1"/>
  <c r="G75" i="1"/>
  <c r="G74" i="1"/>
  <c r="G73" i="1"/>
  <c r="G72" i="1"/>
  <c r="G71" i="1"/>
  <c r="G70" i="1"/>
  <c r="G69" i="1"/>
  <c r="G68" i="1"/>
  <c r="M70" i="1" l="1"/>
  <c r="R70" i="1" s="1"/>
  <c r="M71" i="1"/>
  <c r="R71" i="1" s="1"/>
  <c r="M72" i="1"/>
  <c r="R72" i="1" s="1"/>
  <c r="M73" i="1"/>
  <c r="R73" i="1" s="1"/>
  <c r="M74" i="1"/>
  <c r="R74" i="1" s="1"/>
  <c r="M75" i="1"/>
  <c r="R75" i="1" s="1"/>
  <c r="M68" i="1"/>
  <c r="R68" i="1" s="1"/>
  <c r="M69" i="1"/>
  <c r="R69" i="1" s="1"/>
  <c r="M76" i="1"/>
  <c r="R76" i="1" s="1"/>
  <c r="M77" i="1"/>
  <c r="R77" i="1" s="1"/>
  <c r="M78" i="1"/>
  <c r="R78" i="1" s="1"/>
  <c r="M79" i="1"/>
  <c r="R79" i="1" s="1"/>
  <c r="O79" i="1"/>
  <c r="P79" i="1" s="1"/>
  <c r="O68" i="1"/>
  <c r="P68" i="1" s="1"/>
  <c r="S68" i="1" s="1"/>
  <c r="O69" i="1"/>
  <c r="O70" i="1"/>
  <c r="P70" i="1" s="1"/>
  <c r="O71" i="1"/>
  <c r="P71" i="1" s="1"/>
  <c r="S71" i="1" s="1"/>
  <c r="O72" i="1"/>
  <c r="O73" i="1"/>
  <c r="O74" i="1"/>
  <c r="O75" i="1"/>
  <c r="P75" i="1" s="1"/>
  <c r="S75" i="1" s="1"/>
  <c r="O76" i="1"/>
  <c r="P76" i="1" s="1"/>
  <c r="S76" i="1" s="1"/>
  <c r="O77" i="1"/>
  <c r="P77" i="1" s="1"/>
  <c r="O78" i="1"/>
  <c r="P78" i="1" s="1"/>
  <c r="S78" i="1" l="1"/>
  <c r="S70" i="1"/>
  <c r="P73" i="1"/>
  <c r="S73" i="1" s="1"/>
  <c r="S77" i="1"/>
  <c r="P72" i="1"/>
  <c r="S72" i="1" s="1"/>
  <c r="P74" i="1"/>
  <c r="S74" i="1" s="1"/>
  <c r="P69" i="1"/>
  <c r="S69" i="1" s="1"/>
  <c r="S79" i="1"/>
  <c r="L66" i="1"/>
  <c r="G66" i="1"/>
  <c r="K66" i="1"/>
  <c r="L64" i="1"/>
  <c r="P64" i="1" s="1"/>
  <c r="L63" i="1"/>
  <c r="P63" i="1" s="1"/>
  <c r="L62" i="1"/>
  <c r="L61" i="1"/>
  <c r="P61" i="1" s="1"/>
  <c r="G64" i="1"/>
  <c r="G63" i="1"/>
  <c r="G62" i="1"/>
  <c r="G61" i="1"/>
  <c r="K64" i="1"/>
  <c r="K63" i="1"/>
  <c r="K62" i="1"/>
  <c r="K61" i="1"/>
  <c r="G59" i="1"/>
  <c r="G58" i="1"/>
  <c r="L56" i="1"/>
  <c r="L55" i="1"/>
  <c r="L54" i="1"/>
  <c r="G56" i="1"/>
  <c r="G55" i="1"/>
  <c r="M55" i="1" l="1"/>
  <c r="R55" i="1" s="1"/>
  <c r="P55" i="1"/>
  <c r="S55" i="1" s="1"/>
  <c r="M56" i="1"/>
  <c r="R56" i="1" s="1"/>
  <c r="P56" i="1"/>
  <c r="S56" i="1" s="1"/>
  <c r="P62" i="1"/>
  <c r="S62" i="1" s="1"/>
  <c r="P54" i="1"/>
  <c r="S54" i="1" s="1"/>
  <c r="P66" i="1"/>
  <c r="S66" i="1" s="1"/>
  <c r="M62" i="1"/>
  <c r="R62" i="1" s="1"/>
  <c r="M63" i="1"/>
  <c r="R63" i="1" s="1"/>
  <c r="M61" i="1"/>
  <c r="R61" i="1" s="1"/>
  <c r="S64" i="1"/>
  <c r="S61" i="1"/>
  <c r="M64" i="1"/>
  <c r="R64" i="1" s="1"/>
  <c r="S63" i="1"/>
  <c r="M66" i="1"/>
  <c r="R66" i="1" s="1"/>
  <c r="M54" i="1"/>
  <c r="R54" i="1" s="1"/>
  <c r="L35" i="1" l="1"/>
  <c r="P35" i="1" s="1"/>
  <c r="L50" i="1" l="1"/>
  <c r="L51" i="1"/>
  <c r="L52" i="1"/>
  <c r="L49" i="1"/>
  <c r="L45" i="1"/>
  <c r="G43" i="1"/>
  <c r="L43" i="1"/>
  <c r="K52" i="1"/>
  <c r="K51" i="1"/>
  <c r="K50" i="1"/>
  <c r="K49" i="1"/>
  <c r="K43" i="1"/>
  <c r="K47" i="1"/>
  <c r="K46" i="1"/>
  <c r="L46" i="1"/>
  <c r="L47" i="1"/>
  <c r="G46" i="1"/>
  <c r="G47" i="1"/>
  <c r="L15" i="1"/>
  <c r="P15" i="1" s="1"/>
  <c r="L14" i="1"/>
  <c r="G15" i="1"/>
  <c r="G14" i="1"/>
  <c r="K15" i="1"/>
  <c r="K14" i="1"/>
  <c r="G45" i="1"/>
  <c r="G44" i="1"/>
  <c r="G36" i="1"/>
  <c r="G35" i="1"/>
  <c r="G34" i="1"/>
  <c r="G32" i="1"/>
  <c r="G31" i="1"/>
  <c r="G29" i="1"/>
  <c r="G28" i="1"/>
  <c r="G26" i="1"/>
  <c r="G25" i="1"/>
  <c r="G24" i="1"/>
  <c r="G22" i="1"/>
  <c r="G21" i="1"/>
  <c r="G20" i="1"/>
  <c r="G19" i="1"/>
  <c r="G18" i="1"/>
  <c r="G17" i="1"/>
  <c r="G41" i="1"/>
  <c r="G40" i="1"/>
  <c r="G38" i="1"/>
  <c r="G39" i="1"/>
  <c r="G12" i="1"/>
  <c r="G11" i="1"/>
  <c r="M49" i="1" l="1"/>
  <c r="R49" i="1" s="1"/>
  <c r="P49" i="1"/>
  <c r="M52" i="1"/>
  <c r="R52" i="1" s="1"/>
  <c r="P52" i="1"/>
  <c r="M47" i="1"/>
  <c r="R47" i="1" s="1"/>
  <c r="M46" i="1"/>
  <c r="R46" i="1" s="1"/>
  <c r="M51" i="1"/>
  <c r="R51" i="1" s="1"/>
  <c r="P51" i="1"/>
  <c r="M50" i="1"/>
  <c r="R50" i="1" s="1"/>
  <c r="P50" i="1"/>
  <c r="M14" i="1"/>
  <c r="R14" i="1" s="1"/>
  <c r="P14" i="1"/>
  <c r="S14" i="1" s="1"/>
  <c r="M15" i="1"/>
  <c r="R15" i="1" s="1"/>
  <c r="H3" i="11"/>
  <c r="H4" i="11"/>
  <c r="J4" i="11" s="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I19" i="11" s="1"/>
  <c r="H20" i="11"/>
  <c r="H21" i="11"/>
  <c r="H22" i="11"/>
  <c r="H23" i="11"/>
  <c r="H24" i="11"/>
  <c r="H25" i="11"/>
  <c r="H26" i="11"/>
  <c r="H27" i="11"/>
  <c r="J27" i="11" s="1"/>
  <c r="H28" i="11"/>
  <c r="H29" i="11"/>
  <c r="H30" i="11"/>
  <c r="H2" i="11"/>
  <c r="J30" i="11"/>
  <c r="I30" i="11"/>
  <c r="J29" i="11"/>
  <c r="I29" i="11"/>
  <c r="G28" i="11"/>
  <c r="F28" i="11"/>
  <c r="E28" i="11"/>
  <c r="D28" i="11"/>
  <c r="C28" i="11"/>
  <c r="J26" i="11"/>
  <c r="I26" i="11"/>
  <c r="J25" i="11"/>
  <c r="I25" i="11"/>
  <c r="J24" i="11"/>
  <c r="I24" i="11"/>
  <c r="J23" i="11"/>
  <c r="I23" i="11"/>
  <c r="J22" i="11"/>
  <c r="I22" i="11"/>
  <c r="J21" i="11"/>
  <c r="I21" i="11"/>
  <c r="J18" i="11"/>
  <c r="I18" i="11"/>
  <c r="J17" i="11"/>
  <c r="I17" i="11"/>
  <c r="J16" i="11"/>
  <c r="I16" i="11"/>
  <c r="J15" i="11"/>
  <c r="I15" i="11"/>
  <c r="J13" i="11"/>
  <c r="I13" i="11"/>
  <c r="J11" i="11"/>
  <c r="I11" i="11"/>
  <c r="J10" i="11"/>
  <c r="I10" i="11"/>
  <c r="J9" i="11"/>
  <c r="I9" i="11"/>
  <c r="J8" i="11"/>
  <c r="I8" i="11"/>
  <c r="J7" i="11"/>
  <c r="I7" i="11"/>
  <c r="J6" i="11"/>
  <c r="I6" i="11"/>
  <c r="J5" i="11"/>
  <c r="I5" i="11"/>
  <c r="J3" i="11"/>
  <c r="J2" i="11"/>
  <c r="I2" i="11"/>
  <c r="H3" i="10"/>
  <c r="H4" i="10"/>
  <c r="I4" i="10" s="1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J19" i="10" s="1"/>
  <c r="H20" i="10"/>
  <c r="H21" i="10"/>
  <c r="H22" i="10"/>
  <c r="H23" i="10"/>
  <c r="H24" i="10"/>
  <c r="H25" i="10"/>
  <c r="H26" i="10"/>
  <c r="H27" i="10"/>
  <c r="H28" i="10"/>
  <c r="H29" i="10"/>
  <c r="H30" i="10"/>
  <c r="H2" i="10"/>
  <c r="J30" i="10"/>
  <c r="I30" i="10"/>
  <c r="J29" i="10"/>
  <c r="I29" i="10"/>
  <c r="G28" i="10"/>
  <c r="F28" i="10"/>
  <c r="E28" i="10"/>
  <c r="D28" i="10"/>
  <c r="C28" i="10"/>
  <c r="B28" i="10"/>
  <c r="J26" i="10"/>
  <c r="I26" i="10"/>
  <c r="J25" i="10"/>
  <c r="I25" i="10"/>
  <c r="J24" i="10"/>
  <c r="I24" i="10"/>
  <c r="J23" i="10"/>
  <c r="I23" i="10"/>
  <c r="J22" i="10"/>
  <c r="I22" i="10"/>
  <c r="J21" i="10"/>
  <c r="I21" i="10"/>
  <c r="J18" i="10"/>
  <c r="I18" i="10"/>
  <c r="J17" i="10"/>
  <c r="I17" i="10"/>
  <c r="J16" i="10"/>
  <c r="I16" i="10"/>
  <c r="J15" i="10"/>
  <c r="I15" i="10"/>
  <c r="J14" i="10"/>
  <c r="J13" i="10"/>
  <c r="I13" i="10"/>
  <c r="J11" i="10"/>
  <c r="I11" i="10"/>
  <c r="J10" i="10"/>
  <c r="I10" i="10"/>
  <c r="J9" i="10"/>
  <c r="I9" i="10"/>
  <c r="J8" i="10"/>
  <c r="I8" i="10"/>
  <c r="J7" i="10"/>
  <c r="I7" i="10"/>
  <c r="J6" i="10"/>
  <c r="I6" i="10"/>
  <c r="J5" i="10"/>
  <c r="I5" i="10"/>
  <c r="J2" i="10"/>
  <c r="I2" i="10"/>
  <c r="H30" i="9"/>
  <c r="H3" i="9"/>
  <c r="H4" i="9"/>
  <c r="H5" i="9"/>
  <c r="H6" i="9"/>
  <c r="H7" i="9"/>
  <c r="H8" i="9"/>
  <c r="H9" i="9"/>
  <c r="H10" i="9"/>
  <c r="H11" i="9"/>
  <c r="H12" i="9"/>
  <c r="J12" i="9" s="1"/>
  <c r="H13" i="9"/>
  <c r="H14" i="9"/>
  <c r="H15" i="9"/>
  <c r="H16" i="9"/>
  <c r="H17" i="9"/>
  <c r="H18" i="9"/>
  <c r="H19" i="9"/>
  <c r="I19" i="9" s="1"/>
  <c r="H20" i="9"/>
  <c r="H21" i="9"/>
  <c r="H22" i="9"/>
  <c r="H23" i="9"/>
  <c r="H24" i="9"/>
  <c r="H25" i="9"/>
  <c r="H26" i="9"/>
  <c r="H27" i="9"/>
  <c r="H28" i="9"/>
  <c r="H29" i="9"/>
  <c r="H2" i="9"/>
  <c r="J30" i="9"/>
  <c r="I30" i="9"/>
  <c r="J29" i="9"/>
  <c r="I29" i="9"/>
  <c r="G28" i="9"/>
  <c r="F28" i="9"/>
  <c r="E28" i="9"/>
  <c r="D28" i="9"/>
  <c r="C28" i="9"/>
  <c r="B28" i="9"/>
  <c r="J26" i="9"/>
  <c r="I26" i="9"/>
  <c r="J25" i="9"/>
  <c r="I25" i="9"/>
  <c r="J24" i="9"/>
  <c r="I24" i="9"/>
  <c r="J23" i="9"/>
  <c r="I23" i="9"/>
  <c r="J22" i="9"/>
  <c r="I22" i="9"/>
  <c r="J21" i="9"/>
  <c r="I21" i="9"/>
  <c r="J18" i="9"/>
  <c r="I18" i="9"/>
  <c r="J17" i="9"/>
  <c r="I17" i="9"/>
  <c r="J16" i="9"/>
  <c r="I16" i="9"/>
  <c r="J15" i="9"/>
  <c r="I15" i="9"/>
  <c r="J13" i="9"/>
  <c r="I13" i="9"/>
  <c r="J11" i="9"/>
  <c r="I11" i="9"/>
  <c r="J10" i="9"/>
  <c r="I10" i="9"/>
  <c r="J9" i="9"/>
  <c r="I9" i="9"/>
  <c r="J8" i="9"/>
  <c r="I8" i="9"/>
  <c r="J7" i="9"/>
  <c r="I7" i="9"/>
  <c r="J6" i="9"/>
  <c r="I6" i="9"/>
  <c r="J5" i="9"/>
  <c r="I5" i="9"/>
  <c r="J2" i="9"/>
  <c r="I2" i="9"/>
  <c r="L38" i="1"/>
  <c r="L41" i="1"/>
  <c r="L40" i="1"/>
  <c r="L39" i="1"/>
  <c r="I28" i="9" l="1"/>
  <c r="J19" i="11"/>
  <c r="S15" i="1"/>
  <c r="I12" i="11"/>
  <c r="J4" i="9"/>
  <c r="J14" i="9"/>
  <c r="J14" i="11"/>
  <c r="I12" i="10"/>
  <c r="K40" i="1"/>
  <c r="I4" i="9"/>
  <c r="I3" i="11"/>
  <c r="I12" i="9"/>
  <c r="I14" i="9"/>
  <c r="I27" i="9"/>
  <c r="B28" i="11"/>
  <c r="J28" i="11" s="1"/>
  <c r="I14" i="10"/>
  <c r="J20" i="10"/>
  <c r="J12" i="10"/>
  <c r="J4" i="10"/>
  <c r="J27" i="10"/>
  <c r="I3" i="10"/>
  <c r="K39" i="1"/>
  <c r="K38" i="1"/>
  <c r="I20" i="11"/>
  <c r="K41" i="1"/>
  <c r="J20" i="9"/>
  <c r="I14" i="11"/>
  <c r="J27" i="9"/>
  <c r="J3" i="9"/>
  <c r="J20" i="11"/>
  <c r="I4" i="11"/>
  <c r="I27" i="11"/>
  <c r="M41" i="1"/>
  <c r="R41" i="1" s="1"/>
  <c r="M38" i="1"/>
  <c r="R38" i="1" s="1"/>
  <c r="M40" i="1"/>
  <c r="R40" i="1" s="1"/>
  <c r="M39" i="1"/>
  <c r="R39" i="1" s="1"/>
  <c r="J12" i="11"/>
  <c r="I20" i="10"/>
  <c r="I28" i="10"/>
  <c r="J28" i="10"/>
  <c r="I19" i="10"/>
  <c r="I27" i="10"/>
  <c r="J3" i="10"/>
  <c r="I3" i="9"/>
  <c r="J19" i="9"/>
  <c r="J28" i="9"/>
  <c r="I20" i="9"/>
  <c r="G28" i="6"/>
  <c r="F28" i="6"/>
  <c r="E28" i="6"/>
  <c r="D28" i="6"/>
  <c r="C28" i="6"/>
  <c r="B28" i="6"/>
  <c r="L22" i="1"/>
  <c r="P22" i="1" s="1"/>
  <c r="G28" i="7"/>
  <c r="F28" i="7"/>
  <c r="E28" i="7"/>
  <c r="D28" i="7"/>
  <c r="C28" i="7"/>
  <c r="B28" i="7"/>
  <c r="G28" i="8"/>
  <c r="E28" i="8"/>
  <c r="B28" i="8"/>
  <c r="C28" i="8"/>
  <c r="G28" i="3"/>
  <c r="J28" i="3" s="1"/>
  <c r="F28" i="3"/>
  <c r="E28" i="3"/>
  <c r="D28" i="3"/>
  <c r="C28" i="3"/>
  <c r="B28" i="3"/>
  <c r="G28" i="2"/>
  <c r="F28" i="2"/>
  <c r="E28" i="2"/>
  <c r="D28" i="2"/>
  <c r="C28" i="2"/>
  <c r="B28" i="2"/>
  <c r="H27" i="7"/>
  <c r="H28" i="7"/>
  <c r="H29" i="7"/>
  <c r="I29" i="7"/>
  <c r="J29" i="7"/>
  <c r="H30" i="7"/>
  <c r="I30" i="7"/>
  <c r="J30" i="7"/>
  <c r="H27" i="8"/>
  <c r="H28" i="8"/>
  <c r="H29" i="8"/>
  <c r="I29" i="8"/>
  <c r="J29" i="8"/>
  <c r="H27" i="3"/>
  <c r="I27" i="3"/>
  <c r="J27" i="3"/>
  <c r="H28" i="3"/>
  <c r="I28" i="3"/>
  <c r="H29" i="3"/>
  <c r="I29" i="3"/>
  <c r="J29" i="3"/>
  <c r="H30" i="3"/>
  <c r="I30" i="3"/>
  <c r="J30" i="3"/>
  <c r="I29" i="2"/>
  <c r="J29" i="2"/>
  <c r="H30" i="2"/>
  <c r="I30" i="2"/>
  <c r="J30" i="2"/>
  <c r="H27" i="6"/>
  <c r="J27" i="6" s="1"/>
  <c r="H28" i="6"/>
  <c r="H29" i="6"/>
  <c r="I29" i="6"/>
  <c r="J29" i="6"/>
  <c r="H30" i="6"/>
  <c r="I30" i="6"/>
  <c r="J30" i="6"/>
  <c r="L44" i="1"/>
  <c r="L36" i="1"/>
  <c r="P36" i="1" s="1"/>
  <c r="L34" i="1"/>
  <c r="P34" i="1" s="1"/>
  <c r="L32" i="1"/>
  <c r="L31" i="1"/>
  <c r="L26" i="1"/>
  <c r="L25" i="1"/>
  <c r="L24" i="1"/>
  <c r="L12" i="1"/>
  <c r="P12" i="1" s="1"/>
  <c r="L11" i="1"/>
  <c r="P11" i="1" s="1"/>
  <c r="N40" i="1" l="1"/>
  <c r="N41" i="1"/>
  <c r="I28" i="11"/>
  <c r="N39" i="1"/>
  <c r="N38" i="1"/>
  <c r="I27" i="6"/>
  <c r="I28" i="6"/>
  <c r="L17" i="1"/>
  <c r="P17" i="1" s="1"/>
  <c r="L18" i="1"/>
  <c r="P18" i="1" s="1"/>
  <c r="L19" i="1"/>
  <c r="P19" i="1" s="1"/>
  <c r="L20" i="1"/>
  <c r="P20" i="1" s="1"/>
  <c r="L21" i="1"/>
  <c r="P21" i="1" s="1"/>
  <c r="J28" i="6"/>
  <c r="P38" i="1" l="1"/>
  <c r="S38" i="1" s="1"/>
  <c r="P40" i="1"/>
  <c r="S40" i="1" s="1"/>
  <c r="P39" i="1"/>
  <c r="S39" i="1" s="1"/>
  <c r="P41" i="1"/>
  <c r="S41" i="1" s="1"/>
  <c r="I27" i="8"/>
  <c r="J27" i="8"/>
  <c r="K27" i="8" s="1"/>
  <c r="M17" i="1"/>
  <c r="K12" i="1"/>
  <c r="K11" i="1"/>
  <c r="J27" i="7" l="1"/>
  <c r="I27" i="7"/>
  <c r="J28" i="8"/>
  <c r="I28" i="8"/>
  <c r="M12" i="1"/>
  <c r="R12" i="1" s="1"/>
  <c r="M11" i="1"/>
  <c r="R11" i="1" s="1"/>
  <c r="J28" i="7" l="1"/>
  <c r="I28" i="7"/>
  <c r="K17" i="1"/>
  <c r="H26" i="7"/>
  <c r="H25" i="7"/>
  <c r="H24" i="7"/>
  <c r="H23" i="7"/>
  <c r="H22" i="7"/>
  <c r="H21" i="7"/>
  <c r="H20" i="7"/>
  <c r="J20" i="7" s="1"/>
  <c r="H19" i="7"/>
  <c r="I19" i="7" s="1"/>
  <c r="H18" i="7"/>
  <c r="H17" i="7"/>
  <c r="H16" i="7"/>
  <c r="H15" i="7"/>
  <c r="H14" i="7"/>
  <c r="I14" i="7" s="1"/>
  <c r="H13" i="7"/>
  <c r="H12" i="7"/>
  <c r="J12" i="7" s="1"/>
  <c r="H11" i="7"/>
  <c r="H10" i="7"/>
  <c r="H9" i="7"/>
  <c r="H8" i="7"/>
  <c r="H7" i="7"/>
  <c r="H6" i="7"/>
  <c r="H5" i="7"/>
  <c r="H4" i="7"/>
  <c r="H3" i="7"/>
  <c r="I3" i="7" s="1"/>
  <c r="H2" i="7"/>
  <c r="J26" i="7"/>
  <c r="I26" i="7"/>
  <c r="J25" i="7"/>
  <c r="I25" i="7"/>
  <c r="J24" i="7"/>
  <c r="I24" i="7"/>
  <c r="J23" i="7"/>
  <c r="I23" i="7"/>
  <c r="J22" i="7"/>
  <c r="I22" i="7"/>
  <c r="J21" i="7"/>
  <c r="I21" i="7"/>
  <c r="J18" i="7"/>
  <c r="I18" i="7"/>
  <c r="J17" i="7"/>
  <c r="I17" i="7"/>
  <c r="J16" i="7"/>
  <c r="I16" i="7"/>
  <c r="J15" i="7"/>
  <c r="I15" i="7"/>
  <c r="J13" i="7"/>
  <c r="I13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2" i="7"/>
  <c r="I2" i="7"/>
  <c r="H3" i="8"/>
  <c r="I3" i="8" s="1"/>
  <c r="H4" i="8"/>
  <c r="H5" i="8"/>
  <c r="J5" i="8" s="1"/>
  <c r="H6" i="8"/>
  <c r="H7" i="8"/>
  <c r="H8" i="8"/>
  <c r="H9" i="8"/>
  <c r="H10" i="8"/>
  <c r="H11" i="8"/>
  <c r="H12" i="8"/>
  <c r="J12" i="8" s="1"/>
  <c r="H13" i="8"/>
  <c r="H14" i="8"/>
  <c r="J14" i="8" s="1"/>
  <c r="H15" i="8"/>
  <c r="H16" i="8"/>
  <c r="H17" i="8"/>
  <c r="H18" i="8"/>
  <c r="H19" i="8"/>
  <c r="H20" i="8"/>
  <c r="J20" i="8" s="1"/>
  <c r="H21" i="8"/>
  <c r="H22" i="8"/>
  <c r="H23" i="8"/>
  <c r="H24" i="8"/>
  <c r="H25" i="8"/>
  <c r="H26" i="8"/>
  <c r="H2" i="8"/>
  <c r="K45" i="1"/>
  <c r="K44" i="1"/>
  <c r="J26" i="8"/>
  <c r="I26" i="8"/>
  <c r="J25" i="8"/>
  <c r="I25" i="8"/>
  <c r="J24" i="8"/>
  <c r="I24" i="8"/>
  <c r="J23" i="8"/>
  <c r="I23" i="8"/>
  <c r="J22" i="8"/>
  <c r="I22" i="8"/>
  <c r="J21" i="8"/>
  <c r="I21" i="8"/>
  <c r="J19" i="8"/>
  <c r="I19" i="8"/>
  <c r="J18" i="8"/>
  <c r="I18" i="8"/>
  <c r="J17" i="8"/>
  <c r="I17" i="8"/>
  <c r="J16" i="8"/>
  <c r="I16" i="8"/>
  <c r="J15" i="8"/>
  <c r="I15" i="8"/>
  <c r="J13" i="8"/>
  <c r="I13" i="8"/>
  <c r="J11" i="8"/>
  <c r="I11" i="8"/>
  <c r="J10" i="8"/>
  <c r="I10" i="8"/>
  <c r="J9" i="8"/>
  <c r="I9" i="8"/>
  <c r="J8" i="8"/>
  <c r="I8" i="8"/>
  <c r="J7" i="8"/>
  <c r="I7" i="8"/>
  <c r="J6" i="8"/>
  <c r="I6" i="8"/>
  <c r="J4" i="8"/>
  <c r="I4" i="8"/>
  <c r="J2" i="8"/>
  <c r="I2" i="8"/>
  <c r="J4" i="7" l="1"/>
  <c r="I4" i="7"/>
  <c r="S51" i="1"/>
  <c r="S50" i="1"/>
  <c r="S49" i="1"/>
  <c r="S52" i="1"/>
  <c r="N46" i="1"/>
  <c r="N47" i="1"/>
  <c r="I20" i="7"/>
  <c r="J3" i="8"/>
  <c r="I14" i="8"/>
  <c r="I5" i="8"/>
  <c r="J19" i="7"/>
  <c r="I12" i="8"/>
  <c r="I20" i="8"/>
  <c r="N44" i="1" s="1"/>
  <c r="P44" i="1" s="1"/>
  <c r="J3" i="7"/>
  <c r="J14" i="7"/>
  <c r="I12" i="7"/>
  <c r="M43" i="1"/>
  <c r="R43" i="1" s="1"/>
  <c r="M44" i="1"/>
  <c r="R44" i="1" s="1"/>
  <c r="M45" i="1"/>
  <c r="R45" i="1" s="1"/>
  <c r="P47" i="1" l="1"/>
  <c r="S47" i="1" s="1"/>
  <c r="P46" i="1"/>
  <c r="S46" i="1" s="1"/>
  <c r="N45" i="1"/>
  <c r="N43" i="1"/>
  <c r="S44" i="1"/>
  <c r="M22" i="1"/>
  <c r="R22" i="1" s="1"/>
  <c r="K22" i="1"/>
  <c r="K36" i="1"/>
  <c r="K35" i="1"/>
  <c r="K34" i="1"/>
  <c r="K32" i="1"/>
  <c r="K29" i="1"/>
  <c r="K31" i="1"/>
  <c r="K28" i="1"/>
  <c r="K26" i="1"/>
  <c r="K25" i="1"/>
  <c r="K24" i="1"/>
  <c r="K21" i="1"/>
  <c r="K20" i="1"/>
  <c r="K19" i="1"/>
  <c r="K18" i="1"/>
  <c r="P43" i="1" l="1"/>
  <c r="S43" i="1" s="1"/>
  <c r="P45" i="1"/>
  <c r="S45" i="1" s="1"/>
  <c r="S22" i="1"/>
  <c r="S35" i="1"/>
  <c r="S34" i="1"/>
  <c r="M32" i="1"/>
  <c r="R32" i="1" s="1"/>
  <c r="M25" i="1"/>
  <c r="R25" i="1" s="1"/>
  <c r="M20" i="1"/>
  <c r="R20" i="1" s="1"/>
  <c r="M19" i="1"/>
  <c r="M18" i="1"/>
  <c r="M21" i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3" i="3"/>
  <c r="H2" i="3"/>
  <c r="H2" i="6"/>
  <c r="S36" i="1" l="1"/>
  <c r="M36" i="1"/>
  <c r="R36" i="1" s="1"/>
  <c r="R21" i="1"/>
  <c r="S21" i="1"/>
  <c r="M31" i="1"/>
  <c r="R31" i="1" s="1"/>
  <c r="M26" i="1"/>
  <c r="R26" i="1" s="1"/>
  <c r="M24" i="1"/>
  <c r="S19" i="1"/>
  <c r="R19" i="1"/>
  <c r="R17" i="1"/>
  <c r="S17" i="1"/>
  <c r="S18" i="1"/>
  <c r="R18" i="1"/>
  <c r="S20" i="1"/>
  <c r="M35" i="1"/>
  <c r="R35" i="1" s="1"/>
  <c r="M34" i="1"/>
  <c r="R34" i="1" s="1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H20" i="6"/>
  <c r="J20" i="6" s="1"/>
  <c r="H19" i="6"/>
  <c r="J19" i="6" s="1"/>
  <c r="J18" i="6"/>
  <c r="I18" i="6"/>
  <c r="H18" i="6"/>
  <c r="J17" i="6"/>
  <c r="I17" i="6"/>
  <c r="H17" i="6"/>
  <c r="J16" i="6"/>
  <c r="I16" i="6"/>
  <c r="H16" i="6"/>
  <c r="J15" i="6"/>
  <c r="I15" i="6"/>
  <c r="H15" i="6"/>
  <c r="H14" i="6"/>
  <c r="I14" i="6" s="1"/>
  <c r="J13" i="6"/>
  <c r="I13" i="6"/>
  <c r="H13" i="6"/>
  <c r="H12" i="6"/>
  <c r="J12" i="6" s="1"/>
  <c r="J11" i="6"/>
  <c r="I11" i="6"/>
  <c r="H11" i="6"/>
  <c r="J10" i="6"/>
  <c r="I10" i="6"/>
  <c r="H10" i="6"/>
  <c r="J9" i="6"/>
  <c r="I9" i="6"/>
  <c r="H9" i="6"/>
  <c r="J8" i="6"/>
  <c r="I8" i="6"/>
  <c r="H8" i="6"/>
  <c r="J7" i="6"/>
  <c r="I7" i="6"/>
  <c r="H7" i="6"/>
  <c r="J6" i="6"/>
  <c r="I6" i="6"/>
  <c r="H6" i="6"/>
  <c r="H5" i="6"/>
  <c r="J5" i="6" s="1"/>
  <c r="H4" i="6"/>
  <c r="J4" i="6" s="1"/>
  <c r="H3" i="6"/>
  <c r="J3" i="6" s="1"/>
  <c r="J2" i="6"/>
  <c r="I19" i="6" l="1"/>
  <c r="I5" i="6"/>
  <c r="I3" i="6"/>
  <c r="I2" i="6"/>
  <c r="J14" i="6"/>
  <c r="I4" i="6"/>
  <c r="I12" i="6"/>
  <c r="I20" i="6"/>
  <c r="N25" i="1" l="1"/>
  <c r="N24" i="1"/>
  <c r="P24" i="1" s="1"/>
  <c r="N26" i="1"/>
  <c r="P26" i="1" l="1"/>
  <c r="S26" i="1" s="1"/>
  <c r="P25" i="1"/>
  <c r="S25" i="1" s="1"/>
  <c r="R24" i="1"/>
  <c r="S12" i="1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I4" i="3"/>
  <c r="J3" i="3"/>
  <c r="I3" i="3"/>
  <c r="J2" i="3"/>
  <c r="I2" i="3"/>
  <c r="J4" i="2"/>
  <c r="J6" i="2"/>
  <c r="J7" i="2"/>
  <c r="J8" i="2"/>
  <c r="J9" i="2"/>
  <c r="J10" i="2"/>
  <c r="J11" i="2"/>
  <c r="J13" i="2"/>
  <c r="J14" i="2"/>
  <c r="J15" i="2"/>
  <c r="J16" i="2"/>
  <c r="J17" i="2"/>
  <c r="J18" i="2"/>
  <c r="J19" i="2"/>
  <c r="J21" i="2"/>
  <c r="J22" i="2"/>
  <c r="J23" i="2"/>
  <c r="J24" i="2"/>
  <c r="J25" i="2"/>
  <c r="J26" i="2"/>
  <c r="J2" i="2"/>
  <c r="I4" i="2"/>
  <c r="I6" i="2"/>
  <c r="I7" i="2"/>
  <c r="I8" i="2"/>
  <c r="I9" i="2"/>
  <c r="I10" i="2"/>
  <c r="I11" i="2"/>
  <c r="I13" i="2"/>
  <c r="I14" i="2"/>
  <c r="I15" i="2"/>
  <c r="I16" i="2"/>
  <c r="I17" i="2"/>
  <c r="I18" i="2"/>
  <c r="I19" i="2"/>
  <c r="I21" i="2"/>
  <c r="I22" i="2"/>
  <c r="I23" i="2"/>
  <c r="I24" i="2"/>
  <c r="I25" i="2"/>
  <c r="I26" i="2"/>
  <c r="I2" i="2"/>
  <c r="S24" i="1" l="1"/>
  <c r="S11" i="1"/>
  <c r="N31" i="1"/>
  <c r="N32" i="1"/>
  <c r="P32" i="1" l="1"/>
  <c r="S32" i="1" s="1"/>
  <c r="P31" i="1"/>
  <c r="S31" i="1" s="1"/>
  <c r="H28" i="14" l="1"/>
  <c r="H27" i="14"/>
  <c r="L59" i="1"/>
  <c r="M59" i="1" s="1"/>
  <c r="R59" i="1" s="1"/>
  <c r="H24" i="14"/>
  <c r="H20" i="14"/>
  <c r="J20" i="14" s="1"/>
  <c r="H19" i="14"/>
  <c r="H25" i="14"/>
  <c r="I20" i="14" l="1"/>
  <c r="I27" i="14"/>
  <c r="J27" i="14"/>
  <c r="K27" i="14" s="1"/>
  <c r="J28" i="14"/>
  <c r="I28" i="14"/>
  <c r="H12" i="14"/>
  <c r="L58" i="1"/>
  <c r="I12" i="14" l="1"/>
  <c r="J12" i="14"/>
  <c r="H10" i="14"/>
  <c r="H2" i="14"/>
  <c r="H11" i="14"/>
  <c r="H23" i="14"/>
  <c r="H6" i="14"/>
  <c r="H18" i="14"/>
  <c r="H16" i="14"/>
  <c r="H7" i="14"/>
  <c r="H22" i="14"/>
  <c r="H9" i="14"/>
  <c r="H15" i="14"/>
  <c r="H29" i="14"/>
  <c r="H17" i="14"/>
  <c r="H26" i="14"/>
  <c r="H14" i="14"/>
  <c r="H3" i="14"/>
  <c r="H13" i="14"/>
  <c r="H21" i="14"/>
  <c r="H5" i="14"/>
  <c r="H4" i="14"/>
  <c r="H8" i="14"/>
  <c r="M58" i="1"/>
  <c r="R58" i="1" s="1"/>
  <c r="N58" i="1"/>
  <c r="P58" i="1" s="1"/>
  <c r="S58" i="1" s="1"/>
  <c r="N59" i="1"/>
  <c r="P59" i="1" s="1"/>
  <c r="S59" i="1" s="1"/>
  <c r="J3" i="14" l="1"/>
  <c r="I3" i="14"/>
  <c r="I14" i="14"/>
  <c r="J14" i="14"/>
  <c r="J5" i="14"/>
  <c r="I5" i="14"/>
  <c r="L28" i="1"/>
  <c r="M28" i="1" s="1"/>
  <c r="R28" i="1" s="1"/>
  <c r="H3" i="2"/>
  <c r="J3" i="2" s="1"/>
  <c r="H5" i="2"/>
  <c r="H12" i="2"/>
  <c r="H20" i="2"/>
  <c r="I20" i="2" s="1"/>
  <c r="H11" i="2"/>
  <c r="H23" i="2"/>
  <c r="H22" i="2"/>
  <c r="H21" i="2"/>
  <c r="H19" i="2"/>
  <c r="H4" i="2"/>
  <c r="H24" i="2"/>
  <c r="H8" i="2"/>
  <c r="H14" i="2"/>
  <c r="H10" i="2"/>
  <c r="H9" i="2"/>
  <c r="H7" i="2"/>
  <c r="H6" i="2"/>
  <c r="H18" i="2"/>
  <c r="H17" i="2"/>
  <c r="H16" i="2"/>
  <c r="H26" i="2"/>
  <c r="H13" i="2"/>
  <c r="L29" i="1"/>
  <c r="H15" i="2"/>
  <c r="H2" i="2"/>
  <c r="H27" i="2"/>
  <c r="I27" i="2" s="1"/>
  <c r="H28" i="2"/>
  <c r="J28" i="2" s="1"/>
  <c r="H29" i="2"/>
  <c r="H25" i="2"/>
  <c r="I3" i="2" l="1"/>
  <c r="J20" i="2"/>
  <c r="I28" i="2"/>
  <c r="J27" i="2"/>
  <c r="K27" i="2" s="1"/>
  <c r="J12" i="2"/>
  <c r="I12" i="2"/>
  <c r="N28" i="1"/>
  <c r="P28" i="1" s="1"/>
  <c r="S28" i="1" s="1"/>
  <c r="N29" i="1"/>
  <c r="P29" i="1" s="1"/>
  <c r="S29" i="1" s="1"/>
  <c r="J5" i="2"/>
  <c r="I5" i="2"/>
  <c r="M29" i="1"/>
  <c r="R29" i="1" s="1"/>
  <c r="S82" i="1" s="1"/>
  <c r="S86" i="1" l="1"/>
  <c r="S8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7C3918EA-4541-4132-AA0D-F0B46DCA6DCA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172B5195-9068-413E-A9C2-61B2BBD9848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5D097EC1-22F1-407F-BE2F-0E1273E540C6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F9BD4E73-3248-466A-839A-87D448000E0B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CB2C15FB-0963-44D5-A60E-3F8E0973AC1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AC78A750-6961-4104-9C37-A54B070AA3D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EC5A526-B8C6-4889-9FB9-84167C980A3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3EFD0B1E-2592-421C-9023-0164218A7DC2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9F6244B4-0C65-42A5-A27E-B1805C97378D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23D1CB9-A16C-4782-AE93-26DFD0233AD7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DD5BBAAA-B255-4021-87DD-65D577F08E6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BD464E9D-9F28-4126-97C9-0C8BAFB85FC0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tc={4F8F0BE2-475B-422A-8FEE-9DD3A39B4FA6}</author>
    <author>tc={165B0CC4-2A74-4582-82F9-87059CFEF14E}</author>
  </authors>
  <commentList>
    <comment ref="B2" authorId="0" shapeId="0" xr:uid="{4F8F0BE2-475B-422A-8FEE-9DD3A39B4F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  <comment ref="D2" authorId="1" shapeId="0" xr:uid="{165B0CC4-2A74-4582-82F9-87059CFEF1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</commentList>
</comments>
</file>

<file path=xl/sharedStrings.xml><?xml version="1.0" encoding="utf-8"?>
<sst xmlns="http://schemas.openxmlformats.org/spreadsheetml/2006/main" count="786" uniqueCount="194">
  <si>
    <t>BABY ROO COMERCIO DE ALIMENTOS EIRELI</t>
  </si>
  <si>
    <t>CNPJ: 34.282.307.0001-44</t>
  </si>
  <si>
    <t>INSC. ESTADUAL: 90821939-25</t>
  </si>
  <si>
    <t>ENDEREÇO: Rua Grã Nicco, 113 - sala 501, bloco 2 - Mossunguê, Curitiba - PR, 81200-200</t>
  </si>
  <si>
    <t>Nome / Razão Social:</t>
  </si>
  <si>
    <t>Nr. pedido</t>
  </si>
  <si>
    <t>E-mail XML:</t>
  </si>
  <si>
    <t>Endereço:</t>
  </si>
  <si>
    <t>Municipio:</t>
  </si>
  <si>
    <t>UF:</t>
  </si>
  <si>
    <t>RS</t>
  </si>
  <si>
    <t>CNPJ:</t>
  </si>
  <si>
    <t>Inscrição Estadual:</t>
  </si>
  <si>
    <t>Regime SIMPLES?</t>
  </si>
  <si>
    <t>NÃO</t>
  </si>
  <si>
    <t>Fone contato com (DDD)</t>
  </si>
  <si>
    <t>CEP:</t>
  </si>
  <si>
    <t>Descrição</t>
  </si>
  <si>
    <t>Código</t>
  </si>
  <si>
    <t>Embalagem</t>
  </si>
  <si>
    <t xml:space="preserve">Validade </t>
  </si>
  <si>
    <t>PSC</t>
  </si>
  <si>
    <t>NCM</t>
  </si>
  <si>
    <t>Ean 13</t>
  </si>
  <si>
    <t>Dun 14</t>
  </si>
  <si>
    <t>Crédito ICMS (%)</t>
  </si>
  <si>
    <t>Valor Unit.</t>
  </si>
  <si>
    <t>Valor Caixa</t>
  </si>
  <si>
    <t>TOTAL Caixas</t>
  </si>
  <si>
    <t>Valor TOTAL</t>
  </si>
  <si>
    <r>
      <t xml:space="preserve">Valor TOTAL + ST </t>
    </r>
    <r>
      <rPr>
        <b/>
        <sz val="11"/>
        <color rgb="FFFF0000"/>
        <rFont val="Century Gothic"/>
        <family val="2"/>
      </rPr>
      <t>(*)</t>
    </r>
  </si>
  <si>
    <t>Papinha Papapa Carne Arroz Legumes 120g</t>
  </si>
  <si>
    <t>12 x 120g</t>
  </si>
  <si>
    <t>12 meses</t>
  </si>
  <si>
    <t>2104.20.00</t>
  </si>
  <si>
    <t>Papinha Papapa Frango Grão Vegetais 120g</t>
  </si>
  <si>
    <t>Papinha Papapa Iogurte Frutas Amarelas e Banana 100g</t>
  </si>
  <si>
    <t>16 x 100g</t>
  </si>
  <si>
    <t>15 meses</t>
  </si>
  <si>
    <t>Papinha Papapa Iogurte Frutas Vermelhas e Banana 100g</t>
  </si>
  <si>
    <t>Papinha Papapá Org Maçã Ameixa 100g</t>
  </si>
  <si>
    <t>12 x 100g</t>
  </si>
  <si>
    <t>16 meses</t>
  </si>
  <si>
    <t>7898994908722</t>
  </si>
  <si>
    <t>Papinha Papapá Org Banana Mirtilo Quinoa 100g</t>
  </si>
  <si>
    <t>7898994908739</t>
  </si>
  <si>
    <t>Papinha Papapá Org Manga 100g</t>
  </si>
  <si>
    <t>7898994908715</t>
  </si>
  <si>
    <t>Papinha Papapá Org Pera Espinafre Abobrinha 100g</t>
  </si>
  <si>
    <t>7898994908753</t>
  </si>
  <si>
    <t>Papinha Papapá Org Maçã B. Doce Cenoura 100g</t>
  </si>
  <si>
    <t>7898994908746</t>
  </si>
  <si>
    <t>Papinha Papapá Org Morango Maçã 100g</t>
  </si>
  <si>
    <t>Biscoito inf Papapá org. Beterraba 20g</t>
  </si>
  <si>
    <t>16 x 20g</t>
  </si>
  <si>
    <t>9 meses</t>
  </si>
  <si>
    <t>1904.10.00</t>
  </si>
  <si>
    <t>Biscoito inf Papapá org. Cenoura 20g</t>
  </si>
  <si>
    <t>Biscoito inf Papapá org. Tomate/Manjericão 20g</t>
  </si>
  <si>
    <t>Biscoito Inf Papapá dent. Maçã e Abóbora 36g</t>
  </si>
  <si>
    <t>12 x 36g</t>
  </si>
  <si>
    <t>1905.90.20</t>
  </si>
  <si>
    <t>Biscoito Inf Papapá dent Vegetais 36g</t>
  </si>
  <si>
    <t>Macarrao Inf Papapá m. Elbow Quinoa 200g</t>
  </si>
  <si>
    <t>12 x 200g</t>
  </si>
  <si>
    <t>14 meses</t>
  </si>
  <si>
    <t>19.02.19.00</t>
  </si>
  <si>
    <t>Macarrao Inf Papapá m. Fusilli Vegetais 200g</t>
  </si>
  <si>
    <t>Sopinha  Papapá org Lentinha Carne Legumes 180g</t>
  </si>
  <si>
    <t>6 x 180g</t>
  </si>
  <si>
    <t>Risotinho Papapá org Arroz quinoa frango 180g</t>
  </si>
  <si>
    <t>Caseirinho Papapá org Arroz feijão carne leg. 180g</t>
  </si>
  <si>
    <t>12 x 170g</t>
  </si>
  <si>
    <t>19.01.10.30</t>
  </si>
  <si>
    <t>Cereal Infantil Papapá Aveia - Morango e Beterraba sache 170g</t>
  </si>
  <si>
    <t>Cereal Infantil Papapá Aveia - Banana e Ameixa sache 170g</t>
  </si>
  <si>
    <t>Cereal Infantil Papapá Aveia - Multicereais sache 170g</t>
  </si>
  <si>
    <t>Cereal Infantil Papapá Aveia - Multicereais sache 500g</t>
  </si>
  <si>
    <t>12 x 500g</t>
  </si>
  <si>
    <t>Biscoito Infantil Papapá Biscotti com Laranja e Cenoura 60g</t>
  </si>
  <si>
    <t>12 x 60g</t>
  </si>
  <si>
    <t>10 meses</t>
  </si>
  <si>
    <t>Biscoito Infantil Papapá Biscotti com Maçã e Canela 60g</t>
  </si>
  <si>
    <t>Biscoito Infantil Papapá Biscotti com Banana e Cacau 60g</t>
  </si>
  <si>
    <t>Biscoito Infantil Papapá Biscotti Goiaba 60g</t>
  </si>
  <si>
    <t>Biscoito Infantil Papapá Biscotti com Maracujá e Camomila 60g</t>
  </si>
  <si>
    <t>Sopinha Papapá Frango Arroz Legumes 240g (2x 120g)</t>
  </si>
  <si>
    <t>6 x 240g</t>
  </si>
  <si>
    <t>Sopinha Papapá Carne Macarrao Legumes 240g (2x 120g)</t>
  </si>
  <si>
    <t>Sopinha Papapá Carne Mandioq Leg 240g (2x 120g)</t>
  </si>
  <si>
    <t xml:space="preserve">12 meses </t>
  </si>
  <si>
    <t>Sopinha Papapá Feijão Carne Leg 240g (2x 120g)</t>
  </si>
  <si>
    <t>VALOR TOTAL PRODUTOS (R$):</t>
  </si>
  <si>
    <t>VALOR ST (R$):</t>
  </si>
  <si>
    <t>VALOR TOTAL PEDIDO (R$):</t>
  </si>
  <si>
    <t>SIM</t>
  </si>
  <si>
    <t>Estado</t>
  </si>
  <si>
    <t>Aliquota interestadual</t>
  </si>
  <si>
    <t>Aliquota interna</t>
  </si>
  <si>
    <t>MVA (normal)</t>
  </si>
  <si>
    <t>MVA (simples)</t>
  </si>
  <si>
    <t>Ajustada (normal)</t>
  </si>
  <si>
    <t>Ajustada (simples)</t>
  </si>
  <si>
    <t>Preço</t>
  </si>
  <si>
    <t>ST Normal</t>
  </si>
  <si>
    <t>ST Simples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</si>
  <si>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</si>
  <si>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</si>
  <si>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</si>
  <si>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</si>
  <si>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</si>
  <si>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</si>
  <si>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</si>
  <si>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</si>
  <si>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</si>
  <si>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</si>
  <si>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</si>
  <si>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</si>
  <si>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</si>
  <si>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</si>
  <si>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</si>
  <si>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</si>
  <si>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</si>
  <si>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</si>
  <si>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</si>
  <si>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</si>
  <si>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</si>
  <si>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</si>
  <si>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SC</t>
  </si>
  <si>
    <t>SE</t>
  </si>
  <si>
    <t>SP</t>
  </si>
  <si>
    <t>SP/Atacado</t>
  </si>
  <si>
    <t>TO</t>
  </si>
  <si>
    <t>EX</t>
  </si>
  <si>
    <t>comunicado enviado 1/26 - suspensão da ST para palitinhos</t>
  </si>
  <si>
    <t>Papinhas</t>
  </si>
  <si>
    <t>Palitinhos</t>
  </si>
  <si>
    <t>Biscoitinhos</t>
  </si>
  <si>
    <t>Papapasta</t>
  </si>
  <si>
    <t>La Chef</t>
  </si>
  <si>
    <t>Linha Cerais</t>
  </si>
  <si>
    <t>Biscotti</t>
  </si>
  <si>
    <t>Pouch Carne</t>
  </si>
  <si>
    <t>P. Cereal 170g Sache sabores</t>
  </si>
  <si>
    <t>P. Cereal 170g Sache MULTI</t>
  </si>
  <si>
    <t>MULTI sache 500 g</t>
  </si>
  <si>
    <t>Yoguzinho</t>
  </si>
  <si>
    <t>Bowl</t>
  </si>
  <si>
    <t>icms 7%</t>
  </si>
  <si>
    <t>CONSUMIDOR</t>
  </si>
  <si>
    <t>Salgadinhos</t>
  </si>
  <si>
    <t>Bisc. Recheados</t>
  </si>
  <si>
    <t>Sucos</t>
  </si>
  <si>
    <t>Achocolatado</t>
  </si>
  <si>
    <t>Puer. Talheres</t>
  </si>
  <si>
    <t>Puer. Babador</t>
  </si>
  <si>
    <t>Puer. Bolw</t>
  </si>
  <si>
    <t>Puer. Pratinho</t>
  </si>
  <si>
    <t>18 x 40g</t>
  </si>
  <si>
    <t>8x30g</t>
  </si>
  <si>
    <t xml:space="preserve">27  x 200 ml </t>
  </si>
  <si>
    <t>8 meses</t>
  </si>
  <si>
    <t>2202.99.00</t>
  </si>
  <si>
    <t>6 meses</t>
  </si>
  <si>
    <t xml:space="preserve">1un </t>
  </si>
  <si>
    <t>Indeterminado</t>
  </si>
  <si>
    <t>3924.10.00</t>
  </si>
  <si>
    <t>Kit De Talheres Infantil - Azul</t>
  </si>
  <si>
    <t>Kit De Talheres Infantil - Verde</t>
  </si>
  <si>
    <t>Kit De Talheres Infantil - Rosa</t>
  </si>
  <si>
    <t>Babador Infantil Com Bolso - Azul</t>
  </si>
  <si>
    <t>Babador Infantil Com Bolso - Verde</t>
  </si>
  <si>
    <t>Babador Infantil Com Bolso - Rosa</t>
  </si>
  <si>
    <t>Bowl Infantil Com Ventosa - Azul</t>
  </si>
  <si>
    <t>Bowl Infantil Com Ventosa - Verde</t>
  </si>
  <si>
    <t>Bowl Infantil Com Ventosa - Rosa</t>
  </si>
  <si>
    <t>Pratinho Infantil Com Ventosa - Azul</t>
  </si>
  <si>
    <t>Pratinho Infantil Com Ventosa - Verde</t>
  </si>
  <si>
    <t>Pratinho Infantil Com Ventosa - Rosa</t>
  </si>
  <si>
    <t>Valor Caixa + ST + IPI</t>
  </si>
  <si>
    <t>(*) quando inside ST ou IPI o respectivo valor do imposto é adicionado nestas colunas</t>
  </si>
  <si>
    <t>SUBSTITUIÇÃO TRIBUTÁRIA*</t>
  </si>
  <si>
    <t>IPI*</t>
  </si>
  <si>
    <t>Salgadinho Integral Orgânico Queijo Papapa Era Uma Vez 40g</t>
  </si>
  <si>
    <t>Salgadinho Integral Orgânico Cebola &amp; Salsa Papapa Era Uma Vez 40g</t>
  </si>
  <si>
    <t>Salgadinho Integral Orgânico Churrasco Papapa Era Uma Vez 40g</t>
  </si>
  <si>
    <t>Biscoito Recheado de Frutas Amarelas Papapa Era Uma Vez 30g</t>
  </si>
  <si>
    <t>Biscoito Recheado de Morango Papapa Era Uma Vez 30g</t>
  </si>
  <si>
    <t>Bebida de Laranja Papapa Era Uma Vez 200ml</t>
  </si>
  <si>
    <t>Bebida de Uva Papapa Era Uma Vez 200ml</t>
  </si>
  <si>
    <t>Bebida de Morango Papapa Era Uma Vez 200ml</t>
  </si>
  <si>
    <t>Bebida de Maçã Papapa Era Uma Vez 200ml</t>
  </si>
  <si>
    <t>Bebida Láctea UHT Chocolate Papapa Era Uma Vez 200ml</t>
  </si>
  <si>
    <t>ESPECIAL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</si>
</sst>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&quot;R$&quot;\ 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FF0000"/>
      <name val="Century Gothic"/>
      <family val="2"/>
    </font>
    <font>
      <b/>
      <sz val="14"/>
      <color theme="0"/>
      <name val="Arial"/>
      <family val="2"/>
    </font>
    <font>
      <sz val="11"/>
      <color theme="0"/>
      <name val="Calibri"/>
      <family val="2"/>
      <scheme val="minor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rgb="FF000000"/>
      <name val="Arial"/>
      <family val="2"/>
    </font>
    <font>
      <sz val="10"/>
      <name val="Century Gothic"/>
      <family val="2"/>
    </font>
    <font>
      <sz val="8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</font>
    <font>
      <b/>
      <sz val="12"/>
      <name val="Calibri"/>
      <family val="2"/>
    </font>
    <font>
      <sz val="1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0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43" fontId="1" fillId="0" borderId="0" applyFont="0" applyFill="0" applyBorder="0" applyAlignment="0" applyProtection="0"/>
  </cellStyleXfs>
  <cellXfs count="194">
    <xf numFmtId="0" fontId="0" fillId="0" borderId="0" xfId="0"/>
    <xf numFmtId="0" fontId="2" fillId="0" borderId="13" xfId="0" applyFont="1" applyBorder="1" applyAlignment="1">
      <alignment horizontal="center" vertical="center"/>
    </xf>
    <xf numFmtId="10" fontId="2" fillId="0" borderId="13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/>
    <xf numFmtId="164" fontId="2" fillId="0" borderId="13" xfId="2" applyNumberFormat="1" applyFont="1" applyFill="1" applyBorder="1" applyAlignment="1">
      <alignment horizontal="center" vertical="center"/>
    </xf>
    <xf numFmtId="44" fontId="0" fillId="0" borderId="0" xfId="0" applyNumberFormat="1"/>
    <xf numFmtId="44" fontId="1" fillId="0" borderId="0" xfId="1" applyFont="1"/>
    <xf numFmtId="44" fontId="4" fillId="0" borderId="12" xfId="1" applyFont="1" applyBorder="1" applyProtection="1"/>
    <xf numFmtId="44" fontId="4" fillId="0" borderId="0" xfId="1" applyFont="1" applyBorder="1" applyProtection="1"/>
    <xf numFmtId="0" fontId="4" fillId="0" borderId="2" xfId="0" applyFont="1" applyBorder="1" applyAlignment="1" applyProtection="1">
      <alignment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8" xfId="0" applyFont="1" applyBorder="1" applyAlignment="1" applyProtection="1">
      <alignment wrapText="1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6" borderId="10" xfId="0" applyFont="1" applyFill="1" applyBorder="1" applyAlignment="1" applyProtection="1">
      <alignment vertical="center"/>
      <protection locked="0"/>
    </xf>
    <xf numFmtId="0" fontId="4" fillId="6" borderId="11" xfId="0" applyFont="1" applyFill="1" applyBorder="1" applyAlignment="1" applyProtection="1">
      <alignment vertical="center"/>
      <protection locked="0"/>
    </xf>
    <xf numFmtId="0" fontId="4" fillId="6" borderId="12" xfId="0" applyFont="1" applyFill="1" applyBorder="1" applyAlignment="1" applyProtection="1">
      <alignment vertical="center"/>
      <protection locked="0"/>
    </xf>
    <xf numFmtId="0" fontId="4" fillId="0" borderId="20" xfId="0" applyFont="1" applyBorder="1" applyAlignment="1" applyProtection="1">
      <alignment vertical="center"/>
      <protection locked="0"/>
    </xf>
    <xf numFmtId="0" fontId="3" fillId="0" borderId="21" xfId="0" applyFont="1" applyBorder="1" applyAlignment="1" applyProtection="1">
      <alignment vertical="center"/>
      <protection locked="0"/>
    </xf>
    <xf numFmtId="0" fontId="4" fillId="10" borderId="11" xfId="0" applyFont="1" applyFill="1" applyBorder="1" applyAlignment="1" applyProtection="1">
      <alignment vertical="center"/>
      <protection locked="0"/>
    </xf>
    <xf numFmtId="0" fontId="4" fillId="10" borderId="12" xfId="0" applyFont="1" applyFill="1" applyBorder="1" applyAlignment="1" applyProtection="1">
      <alignment vertical="center"/>
      <protection locked="0"/>
    </xf>
    <xf numFmtId="0" fontId="4" fillId="6" borderId="18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24" xfId="0" applyFont="1" applyBorder="1" applyAlignment="1" applyProtection="1">
      <alignment vertical="center"/>
      <protection locked="0"/>
    </xf>
    <xf numFmtId="0" fontId="3" fillId="0" borderId="25" xfId="0" applyFont="1" applyBorder="1" applyAlignment="1" applyProtection="1">
      <alignment vertical="center"/>
      <protection locked="0"/>
    </xf>
    <xf numFmtId="1" fontId="12" fillId="9" borderId="17" xfId="7" applyNumberFormat="1" applyFont="1" applyBorder="1" applyAlignment="1" applyProtection="1">
      <alignment horizontal="center" vertical="center"/>
    </xf>
    <xf numFmtId="0" fontId="12" fillId="9" borderId="9" xfId="7" applyFont="1" applyBorder="1" applyAlignment="1" applyProtection="1">
      <alignment horizontal="center"/>
    </xf>
    <xf numFmtId="1" fontId="12" fillId="9" borderId="9" xfId="7" applyNumberFormat="1" applyFont="1" applyBorder="1" applyAlignment="1" applyProtection="1">
      <alignment horizontal="center" vertical="center"/>
    </xf>
    <xf numFmtId="9" fontId="12" fillId="9" borderId="9" xfId="7" applyNumberFormat="1" applyFont="1" applyBorder="1" applyAlignment="1" applyProtection="1">
      <alignment horizontal="center"/>
    </xf>
    <xf numFmtId="44" fontId="11" fillId="9" borderId="9" xfId="7" applyNumberFormat="1" applyFont="1" applyBorder="1" applyAlignment="1" applyProtection="1">
      <alignment horizontal="center" vertical="center"/>
    </xf>
    <xf numFmtId="44" fontId="11" fillId="9" borderId="9" xfId="7" applyNumberFormat="1" applyFont="1" applyBorder="1" applyAlignment="1" applyProtection="1">
      <alignment horizontal="center"/>
    </xf>
    <xf numFmtId="2" fontId="12" fillId="9" borderId="9" xfId="7" applyNumberFormat="1" applyFont="1" applyBorder="1" applyAlignment="1" applyProtection="1">
      <alignment horizontal="center" vertical="center"/>
    </xf>
    <xf numFmtId="44" fontId="12" fillId="9" borderId="9" xfId="7" applyNumberFormat="1" applyFont="1" applyBorder="1" applyAlignment="1" applyProtection="1">
      <alignment horizontal="center"/>
    </xf>
    <xf numFmtId="0" fontId="11" fillId="6" borderId="9" xfId="0" applyFont="1" applyFill="1" applyBorder="1" applyAlignment="1" applyProtection="1">
      <alignment horizontal="center"/>
      <protection locked="0"/>
    </xf>
    <xf numFmtId="44" fontId="12" fillId="9" borderId="5" xfId="7" applyNumberFormat="1" applyFont="1" applyBorder="1" applyAlignment="1" applyProtection="1">
      <alignment horizontal="center"/>
    </xf>
    <xf numFmtId="44" fontId="12" fillId="9" borderId="17" xfId="7" applyNumberFormat="1" applyFont="1" applyBorder="1" applyAlignment="1" applyProtection="1">
      <alignment horizontal="center"/>
    </xf>
    <xf numFmtId="44" fontId="11" fillId="10" borderId="9" xfId="1" applyFont="1" applyFill="1" applyBorder="1" applyAlignment="1" applyProtection="1">
      <alignment horizontal="center" vertical="center"/>
    </xf>
    <xf numFmtId="44" fontId="11" fillId="10" borderId="9" xfId="1" applyFont="1" applyFill="1" applyBorder="1" applyAlignment="1" applyProtection="1">
      <alignment horizontal="center"/>
    </xf>
    <xf numFmtId="44" fontId="12" fillId="10" borderId="9" xfId="1" applyFont="1" applyFill="1" applyBorder="1" applyAlignment="1" applyProtection="1">
      <alignment horizontal="center"/>
    </xf>
    <xf numFmtId="44" fontId="12" fillId="10" borderId="5" xfId="1" applyFont="1" applyFill="1" applyBorder="1" applyAlignment="1" applyProtection="1">
      <alignment horizontal="center"/>
    </xf>
    <xf numFmtId="44" fontId="0" fillId="0" borderId="0" xfId="1" applyFont="1" applyFill="1"/>
    <xf numFmtId="0" fontId="3" fillId="0" borderId="0" xfId="0" applyFont="1"/>
    <xf numFmtId="0" fontId="0" fillId="0" borderId="0" xfId="0" applyAlignment="1">
      <alignment vertical="center"/>
    </xf>
    <xf numFmtId="44" fontId="1" fillId="0" borderId="0" xfId="1" applyFont="1" applyFill="1"/>
    <xf numFmtId="165" fontId="11" fillId="10" borderId="0" xfId="1" applyNumberFormat="1" applyFont="1" applyFill="1" applyBorder="1" applyAlignment="1" applyProtection="1">
      <alignment horizontal="center"/>
    </xf>
    <xf numFmtId="44" fontId="11" fillId="10" borderId="0" xfId="1" applyFont="1" applyFill="1" applyBorder="1" applyAlignment="1" applyProtection="1">
      <alignment horizontal="center" vertical="center"/>
    </xf>
    <xf numFmtId="44" fontId="11" fillId="10" borderId="0" xfId="1" applyFont="1" applyFill="1" applyBorder="1" applyAlignment="1" applyProtection="1">
      <alignment horizontal="center"/>
    </xf>
    <xf numFmtId="44" fontId="12" fillId="10" borderId="0" xfId="1" applyFont="1" applyFill="1" applyBorder="1" applyAlignment="1" applyProtection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vertical="center"/>
    </xf>
    <xf numFmtId="0" fontId="4" fillId="4" borderId="18" xfId="0" applyFont="1" applyFill="1" applyBorder="1" applyAlignment="1">
      <alignment vertical="center"/>
    </xf>
    <xf numFmtId="0" fontId="4" fillId="4" borderId="19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4" borderId="23" xfId="0" applyFont="1" applyFill="1" applyBorder="1" applyAlignment="1">
      <alignment vertical="center"/>
    </xf>
    <xf numFmtId="0" fontId="4" fillId="3" borderId="14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vertical="center"/>
    </xf>
    <xf numFmtId="0" fontId="4" fillId="3" borderId="14" xfId="0" applyFont="1" applyFill="1" applyBorder="1" applyAlignment="1">
      <alignment wrapText="1"/>
    </xf>
    <xf numFmtId="0" fontId="4" fillId="3" borderId="14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9" fillId="5" borderId="0" xfId="0" applyFont="1" applyFill="1"/>
    <xf numFmtId="0" fontId="5" fillId="5" borderId="0" xfId="0" applyFont="1" applyFill="1"/>
    <xf numFmtId="0" fontId="4" fillId="0" borderId="0" xfId="0" applyFont="1" applyAlignment="1">
      <alignment horizontal="center" vertical="center" wrapText="1"/>
    </xf>
    <xf numFmtId="1" fontId="12" fillId="10" borderId="9" xfId="0" applyNumberFormat="1" applyFont="1" applyFill="1" applyBorder="1" applyAlignment="1">
      <alignment horizontal="center" vertical="center"/>
    </xf>
    <xf numFmtId="0" fontId="12" fillId="10" borderId="9" xfId="0" applyFont="1" applyFill="1" applyBorder="1" applyAlignment="1">
      <alignment horizontal="center"/>
    </xf>
    <xf numFmtId="9" fontId="12" fillId="10" borderId="9" xfId="0" applyNumberFormat="1" applyFont="1" applyFill="1" applyBorder="1" applyAlignment="1">
      <alignment horizontal="center"/>
    </xf>
    <xf numFmtId="2" fontId="12" fillId="10" borderId="9" xfId="0" applyNumberFormat="1" applyFont="1" applyFill="1" applyBorder="1" applyAlignment="1">
      <alignment horizontal="center" vertical="center"/>
    </xf>
    <xf numFmtId="0" fontId="12" fillId="0" borderId="26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1" fillId="10" borderId="0" xfId="0" applyFont="1" applyFill="1" applyAlignment="1">
      <alignment horizontal="left" vertical="center"/>
    </xf>
    <xf numFmtId="0" fontId="11" fillId="0" borderId="0" xfId="0" applyFont="1"/>
    <xf numFmtId="1" fontId="12" fillId="10" borderId="0" xfId="0" applyNumberFormat="1" applyFont="1" applyFill="1" applyAlignment="1">
      <alignment horizontal="center" vertical="center"/>
    </xf>
    <xf numFmtId="0" fontId="12" fillId="10" borderId="0" xfId="0" applyFont="1" applyFill="1" applyAlignment="1">
      <alignment horizontal="center"/>
    </xf>
    <xf numFmtId="9" fontId="12" fillId="10" borderId="0" xfId="0" applyNumberFormat="1" applyFont="1" applyFill="1" applyAlignment="1">
      <alignment horizontal="center"/>
    </xf>
    <xf numFmtId="2" fontId="12" fillId="10" borderId="0" xfId="0" applyNumberFormat="1" applyFont="1" applyFill="1" applyAlignment="1">
      <alignment horizontal="center" vertical="center"/>
    </xf>
    <xf numFmtId="0" fontId="7" fillId="0" borderId="0" xfId="0" applyFont="1"/>
    <xf numFmtId="0" fontId="4" fillId="0" borderId="10" xfId="0" applyFont="1" applyBorder="1"/>
    <xf numFmtId="0" fontId="3" fillId="0" borderId="11" xfId="0" applyFont="1" applyBorder="1"/>
    <xf numFmtId="3" fontId="3" fillId="0" borderId="11" xfId="0" applyNumberFormat="1" applyFont="1" applyBorder="1"/>
    <xf numFmtId="3" fontId="3" fillId="0" borderId="0" xfId="0" applyNumberFormat="1" applyFont="1"/>
    <xf numFmtId="43" fontId="0" fillId="0" borderId="0" xfId="8" applyFont="1"/>
    <xf numFmtId="43" fontId="0" fillId="0" borderId="0" xfId="8" applyFont="1" applyFill="1"/>
    <xf numFmtId="44" fontId="1" fillId="12" borderId="0" xfId="1" applyFont="1" applyFill="1"/>
    <xf numFmtId="43" fontId="0" fillId="12" borderId="0" xfId="8" applyFont="1" applyFill="1"/>
    <xf numFmtId="44" fontId="0" fillId="12" borderId="0" xfId="1" applyFont="1" applyFill="1"/>
    <xf numFmtId="10" fontId="1" fillId="13" borderId="0" xfId="2" applyNumberFormat="1" applyFont="1" applyFill="1" applyAlignment="1">
      <alignment horizontal="center" vertical="center"/>
    </xf>
    <xf numFmtId="164" fontId="1" fillId="13" borderId="0" xfId="2" applyNumberFormat="1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44" fontId="0" fillId="14" borderId="0" xfId="0" applyNumberFormat="1" applyFill="1"/>
    <xf numFmtId="0" fontId="10" fillId="15" borderId="9" xfId="5" applyFill="1" applyBorder="1" applyAlignment="1">
      <alignment horizontal="center" vertical="center"/>
    </xf>
    <xf numFmtId="8" fontId="1" fillId="16" borderId="9" xfId="6" applyNumberFormat="1" applyFill="1" applyBorder="1"/>
    <xf numFmtId="44" fontId="1" fillId="16" borderId="9" xfId="6" applyNumberFormat="1" applyFill="1" applyBorder="1"/>
    <xf numFmtId="0" fontId="4" fillId="0" borderId="0" xfId="0" applyFont="1" applyAlignment="1">
      <alignment horizontal="left" vertical="center" wrapText="1"/>
    </xf>
    <xf numFmtId="0" fontId="12" fillId="9" borderId="17" xfId="7" applyFont="1" applyBorder="1" applyAlignment="1" applyProtection="1">
      <alignment horizontal="center"/>
    </xf>
    <xf numFmtId="9" fontId="12" fillId="9" borderId="17" xfId="7" applyNumberFormat="1" applyFont="1" applyBorder="1" applyAlignment="1" applyProtection="1">
      <alignment horizontal="center"/>
    </xf>
    <xf numFmtId="44" fontId="11" fillId="9" borderId="17" xfId="7" applyNumberFormat="1" applyFont="1" applyBorder="1" applyAlignment="1" applyProtection="1">
      <alignment horizontal="center" vertical="center"/>
    </xf>
    <xf numFmtId="44" fontId="11" fillId="9" borderId="17" xfId="7" applyNumberFormat="1" applyFont="1" applyBorder="1" applyAlignment="1" applyProtection="1">
      <alignment horizontal="center"/>
    </xf>
    <xf numFmtId="0" fontId="11" fillId="6" borderId="17" xfId="0" applyFont="1" applyFill="1" applyBorder="1" applyAlignment="1" applyProtection="1">
      <alignment horizontal="center"/>
      <protection locked="0"/>
    </xf>
    <xf numFmtId="44" fontId="12" fillId="9" borderId="15" xfId="7" applyNumberFormat="1" applyFont="1" applyBorder="1" applyAlignment="1" applyProtection="1">
      <alignment horizontal="center"/>
    </xf>
    <xf numFmtId="2" fontId="18" fillId="9" borderId="17" xfId="7" applyNumberFormat="1" applyFont="1" applyBorder="1" applyAlignment="1" applyProtection="1">
      <alignment horizontal="center" vertical="center"/>
    </xf>
    <xf numFmtId="2" fontId="18" fillId="10" borderId="9" xfId="0" applyNumberFormat="1" applyFont="1" applyFill="1" applyBorder="1" applyAlignment="1">
      <alignment horizontal="center" vertical="center"/>
    </xf>
    <xf numFmtId="44" fontId="0" fillId="17" borderId="0" xfId="1" applyFont="1" applyFill="1"/>
    <xf numFmtId="44" fontId="1" fillId="17" borderId="0" xfId="1" applyFont="1" applyFill="1"/>
    <xf numFmtId="43" fontId="0" fillId="17" borderId="0" xfId="8" applyFont="1" applyFill="1"/>
    <xf numFmtId="0" fontId="0" fillId="18" borderId="0" xfId="0" applyFill="1" applyAlignment="1">
      <alignment horizontal="center" vertical="center"/>
    </xf>
    <xf numFmtId="9" fontId="1" fillId="18" borderId="0" xfId="2" applyFont="1" applyFill="1" applyAlignment="1">
      <alignment horizontal="center" vertical="center"/>
    </xf>
    <xf numFmtId="10" fontId="1" fillId="18" borderId="0" xfId="2" applyNumberFormat="1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9" fontId="1" fillId="13" borderId="0" xfId="2" applyFont="1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9" fontId="1" fillId="19" borderId="0" xfId="2" applyFont="1" applyFill="1" applyAlignment="1">
      <alignment horizontal="center" vertical="center"/>
    </xf>
    <xf numFmtId="10" fontId="1" fillId="19" borderId="0" xfId="2" applyNumberFormat="1" applyFont="1" applyFill="1" applyAlignment="1">
      <alignment horizontal="center" vertical="center"/>
    </xf>
    <xf numFmtId="164" fontId="1" fillId="18" borderId="0" xfId="2" applyNumberFormat="1" applyFont="1" applyFill="1" applyAlignment="1">
      <alignment horizontal="center" vertical="center"/>
    </xf>
    <xf numFmtId="2" fontId="12" fillId="0" borderId="9" xfId="7" applyNumberFormat="1" applyFont="1" applyFill="1" applyBorder="1" applyAlignment="1" applyProtection="1">
      <alignment horizontal="center" vertical="center"/>
    </xf>
    <xf numFmtId="0" fontId="15" fillId="15" borderId="0" xfId="0" applyFont="1" applyFill="1" applyAlignment="1">
      <alignment horizontal="center"/>
    </xf>
    <xf numFmtId="44" fontId="0" fillId="19" borderId="0" xfId="0" applyNumberFormat="1" applyFill="1"/>
    <xf numFmtId="44" fontId="11" fillId="6" borderId="9" xfId="0" applyNumberFormat="1" applyFont="1" applyFill="1" applyBorder="1" applyAlignment="1" applyProtection="1">
      <alignment horizontal="center"/>
      <protection locked="0"/>
    </xf>
    <xf numFmtId="1" fontId="12" fillId="9" borderId="5" xfId="7" applyNumberFormat="1" applyFont="1" applyBorder="1" applyAlignment="1" applyProtection="1">
      <alignment horizontal="center" vertical="center"/>
    </xf>
    <xf numFmtId="1" fontId="12" fillId="9" borderId="3" xfId="7" applyNumberFormat="1" applyFont="1" applyBorder="1" applyAlignment="1" applyProtection="1">
      <alignment horizontal="center" vertical="center"/>
    </xf>
    <xf numFmtId="0" fontId="20" fillId="0" borderId="13" xfId="0" applyFont="1" applyBorder="1" applyAlignment="1">
      <alignment horizontal="center" vertical="center" wrapText="1"/>
    </xf>
    <xf numFmtId="0" fontId="11" fillId="6" borderId="0" xfId="0" applyFont="1" applyFill="1" applyAlignment="1" applyProtection="1">
      <alignment horizontal="center"/>
      <protection locked="0"/>
    </xf>
    <xf numFmtId="1" fontId="12" fillId="0" borderId="9" xfId="7" applyNumberFormat="1" applyFont="1" applyFill="1" applyBorder="1" applyAlignment="1" applyProtection="1">
      <alignment horizontal="center" vertical="center"/>
    </xf>
    <xf numFmtId="0" fontId="12" fillId="0" borderId="9" xfId="7" applyFont="1" applyFill="1" applyBorder="1" applyAlignment="1" applyProtection="1">
      <alignment horizontal="center"/>
    </xf>
    <xf numFmtId="44" fontId="11" fillId="0" borderId="9" xfId="7" applyNumberFormat="1" applyFont="1" applyFill="1" applyBorder="1" applyAlignment="1" applyProtection="1">
      <alignment horizontal="center" vertical="center"/>
    </xf>
    <xf numFmtId="9" fontId="12" fillId="0" borderId="9" xfId="7" applyNumberFormat="1" applyFont="1" applyFill="1" applyBorder="1" applyAlignment="1" applyProtection="1">
      <alignment horizontal="center"/>
    </xf>
    <xf numFmtId="44" fontId="11" fillId="0" borderId="9" xfId="7" applyNumberFormat="1" applyFont="1" applyFill="1" applyBorder="1" applyAlignment="1" applyProtection="1">
      <alignment horizontal="center"/>
    </xf>
    <xf numFmtId="44" fontId="12" fillId="0" borderId="9" xfId="7" applyNumberFormat="1" applyFont="1" applyFill="1" applyBorder="1" applyAlignment="1" applyProtection="1">
      <alignment horizontal="center"/>
    </xf>
    <xf numFmtId="44" fontId="12" fillId="0" borderId="5" xfId="7" applyNumberFormat="1" applyFont="1" applyFill="1" applyBorder="1" applyAlignment="1" applyProtection="1">
      <alignment horizontal="center"/>
    </xf>
    <xf numFmtId="0" fontId="11" fillId="9" borderId="5" xfId="7" applyFont="1" applyBorder="1" applyAlignment="1" applyProtection="1">
      <alignment vertical="center"/>
    </xf>
    <xf numFmtId="1" fontId="12" fillId="0" borderId="9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center"/>
    </xf>
    <xf numFmtId="44" fontId="11" fillId="0" borderId="9" xfId="1" applyFont="1" applyFill="1" applyBorder="1" applyAlignment="1" applyProtection="1">
      <alignment horizontal="center" vertical="center"/>
    </xf>
    <xf numFmtId="9" fontId="12" fillId="0" borderId="9" xfId="0" applyNumberFormat="1" applyFont="1" applyBorder="1" applyAlignment="1">
      <alignment horizontal="center"/>
    </xf>
    <xf numFmtId="2" fontId="12" fillId="0" borderId="9" xfId="0" applyNumberFormat="1" applyFont="1" applyBorder="1" applyAlignment="1">
      <alignment horizontal="center" vertical="center"/>
    </xf>
    <xf numFmtId="44" fontId="12" fillId="0" borderId="9" xfId="1" applyFont="1" applyFill="1" applyBorder="1" applyAlignment="1" applyProtection="1">
      <alignment horizontal="center"/>
    </xf>
    <xf numFmtId="44" fontId="12" fillId="0" borderId="5" xfId="1" applyFont="1" applyFill="1" applyBorder="1" applyAlignment="1" applyProtection="1">
      <alignment horizontal="center"/>
    </xf>
    <xf numFmtId="1" fontId="12" fillId="20" borderId="9" xfId="0" applyNumberFormat="1" applyFont="1" applyFill="1" applyBorder="1" applyAlignment="1">
      <alignment horizontal="center" vertical="center"/>
    </xf>
    <xf numFmtId="0" fontId="12" fillId="20" borderId="9" xfId="0" applyFont="1" applyFill="1" applyBorder="1" applyAlignment="1">
      <alignment horizontal="center"/>
    </xf>
    <xf numFmtId="44" fontId="11" fillId="20" borderId="9" xfId="1" applyFont="1" applyFill="1" applyBorder="1" applyAlignment="1" applyProtection="1">
      <alignment horizontal="center" vertical="center"/>
    </xf>
    <xf numFmtId="9" fontId="12" fillId="20" borderId="9" xfId="0" applyNumberFormat="1" applyFont="1" applyFill="1" applyBorder="1" applyAlignment="1">
      <alignment horizontal="center"/>
    </xf>
    <xf numFmtId="2" fontId="12" fillId="20" borderId="9" xfId="0" applyNumberFormat="1" applyFont="1" applyFill="1" applyBorder="1" applyAlignment="1">
      <alignment horizontal="center" vertical="center"/>
    </xf>
    <xf numFmtId="44" fontId="12" fillId="20" borderId="9" xfId="1" applyFont="1" applyFill="1" applyBorder="1" applyAlignment="1" applyProtection="1">
      <alignment horizontal="center"/>
    </xf>
    <xf numFmtId="44" fontId="12" fillId="20" borderId="5" xfId="1" applyFont="1" applyFill="1" applyBorder="1" applyAlignment="1" applyProtection="1">
      <alignment horizontal="center"/>
    </xf>
    <xf numFmtId="0" fontId="11" fillId="9" borderId="4" xfId="7" applyFont="1" applyBorder="1" applyAlignment="1" applyProtection="1">
      <alignment vertical="center"/>
    </xf>
    <xf numFmtId="0" fontId="11" fillId="0" borderId="5" xfId="7" applyFont="1" applyFill="1" applyBorder="1" applyAlignment="1" applyProtection="1">
      <alignment vertical="center"/>
    </xf>
    <xf numFmtId="0" fontId="11" fillId="0" borderId="4" xfId="7" applyFont="1" applyFill="1" applyBorder="1" applyAlignment="1" applyProtection="1">
      <alignment vertical="center"/>
    </xf>
    <xf numFmtId="164" fontId="0" fillId="0" borderId="0" xfId="2" applyNumberFormat="1" applyFont="1"/>
    <xf numFmtId="0" fontId="21" fillId="11" borderId="0" xfId="0" applyFont="1" applyFill="1" applyAlignment="1">
      <alignment horizontal="center" vertical="center"/>
    </xf>
    <xf numFmtId="0" fontId="21" fillId="0" borderId="0" xfId="0" applyFont="1"/>
    <xf numFmtId="43" fontId="21" fillId="0" borderId="0" xfId="8" applyFont="1" applyFill="1" applyBorder="1"/>
    <xf numFmtId="43" fontId="21" fillId="0" borderId="0" xfId="8" applyFont="1" applyFill="1"/>
    <xf numFmtId="43" fontId="21" fillId="21" borderId="0" xfId="8" applyFont="1" applyFill="1" applyBorder="1"/>
    <xf numFmtId="43" fontId="21" fillId="6" borderId="0" xfId="8" applyFont="1" applyFill="1" applyBorder="1"/>
    <xf numFmtId="0" fontId="17" fillId="0" borderId="13" xfId="0" applyFont="1" applyBorder="1" applyAlignment="1">
      <alignment horizontal="center" vertical="center" wrapText="1"/>
    </xf>
    <xf numFmtId="0" fontId="20" fillId="22" borderId="1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/>
    <xf numFmtId="0" fontId="22" fillId="0" borderId="0" xfId="0" applyFont="1"/>
    <xf numFmtId="0" fontId="23" fillId="0" borderId="0" xfId="0" applyFont="1"/>
    <xf numFmtId="0" fontId="21" fillId="0" borderId="0" xfId="0" applyFont="1" applyAlignment="1">
      <alignment horizontal="center" vertical="center"/>
    </xf>
    <xf numFmtId="44" fontId="23" fillId="0" borderId="0" xfId="0" applyNumberFormat="1" applyFont="1"/>
    <xf numFmtId="43" fontId="23" fillId="0" borderId="0" xfId="8" applyFont="1" applyFill="1"/>
    <xf numFmtId="0" fontId="16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9" xfId="5" applyFont="1" applyFill="1" applyBorder="1" applyAlignment="1">
      <alignment horizontal="center" vertical="center"/>
    </xf>
    <xf numFmtId="8" fontId="23" fillId="0" borderId="9" xfId="6" applyNumberFormat="1" applyFont="1" applyFill="1" applyBorder="1"/>
    <xf numFmtId="44" fontId="23" fillId="0" borderId="9" xfId="6" applyNumberFormat="1" applyFont="1" applyFill="1" applyBorder="1"/>
    <xf numFmtId="0" fontId="21" fillId="21" borderId="0" xfId="0" applyFont="1" applyFill="1" applyAlignment="1">
      <alignment horizontal="center" vertical="center"/>
    </xf>
    <xf numFmtId="43" fontId="23" fillId="21" borderId="0" xfId="8" applyFont="1" applyFill="1"/>
    <xf numFmtId="0" fontId="23" fillId="0" borderId="0" xfId="0" applyFont="1" applyAlignment="1">
      <alignment wrapText="1"/>
    </xf>
    <xf numFmtId="43" fontId="21" fillId="22" borderId="0" xfId="8" applyFont="1" applyFill="1"/>
    <xf numFmtId="43" fontId="16" fillId="21" borderId="0" xfId="8" applyFont="1" applyFill="1" applyBorder="1"/>
    <xf numFmtId="43" fontId="16" fillId="21" borderId="0" xfId="8" applyFont="1" applyFill="1"/>
    <xf numFmtId="43" fontId="16" fillId="22" borderId="0" xfId="8" applyFont="1" applyFill="1"/>
    <xf numFmtId="43" fontId="23" fillId="22" borderId="0" xfId="8" applyFont="1" applyFill="1"/>
    <xf numFmtId="43" fontId="21" fillId="0" borderId="0" xfId="0" applyNumberFormat="1" applyFont="1"/>
    <xf numFmtId="43" fontId="16" fillId="14" borderId="0" xfId="8" applyFont="1" applyFill="1" applyBorder="1"/>
    <xf numFmtId="0" fontId="21" fillId="14" borderId="0" xfId="0" applyFont="1" applyFill="1" applyAlignment="1">
      <alignment horizontal="center" vertical="center"/>
    </xf>
    <xf numFmtId="0" fontId="20" fillId="14" borderId="13" xfId="0" applyFont="1" applyFill="1" applyBorder="1" applyAlignment="1">
      <alignment horizontal="center" vertical="center" wrapText="1"/>
    </xf>
    <xf numFmtId="43" fontId="23" fillId="0" borderId="0" xfId="0" applyNumberFormat="1" applyFont="1"/>
    <xf numFmtId="0" fontId="11" fillId="10" borderId="5" xfId="0" applyFont="1" applyFill="1" applyBorder="1" applyAlignment="1">
      <alignment horizontal="left" vertical="center"/>
    </xf>
    <xf numFmtId="0" fontId="11" fillId="0" borderId="4" xfId="0" applyFont="1" applyBorder="1"/>
    <xf numFmtId="0" fontId="11" fillId="9" borderId="5" xfId="7" applyFont="1" applyBorder="1" applyAlignment="1" applyProtection="1">
      <alignment horizontal="left" vertical="center"/>
    </xf>
    <xf numFmtId="0" fontId="11" fillId="0" borderId="5" xfId="7" applyFont="1" applyFill="1" applyBorder="1" applyAlignment="1" applyProtection="1">
      <alignment horizontal="left" vertical="center"/>
    </xf>
    <xf numFmtId="0" fontId="4" fillId="6" borderId="10" xfId="0" applyFont="1" applyFill="1" applyBorder="1" applyAlignment="1" applyProtection="1">
      <alignment horizontal="center" vertical="center"/>
      <protection locked="0"/>
    </xf>
    <xf numFmtId="0" fontId="4" fillId="6" borderId="12" xfId="0" applyFont="1" applyFill="1" applyBorder="1" applyAlignment="1" applyProtection="1">
      <alignment horizontal="center" vertical="center"/>
      <protection locked="0"/>
    </xf>
    <xf numFmtId="0" fontId="11" fillId="10" borderId="4" xfId="0" applyFont="1" applyFill="1" applyBorder="1" applyAlignment="1">
      <alignment horizontal="left" vertical="center"/>
    </xf>
    <xf numFmtId="0" fontId="11" fillId="9" borderId="15" xfId="7" applyFont="1" applyBorder="1" applyAlignment="1" applyProtection="1">
      <alignment horizontal="left" vertical="center"/>
    </xf>
    <xf numFmtId="0" fontId="11" fillId="0" borderId="16" xfId="0" applyFont="1" applyBorder="1"/>
    <xf numFmtId="0" fontId="7" fillId="0" borderId="2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1" fillId="9" borderId="4" xfId="7" applyFont="1" applyBorder="1" applyAlignment="1" applyProtection="1">
      <alignment horizontal="left" vertical="center"/>
    </xf>
  </cellXfs>
  <cellStyles count="9">
    <cellStyle name="20% - Ênfase1" xfId="7" builtinId="30"/>
    <cellStyle name="60% - Ênfase6" xfId="6" builtinId="52"/>
    <cellStyle name="Ênfase6" xfId="5" builtinId="49"/>
    <cellStyle name="Moeda" xfId="1" builtinId="4"/>
    <cellStyle name="Normal" xfId="0" builtinId="0"/>
    <cellStyle name="Normal 2" xfId="3" xr:uid="{A02CE255-26F3-49A7-86BB-58490675A6B3}"/>
    <cellStyle name="Porcentagem" xfId="2" builtinId="5"/>
    <cellStyle name="Porcentagem 2" xfId="4" xr:uid="{38775B3A-D0CF-4D02-83B7-34A4114CECF1}"/>
    <cellStyle name="Vírgula" xfId="8" builtinId="3"/>
  </cellStyles>
  <dxfs count="0"/>
  <tableStyles count="0" defaultTableStyle="TableStyleMedium2" defaultPivotStyle="PivotStyleLight16"/>
  <colors>
    <mruColors>
      <color rgb="FFCC00FF"/>
      <color rgb="FF00FFFF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1653545</xdr:colOff>
      <xdr:row>3</xdr:row>
      <xdr:rowOff>135255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C63D02-1FDB-4C7E-81DD-CCC51E8D2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0"/>
          <a:ext cx="1537975" cy="771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3-08-19T19:58:57.77" personId="{00000000-0000-0000-0000-000000000000}" id="{4F8F0BE2-475B-422A-8FEE-9DD3A39B4FA6}">
    <text>IMPORTADO</text>
  </threadedComment>
  <threadedComment ref="D2" dT="2023-08-19T19:59:16.67" personId="{00000000-0000-0000-0000-000000000000}" id="{165B0CC4-2A74-4582-82F9-87059CFEF14E}">
    <text>IMPORTADO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4" tint="-0.249977111117893"/>
    <pageSetUpPr fitToPage="1"/>
  </sheetPr>
  <dimension ref="A1:S88"/>
  <sheetViews>
    <sheetView showGridLines="0" tabSelected="1" zoomScaleNormal="100" workbookViewId="0">
      <pane xSplit="3" ySplit="10" topLeftCell="D46" activePane="bottomRight" state="frozen"/>
      <selection pane="topRight" activeCell="D1" sqref="D1"/>
      <selection pane="bottomLeft" activeCell="A11" sqref="A11"/>
      <selection pane="bottomRight" activeCell="B18" sqref="B18:C18"/>
    </sheetView>
  </sheetViews>
  <sheetFormatPr defaultRowHeight="14.4" x14ac:dyDescent="0.3"/>
  <cols>
    <col min="1" max="1" width="2.109375" customWidth="1"/>
    <col min="2" max="2" width="26.5546875" customWidth="1"/>
    <col min="3" max="3" width="33.44140625" customWidth="1"/>
    <col min="4" max="4" width="17.5546875" customWidth="1"/>
    <col min="5" max="5" width="14" bestFit="1" customWidth="1"/>
    <col min="6" max="6" width="16.88671875" customWidth="1"/>
    <col min="7" max="7" width="14.88671875" customWidth="1"/>
    <col min="8" max="8" width="11.44140625" bestFit="1" customWidth="1"/>
    <col min="9" max="9" width="15.5546875" bestFit="1" customWidth="1"/>
    <col min="10" max="10" width="18.5546875" bestFit="1" customWidth="1"/>
    <col min="11" max="12" width="15" customWidth="1"/>
    <col min="13" max="13" width="17.88671875" customWidth="1"/>
    <col min="14" max="15" width="19.5546875" customWidth="1"/>
    <col min="16" max="16" width="14.109375" customWidth="1"/>
    <col min="17" max="17" width="9.5546875" customWidth="1"/>
    <col min="18" max="18" width="14.109375" bestFit="1" customWidth="1"/>
    <col min="19" max="19" width="17.88671875" bestFit="1" customWidth="1"/>
    <col min="23" max="23" width="19.109375" customWidth="1"/>
  </cols>
  <sheetData>
    <row r="1" spans="1:19" x14ac:dyDescent="0.3">
      <c r="A1" s="42"/>
      <c r="B1" s="42"/>
      <c r="C1" s="49" t="s">
        <v>0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</row>
    <row r="2" spans="1:19" x14ac:dyDescent="0.3">
      <c r="A2" s="42"/>
      <c r="B2" s="42"/>
      <c r="C2" s="49" t="s">
        <v>1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</row>
    <row r="3" spans="1:19" x14ac:dyDescent="0.3">
      <c r="A3" s="42"/>
      <c r="B3" s="42"/>
      <c r="C3" s="49" t="s">
        <v>2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</row>
    <row r="4" spans="1:19" x14ac:dyDescent="0.3">
      <c r="A4" s="42"/>
      <c r="B4" s="42"/>
      <c r="C4" s="49" t="s">
        <v>3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</row>
    <row r="5" spans="1:19" ht="15" thickBot="1" x14ac:dyDescent="0.3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</row>
    <row r="6" spans="1:19" ht="22.5" customHeight="1" thickBot="1" x14ac:dyDescent="0.35">
      <c r="A6" s="42"/>
      <c r="B6" s="50" t="s">
        <v>4</v>
      </c>
      <c r="C6" s="15"/>
      <c r="D6" s="16"/>
      <c r="E6" s="16"/>
      <c r="F6" s="16"/>
      <c r="G6" s="16"/>
      <c r="H6" s="16"/>
      <c r="I6" s="16"/>
      <c r="J6" s="51" t="s">
        <v>5</v>
      </c>
      <c r="K6" s="17"/>
      <c r="L6" s="52" t="s">
        <v>6</v>
      </c>
      <c r="M6" s="10"/>
      <c r="N6" s="10"/>
      <c r="O6" s="10"/>
      <c r="P6" s="10"/>
      <c r="Q6" s="10"/>
      <c r="R6" s="18"/>
      <c r="S6" s="19"/>
    </row>
    <row r="7" spans="1:19" ht="22.5" customHeight="1" thickBot="1" x14ac:dyDescent="0.35">
      <c r="A7" s="42"/>
      <c r="B7" s="53" t="s">
        <v>7</v>
      </c>
      <c r="C7" s="20"/>
      <c r="D7" s="20"/>
      <c r="E7" s="20"/>
      <c r="F7" s="20"/>
      <c r="G7" s="20"/>
      <c r="H7" s="20"/>
      <c r="I7" s="20"/>
      <c r="J7" s="20"/>
      <c r="K7" s="21"/>
      <c r="L7" s="54" t="s">
        <v>8</v>
      </c>
      <c r="M7" s="11"/>
      <c r="N7" s="11"/>
      <c r="O7" s="11"/>
      <c r="P7" s="14"/>
      <c r="Q7" s="55" t="s">
        <v>9</v>
      </c>
      <c r="R7" s="186" t="s">
        <v>130</v>
      </c>
      <c r="S7" s="187"/>
    </row>
    <row r="8" spans="1:19" ht="30" customHeight="1" thickBot="1" x14ac:dyDescent="0.35">
      <c r="A8" s="42"/>
      <c r="B8" s="56" t="s">
        <v>11</v>
      </c>
      <c r="C8" s="15"/>
      <c r="D8" s="16"/>
      <c r="E8" s="16"/>
      <c r="F8" s="17"/>
      <c r="G8" s="57" t="s">
        <v>12</v>
      </c>
      <c r="H8" s="12"/>
      <c r="I8" s="13"/>
      <c r="J8" s="58" t="s">
        <v>13</v>
      </c>
      <c r="K8" s="22" t="s">
        <v>14</v>
      </c>
      <c r="L8" s="59" t="s">
        <v>15</v>
      </c>
      <c r="M8" s="13"/>
      <c r="N8" s="13"/>
      <c r="O8" s="13"/>
      <c r="P8" s="23"/>
      <c r="Q8" s="60" t="s">
        <v>16</v>
      </c>
      <c r="R8" s="24"/>
      <c r="S8" s="25"/>
    </row>
    <row r="9" spans="1:19" s="43" customFormat="1" ht="17.399999999999999" x14ac:dyDescent="0.3">
      <c r="A9" s="61"/>
      <c r="B9" s="62" t="s">
        <v>193</v>
      </c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</row>
    <row r="10" spans="1:19" ht="28.2" thickBot="1" x14ac:dyDescent="0.35">
      <c r="A10" s="42"/>
      <c r="B10" s="94" t="s">
        <v>17</v>
      </c>
      <c r="C10" s="94"/>
      <c r="D10" s="64" t="s">
        <v>18</v>
      </c>
      <c r="E10" s="64" t="s">
        <v>19</v>
      </c>
      <c r="F10" s="64" t="s">
        <v>20</v>
      </c>
      <c r="G10" s="64" t="s">
        <v>21</v>
      </c>
      <c r="H10" s="64" t="s">
        <v>22</v>
      </c>
      <c r="I10" s="64" t="s">
        <v>23</v>
      </c>
      <c r="J10" s="64" t="s">
        <v>24</v>
      </c>
      <c r="K10" s="64" t="s">
        <v>25</v>
      </c>
      <c r="L10" s="64" t="s">
        <v>26</v>
      </c>
      <c r="M10" s="64" t="s">
        <v>27</v>
      </c>
      <c r="N10" s="64" t="s">
        <v>181</v>
      </c>
      <c r="O10" s="64" t="s">
        <v>182</v>
      </c>
      <c r="P10" s="64" t="s">
        <v>179</v>
      </c>
      <c r="Q10" s="64" t="s">
        <v>28</v>
      </c>
      <c r="R10" s="64" t="s">
        <v>29</v>
      </c>
      <c r="S10" s="64" t="s">
        <v>30</v>
      </c>
    </row>
    <row r="11" spans="1:19" ht="15" thickTop="1" x14ac:dyDescent="0.3">
      <c r="A11" s="42"/>
      <c r="B11" s="189" t="s">
        <v>31</v>
      </c>
      <c r="C11" s="190"/>
      <c r="D11" s="95">
        <v>5313</v>
      </c>
      <c r="E11" s="95" t="s">
        <v>32</v>
      </c>
      <c r="F11" s="95" t="s">
        <v>33</v>
      </c>
      <c r="G11" s="97">
        <f>VLOOKUP($R$7,PSC!$A$2:$L$31,9,FALSE)</f>
        <v>13.49</v>
      </c>
      <c r="H11" s="26" t="s">
        <v>34</v>
      </c>
      <c r="I11" s="26">
        <v>7898969895316</v>
      </c>
      <c r="J11" s="26">
        <v>17898969895313</v>
      </c>
      <c r="K11" s="96">
        <f>VLOOKUP($R$7,'ST BISCOITINHOS'!A:B,2,FALSE)</f>
        <v>0.04</v>
      </c>
      <c r="L11" s="97">
        <f>VLOOKUP($R$7,PREÇOS!$A$2:$L$31,9,FALSE)</f>
        <v>8.9</v>
      </c>
      <c r="M11" s="98">
        <f>L11*12</f>
        <v>106.80000000000001</v>
      </c>
      <c r="N11" s="101">
        <v>0</v>
      </c>
      <c r="O11" s="101">
        <v>0</v>
      </c>
      <c r="P11" s="36">
        <f>(L11+N11+O11)*12</f>
        <v>106.80000000000001</v>
      </c>
      <c r="Q11" s="99"/>
      <c r="R11" s="100">
        <f t="shared" ref="R11:R12" si="0">Q11*M11</f>
        <v>0</v>
      </c>
      <c r="S11" s="36">
        <f t="shared" ref="S11:S12" si="1">Q11*P11</f>
        <v>0</v>
      </c>
    </row>
    <row r="12" spans="1:19" x14ac:dyDescent="0.3">
      <c r="A12" s="42"/>
      <c r="B12" s="182" t="s">
        <v>35</v>
      </c>
      <c r="C12" s="183"/>
      <c r="D12" s="65">
        <v>5320</v>
      </c>
      <c r="E12" s="66" t="s">
        <v>32</v>
      </c>
      <c r="F12" s="66" t="s">
        <v>33</v>
      </c>
      <c r="G12" s="37">
        <f>VLOOKUP($R$7,PSC!$A$2:$L$31,9,FALSE)</f>
        <v>13.49</v>
      </c>
      <c r="H12" s="65" t="s">
        <v>34</v>
      </c>
      <c r="I12" s="65">
        <v>7898969895323</v>
      </c>
      <c r="J12" s="65">
        <v>17898969895320</v>
      </c>
      <c r="K12" s="67">
        <f>VLOOKUP($R$7,'ST BISCOITINHOS'!A:B,2,FALSE)</f>
        <v>0.04</v>
      </c>
      <c r="L12" s="37">
        <f>VLOOKUP($R$7,PREÇOS!$A$2:$L$31,9,FALSE)</f>
        <v>8.9</v>
      </c>
      <c r="M12" s="38">
        <f>L12*12</f>
        <v>106.80000000000001</v>
      </c>
      <c r="N12" s="102">
        <v>0</v>
      </c>
      <c r="O12" s="102">
        <v>0</v>
      </c>
      <c r="P12" s="39">
        <f t="shared" ref="P12" si="2">(L12+N12+O12)*12</f>
        <v>106.80000000000001</v>
      </c>
      <c r="Q12" s="34"/>
      <c r="R12" s="40">
        <f t="shared" si="0"/>
        <v>0</v>
      </c>
      <c r="S12" s="39">
        <f t="shared" si="1"/>
        <v>0</v>
      </c>
    </row>
    <row r="13" spans="1:19" x14ac:dyDescent="0.3">
      <c r="A13" s="42"/>
      <c r="B13" s="94"/>
      <c r="C13" s="9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</row>
    <row r="14" spans="1:19" x14ac:dyDescent="0.3">
      <c r="A14" s="42"/>
      <c r="B14" s="184" t="s">
        <v>36</v>
      </c>
      <c r="C14" s="183"/>
      <c r="D14" s="28">
        <v>5563</v>
      </c>
      <c r="E14" s="27" t="s">
        <v>37</v>
      </c>
      <c r="F14" s="27" t="s">
        <v>38</v>
      </c>
      <c r="G14" s="30">
        <f>VLOOKUP($R$7,PSC!$A$2:$M$31,13,FALSE)</f>
        <v>9.49</v>
      </c>
      <c r="H14" s="28" t="s">
        <v>34</v>
      </c>
      <c r="I14" s="28">
        <v>7898969895569</v>
      </c>
      <c r="J14" s="28">
        <v>27898969895563</v>
      </c>
      <c r="K14" s="29">
        <f>VLOOKUP($R$7,'ST BISCOITINHOS'!A:B,2,FALSE)</f>
        <v>0.04</v>
      </c>
      <c r="L14" s="30">
        <f>VLOOKUP($R$7,PREÇOS!$A$2:$M$31,13,FALSE)</f>
        <v>6.24</v>
      </c>
      <c r="M14" s="31">
        <f>L14*16</f>
        <v>99.84</v>
      </c>
      <c r="N14" s="32">
        <v>0</v>
      </c>
      <c r="O14" s="32">
        <v>0</v>
      </c>
      <c r="P14" s="33">
        <f>(L14+N14+O14)*16</f>
        <v>99.84</v>
      </c>
      <c r="Q14" s="118"/>
      <c r="R14" s="35">
        <f t="shared" ref="R14:R15" si="3">Q14*M14</f>
        <v>0</v>
      </c>
      <c r="S14" s="33">
        <f t="shared" ref="S14:S15" si="4">Q14*P14</f>
        <v>0</v>
      </c>
    </row>
    <row r="15" spans="1:19" x14ac:dyDescent="0.3">
      <c r="A15" s="42"/>
      <c r="B15" s="182" t="s">
        <v>39</v>
      </c>
      <c r="C15" s="183"/>
      <c r="D15" s="65">
        <v>5570</v>
      </c>
      <c r="E15" s="65" t="s">
        <v>37</v>
      </c>
      <c r="F15" s="65" t="s">
        <v>38</v>
      </c>
      <c r="G15" s="37">
        <f>VLOOKUP($R$7,PSC!$A$2:$M$31,13,FALSE)</f>
        <v>9.49</v>
      </c>
      <c r="H15" s="66" t="s">
        <v>34</v>
      </c>
      <c r="I15" s="65">
        <v>7898969895576</v>
      </c>
      <c r="J15" s="65">
        <v>27898969895570</v>
      </c>
      <c r="K15" s="67">
        <f>VLOOKUP($R$7,'ST BISCOITINHOS'!A:B,2,FALSE)</f>
        <v>0.04</v>
      </c>
      <c r="L15" s="37">
        <f>VLOOKUP($R$7,PREÇOS!$A$2:$M$31,13,FALSE)</f>
        <v>6.24</v>
      </c>
      <c r="M15" s="38">
        <f>L15*16</f>
        <v>99.84</v>
      </c>
      <c r="N15" s="68">
        <v>0</v>
      </c>
      <c r="O15" s="68">
        <v>0</v>
      </c>
      <c r="P15" s="39">
        <f t="shared" ref="P15" si="5">(L15+N15+O15)*16</f>
        <v>99.84</v>
      </c>
      <c r="Q15" s="34"/>
      <c r="R15" s="40">
        <f t="shared" si="3"/>
        <v>0</v>
      </c>
      <c r="S15" s="39">
        <f t="shared" si="4"/>
        <v>0</v>
      </c>
    </row>
    <row r="16" spans="1:19" x14ac:dyDescent="0.3">
      <c r="A16" s="42"/>
      <c r="B16" s="94"/>
      <c r="C16" s="9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</row>
    <row r="17" spans="1:19" x14ac:dyDescent="0.3">
      <c r="A17" s="42"/>
      <c r="B17" s="184" t="s">
        <v>40</v>
      </c>
      <c r="C17" s="183"/>
      <c r="D17" s="28">
        <v>17898994908729</v>
      </c>
      <c r="E17" s="27" t="s">
        <v>41</v>
      </c>
      <c r="F17" s="27" t="s">
        <v>42</v>
      </c>
      <c r="G17" s="30">
        <f>VLOOKUP($R$7,PSC!$A$2:$L$31,2,FALSE)</f>
        <v>9.49</v>
      </c>
      <c r="H17" s="28" t="s">
        <v>34</v>
      </c>
      <c r="I17" s="28" t="s">
        <v>43</v>
      </c>
      <c r="J17" s="28">
        <v>17898994908729</v>
      </c>
      <c r="K17" s="29">
        <f>VLOOKUP($R$7,'ST BISCOITINHOS'!A:B,2,FALSE)</f>
        <v>0.04</v>
      </c>
      <c r="L17" s="30">
        <f>VLOOKUP($R$7,PREÇOS!$A$2:$L$31,2,FALSE)</f>
        <v>6.24</v>
      </c>
      <c r="M17" s="31">
        <f>L17*12</f>
        <v>74.88</v>
      </c>
      <c r="N17" s="32">
        <v>0</v>
      </c>
      <c r="O17" s="32">
        <v>0</v>
      </c>
      <c r="P17" s="33">
        <f>(L17+N17+O17)*12</f>
        <v>74.88</v>
      </c>
      <c r="Q17" s="118"/>
      <c r="R17" s="35">
        <f t="shared" ref="R17:R36" si="6">Q17*M17</f>
        <v>0</v>
      </c>
      <c r="S17" s="33">
        <f t="shared" ref="S17:S36" si="7">Q17*P17</f>
        <v>0</v>
      </c>
    </row>
    <row r="18" spans="1:19" x14ac:dyDescent="0.3">
      <c r="A18" s="42"/>
      <c r="B18" s="182" t="s">
        <v>44</v>
      </c>
      <c r="C18" s="183"/>
      <c r="D18" s="65">
        <v>17898994908736</v>
      </c>
      <c r="E18" s="66" t="s">
        <v>41</v>
      </c>
      <c r="F18" s="66" t="s">
        <v>42</v>
      </c>
      <c r="G18" s="37">
        <f>VLOOKUP($R$7,PSC!$A$2:$L$31,2,FALSE)</f>
        <v>9.49</v>
      </c>
      <c r="H18" s="65" t="s">
        <v>34</v>
      </c>
      <c r="I18" s="65" t="s">
        <v>45</v>
      </c>
      <c r="J18" s="65">
        <v>17898994908736</v>
      </c>
      <c r="K18" s="67">
        <f>VLOOKUP($R$7,'ST BISCOITINHOS'!A:B,2,FALSE)</f>
        <v>0.04</v>
      </c>
      <c r="L18" s="37">
        <f>VLOOKUP($R$7,PREÇOS!$A$2:$L$31,2,FALSE)</f>
        <v>6.24</v>
      </c>
      <c r="M18" s="38">
        <f t="shared" ref="M18:M22" si="8">L18*12</f>
        <v>74.88</v>
      </c>
      <c r="N18" s="68">
        <v>0</v>
      </c>
      <c r="O18" s="68">
        <v>0</v>
      </c>
      <c r="P18" s="39">
        <f t="shared" ref="P18:P47" si="9">(L18+N18+O18)*12</f>
        <v>74.88</v>
      </c>
      <c r="Q18" s="34"/>
      <c r="R18" s="40">
        <f t="shared" si="6"/>
        <v>0</v>
      </c>
      <c r="S18" s="39">
        <f t="shared" si="7"/>
        <v>0</v>
      </c>
    </row>
    <row r="19" spans="1:19" x14ac:dyDescent="0.3">
      <c r="A19" s="42"/>
      <c r="B19" s="184" t="s">
        <v>46</v>
      </c>
      <c r="C19" s="183"/>
      <c r="D19" s="28">
        <v>17898994908712</v>
      </c>
      <c r="E19" s="27" t="s">
        <v>41</v>
      </c>
      <c r="F19" s="27" t="s">
        <v>42</v>
      </c>
      <c r="G19" s="30">
        <f>VLOOKUP($R$7,PSC!$A$2:$L$31,2,FALSE)</f>
        <v>9.49</v>
      </c>
      <c r="H19" s="28" t="s">
        <v>34</v>
      </c>
      <c r="I19" s="28" t="s">
        <v>47</v>
      </c>
      <c r="J19" s="28">
        <v>17898994908712</v>
      </c>
      <c r="K19" s="29">
        <f>VLOOKUP($R$7,'ST BISCOITINHOS'!A:B,2,FALSE)</f>
        <v>0.04</v>
      </c>
      <c r="L19" s="30">
        <f>VLOOKUP($R$7,PREÇOS!$A$2:$L$31,2,FALSE)</f>
        <v>6.24</v>
      </c>
      <c r="M19" s="31">
        <f t="shared" si="8"/>
        <v>74.88</v>
      </c>
      <c r="N19" s="32">
        <v>0</v>
      </c>
      <c r="O19" s="32">
        <v>0</v>
      </c>
      <c r="P19" s="33">
        <f t="shared" si="9"/>
        <v>74.88</v>
      </c>
      <c r="Q19" s="34"/>
      <c r="R19" s="35">
        <f t="shared" si="6"/>
        <v>0</v>
      </c>
      <c r="S19" s="33">
        <f t="shared" si="7"/>
        <v>0</v>
      </c>
    </row>
    <row r="20" spans="1:19" x14ac:dyDescent="0.3">
      <c r="A20" s="42"/>
      <c r="B20" s="182" t="s">
        <v>48</v>
      </c>
      <c r="C20" s="183"/>
      <c r="D20" s="65">
        <v>17898994908750</v>
      </c>
      <c r="E20" s="66" t="s">
        <v>41</v>
      </c>
      <c r="F20" s="66" t="s">
        <v>42</v>
      </c>
      <c r="G20" s="37">
        <f>VLOOKUP($R$7,PSC!$A$2:$L$31,2,FALSE)</f>
        <v>9.49</v>
      </c>
      <c r="H20" s="65" t="s">
        <v>34</v>
      </c>
      <c r="I20" s="65" t="s">
        <v>49</v>
      </c>
      <c r="J20" s="65">
        <v>17898994908750</v>
      </c>
      <c r="K20" s="67">
        <f>VLOOKUP($R$7,'ST BISCOITINHOS'!A:B,2,FALSE)</f>
        <v>0.04</v>
      </c>
      <c r="L20" s="37">
        <f>VLOOKUP($R$7,PREÇOS!$A$2:$L$31,2,FALSE)</f>
        <v>6.24</v>
      </c>
      <c r="M20" s="38">
        <f t="shared" si="8"/>
        <v>74.88</v>
      </c>
      <c r="N20" s="68">
        <v>0</v>
      </c>
      <c r="O20" s="68">
        <v>0</v>
      </c>
      <c r="P20" s="39">
        <f t="shared" si="9"/>
        <v>74.88</v>
      </c>
      <c r="Q20" s="34"/>
      <c r="R20" s="40">
        <f t="shared" si="6"/>
        <v>0</v>
      </c>
      <c r="S20" s="39">
        <f t="shared" si="7"/>
        <v>0</v>
      </c>
    </row>
    <row r="21" spans="1:19" x14ac:dyDescent="0.3">
      <c r="A21" s="42"/>
      <c r="B21" s="184" t="s">
        <v>50</v>
      </c>
      <c r="C21" s="183"/>
      <c r="D21" s="28">
        <v>27898994908757</v>
      </c>
      <c r="E21" s="27" t="s">
        <v>41</v>
      </c>
      <c r="F21" s="27" t="s">
        <v>42</v>
      </c>
      <c r="G21" s="30">
        <f>VLOOKUP($R$7,PSC!$A$2:$L$31,2,FALSE)</f>
        <v>9.49</v>
      </c>
      <c r="H21" s="28" t="s">
        <v>34</v>
      </c>
      <c r="I21" s="28" t="s">
        <v>51</v>
      </c>
      <c r="J21" s="28">
        <v>27898994908757</v>
      </c>
      <c r="K21" s="29">
        <f>VLOOKUP($R$7,'ST BISCOITINHOS'!A:B,2,FALSE)</f>
        <v>0.04</v>
      </c>
      <c r="L21" s="30">
        <f>VLOOKUP($R$7,PREÇOS!$A$2:$L$31,2,FALSE)</f>
        <v>6.24</v>
      </c>
      <c r="M21" s="31">
        <f t="shared" si="8"/>
        <v>74.88</v>
      </c>
      <c r="N21" s="32">
        <v>0</v>
      </c>
      <c r="O21" s="32">
        <v>0</v>
      </c>
      <c r="P21" s="33">
        <f t="shared" si="9"/>
        <v>74.88</v>
      </c>
      <c r="Q21" s="34"/>
      <c r="R21" s="35">
        <f t="shared" si="6"/>
        <v>0</v>
      </c>
      <c r="S21" s="33">
        <f t="shared" si="7"/>
        <v>0</v>
      </c>
    </row>
    <row r="22" spans="1:19" x14ac:dyDescent="0.3">
      <c r="A22" s="42"/>
      <c r="B22" s="182" t="s">
        <v>52</v>
      </c>
      <c r="C22" s="188"/>
      <c r="D22" s="65">
        <v>5306</v>
      </c>
      <c r="E22" s="66" t="s">
        <v>41</v>
      </c>
      <c r="F22" s="66" t="s">
        <v>42</v>
      </c>
      <c r="G22" s="37">
        <f>VLOOKUP($R$7,PSC!$A$2:$L$31,2,FALSE)</f>
        <v>9.49</v>
      </c>
      <c r="H22" s="65" t="s">
        <v>34</v>
      </c>
      <c r="I22" s="65">
        <v>7898969895309</v>
      </c>
      <c r="J22" s="65">
        <v>17898969895306</v>
      </c>
      <c r="K22" s="67">
        <f>VLOOKUP($R$7,'ST BISCOITINHOS'!A:B,2,FALSE)</f>
        <v>0.04</v>
      </c>
      <c r="L22" s="37">
        <f>VLOOKUP($R$7,PREÇOS!$A$2:$L$31,2,FALSE)</f>
        <v>6.24</v>
      </c>
      <c r="M22" s="38">
        <f t="shared" si="8"/>
        <v>74.88</v>
      </c>
      <c r="N22" s="68">
        <v>0</v>
      </c>
      <c r="O22" s="68">
        <v>0</v>
      </c>
      <c r="P22" s="39">
        <f t="shared" si="9"/>
        <v>74.88</v>
      </c>
      <c r="Q22" s="34"/>
      <c r="R22" s="40">
        <f t="shared" si="6"/>
        <v>0</v>
      </c>
      <c r="S22" s="39">
        <f t="shared" si="7"/>
        <v>0</v>
      </c>
    </row>
    <row r="23" spans="1:19" x14ac:dyDescent="0.3">
      <c r="A23" s="42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</row>
    <row r="24" spans="1:19" x14ac:dyDescent="0.3">
      <c r="A24" s="42"/>
      <c r="B24" s="184" t="s">
        <v>53</v>
      </c>
      <c r="C24" s="183"/>
      <c r="D24" s="28">
        <v>5085</v>
      </c>
      <c r="E24" s="27" t="s">
        <v>54</v>
      </c>
      <c r="F24" s="27" t="s">
        <v>55</v>
      </c>
      <c r="G24" s="30">
        <f>VLOOKUP($R$7,PSC!$A$2:$L$31,3,FALSE)</f>
        <v>5.99</v>
      </c>
      <c r="H24" s="28" t="s">
        <v>56</v>
      </c>
      <c r="I24" s="28">
        <v>7898969895088</v>
      </c>
      <c r="J24" s="28">
        <v>17898969895085</v>
      </c>
      <c r="K24" s="29">
        <f>VLOOKUP($R$7,'ST PALITINHOS'!A:B,2,FALSE)</f>
        <v>0.12</v>
      </c>
      <c r="L24" s="30">
        <f>VLOOKUP($R$7,PREÇOS!$A$2:$L$31,3,FALSE)</f>
        <v>3.9312</v>
      </c>
      <c r="M24" s="31">
        <f>L24*16</f>
        <v>62.8992</v>
      </c>
      <c r="N24" s="32">
        <f>IF($K$8="SIM",VLOOKUP($R$7,'ST PALITINHOS'!$A$1:$J$31,10,FALSE),VLOOKUP($R$7,'ST PALITINHOS'!$A$1:$J$31,9,FALSE))</f>
        <v>0</v>
      </c>
      <c r="O24" s="32">
        <v>0</v>
      </c>
      <c r="P24" s="33">
        <f>(L24+N24+O24)*16</f>
        <v>62.8992</v>
      </c>
      <c r="Q24" s="118"/>
      <c r="R24" s="35">
        <f t="shared" si="6"/>
        <v>0</v>
      </c>
      <c r="S24" s="33">
        <f t="shared" si="7"/>
        <v>0</v>
      </c>
    </row>
    <row r="25" spans="1:19" x14ac:dyDescent="0.3">
      <c r="A25" s="42"/>
      <c r="B25" s="182" t="s">
        <v>57</v>
      </c>
      <c r="C25" s="183"/>
      <c r="D25" s="65">
        <v>5078</v>
      </c>
      <c r="E25" s="66" t="s">
        <v>54</v>
      </c>
      <c r="F25" s="66" t="s">
        <v>55</v>
      </c>
      <c r="G25" s="37">
        <f>VLOOKUP($R$7,PSC!$A$2:$L$31,3,FALSE)</f>
        <v>5.99</v>
      </c>
      <c r="H25" s="65" t="s">
        <v>56</v>
      </c>
      <c r="I25" s="65">
        <v>7898969895071</v>
      </c>
      <c r="J25" s="65">
        <v>17898969895078</v>
      </c>
      <c r="K25" s="67">
        <f>VLOOKUP($R$7,'ST PALITINHOS'!A:B,2,FALSE)</f>
        <v>0.12</v>
      </c>
      <c r="L25" s="37">
        <f>VLOOKUP($R$7,PREÇOS!$A$2:$L$31,3,FALSE)</f>
        <v>3.9312</v>
      </c>
      <c r="M25" s="38">
        <f>L25*16</f>
        <v>62.8992</v>
      </c>
      <c r="N25" s="68">
        <f>IF($K$8="SIM",VLOOKUP($R$7,'ST PALITINHOS'!$A$1:$J$31,10,FALSE),VLOOKUP($R$7,'ST PALITINHOS'!$A$1:$J$31,9,FALSE))</f>
        <v>0</v>
      </c>
      <c r="O25" s="68">
        <v>0</v>
      </c>
      <c r="P25" s="39">
        <f t="shared" ref="P25:P26" si="10">(L25+N25+O25)*16</f>
        <v>62.8992</v>
      </c>
      <c r="Q25" s="34"/>
      <c r="R25" s="40">
        <f t="shared" si="6"/>
        <v>0</v>
      </c>
      <c r="S25" s="39">
        <f t="shared" si="7"/>
        <v>0</v>
      </c>
    </row>
    <row r="26" spans="1:19" x14ac:dyDescent="0.3">
      <c r="A26" s="42"/>
      <c r="B26" s="184" t="s">
        <v>58</v>
      </c>
      <c r="C26" s="183"/>
      <c r="D26" s="28">
        <v>5061</v>
      </c>
      <c r="E26" s="27" t="s">
        <v>54</v>
      </c>
      <c r="F26" s="27" t="s">
        <v>55</v>
      </c>
      <c r="G26" s="30">
        <f>VLOOKUP($R$7,PSC!$A$2:$L$31,3,FALSE)</f>
        <v>5.99</v>
      </c>
      <c r="H26" s="28" t="s">
        <v>56</v>
      </c>
      <c r="I26" s="28">
        <v>7898969895064</v>
      </c>
      <c r="J26" s="28">
        <v>17898969895061</v>
      </c>
      <c r="K26" s="29">
        <f>VLOOKUP($R$7,'ST PALITINHOS'!A:B,2,FALSE)</f>
        <v>0.12</v>
      </c>
      <c r="L26" s="30">
        <f>VLOOKUP($R$7,PREÇOS!$A$2:$L$31,3,FALSE)</f>
        <v>3.9312</v>
      </c>
      <c r="M26" s="31">
        <f>L26*16</f>
        <v>62.8992</v>
      </c>
      <c r="N26" s="32">
        <f>IF($K$8="SIM",VLOOKUP($R$7,'ST PALITINHOS'!$A$1:$J$31,10,FALSE),VLOOKUP($R$7,'ST PALITINHOS'!$A$1:$J$31,9,FALSE))</f>
        <v>0</v>
      </c>
      <c r="O26" s="32">
        <v>0</v>
      </c>
      <c r="P26" s="33">
        <f t="shared" si="10"/>
        <v>62.8992</v>
      </c>
      <c r="Q26" s="34"/>
      <c r="R26" s="35">
        <f t="shared" si="6"/>
        <v>0</v>
      </c>
      <c r="S26" s="33">
        <f t="shared" si="7"/>
        <v>0</v>
      </c>
    </row>
    <row r="27" spans="1:19" x14ac:dyDescent="0.3">
      <c r="A27" s="42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</row>
    <row r="28" spans="1:19" x14ac:dyDescent="0.3">
      <c r="A28" s="42"/>
      <c r="B28" s="184" t="s">
        <v>59</v>
      </c>
      <c r="C28" s="183"/>
      <c r="D28" s="28">
        <v>8774</v>
      </c>
      <c r="E28" s="27" t="s">
        <v>60</v>
      </c>
      <c r="F28" s="27" t="s">
        <v>38</v>
      </c>
      <c r="G28" s="30">
        <f>VLOOKUP($R$7,PSC!$A$2:$L$31,4,FALSE)</f>
        <v>19.989999999999998</v>
      </c>
      <c r="H28" s="28" t="s">
        <v>61</v>
      </c>
      <c r="I28" s="28">
        <v>7898994908777</v>
      </c>
      <c r="J28" s="28">
        <v>17898994908774</v>
      </c>
      <c r="K28" s="29">
        <f>VLOOKUP($R$7,'ST BISCOITINHOS'!A:B,2,FALSE)</f>
        <v>0.04</v>
      </c>
      <c r="L28" s="30">
        <f>VLOOKUP($R$7,PREÇOS!$A$2:$L$31,4,FALSE)</f>
        <v>13.348800000000001</v>
      </c>
      <c r="M28" s="31">
        <f>L28*12</f>
        <v>160.18560000000002</v>
      </c>
      <c r="N28" s="32">
        <f>IF($K$8="SIM",VLOOKUP($R$7,'ST BISCOITINHOS'!$A$1:$J$31,10,FALSE),VLOOKUP($R$7,'ST BISCOITINHOS'!$A$1:$J$31,9,FALSE))</f>
        <v>3.6802908576000002</v>
      </c>
      <c r="O28" s="32">
        <v>0</v>
      </c>
      <c r="P28" s="33">
        <f t="shared" si="9"/>
        <v>204.34909029120001</v>
      </c>
      <c r="Q28" s="34"/>
      <c r="R28" s="35">
        <f t="shared" si="6"/>
        <v>0</v>
      </c>
      <c r="S28" s="33">
        <f t="shared" si="7"/>
        <v>0</v>
      </c>
    </row>
    <row r="29" spans="1:19" x14ac:dyDescent="0.3">
      <c r="A29" s="42"/>
      <c r="B29" s="182" t="s">
        <v>62</v>
      </c>
      <c r="C29" s="183"/>
      <c r="D29" s="65">
        <v>8767</v>
      </c>
      <c r="E29" s="66" t="s">
        <v>60</v>
      </c>
      <c r="F29" s="66" t="s">
        <v>38</v>
      </c>
      <c r="G29" s="37">
        <f>VLOOKUP($R$7,PSC!$A$2:$L$31,4,FALSE)</f>
        <v>19.989999999999998</v>
      </c>
      <c r="H29" s="65" t="s">
        <v>61</v>
      </c>
      <c r="I29" s="65">
        <v>7898994908760</v>
      </c>
      <c r="J29" s="65">
        <v>17898994908767</v>
      </c>
      <c r="K29" s="67">
        <f>VLOOKUP($R$7,'ST BISCOITINHOS'!A:B,2,FALSE)</f>
        <v>0.04</v>
      </c>
      <c r="L29" s="37">
        <f>VLOOKUP($R$7,PREÇOS!$A$2:$L$31,4,FALSE)</f>
        <v>13.348800000000001</v>
      </c>
      <c r="M29" s="38">
        <f>L29*12</f>
        <v>160.18560000000002</v>
      </c>
      <c r="N29" s="68">
        <f>IF($K$8="SIM",VLOOKUP($R$7,'ST BISCOITINHOS'!$A$1:$J$31,10,FALSE),VLOOKUP($R$7,'ST BISCOITINHOS'!$A$1:$J$31,9,FALSE))</f>
        <v>3.6802908576000002</v>
      </c>
      <c r="O29" s="68">
        <v>0</v>
      </c>
      <c r="P29" s="39">
        <f t="shared" si="9"/>
        <v>204.34909029120001</v>
      </c>
      <c r="Q29" s="34"/>
      <c r="R29" s="40">
        <f t="shared" si="6"/>
        <v>0</v>
      </c>
      <c r="S29" s="39">
        <f t="shared" si="7"/>
        <v>0</v>
      </c>
    </row>
    <row r="30" spans="1:19" x14ac:dyDescent="0.3">
      <c r="A30" s="42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</row>
    <row r="31" spans="1:19" x14ac:dyDescent="0.3">
      <c r="A31" s="42"/>
      <c r="B31" s="184" t="s">
        <v>63</v>
      </c>
      <c r="C31" s="183"/>
      <c r="D31" s="28">
        <v>5290</v>
      </c>
      <c r="E31" s="27" t="s">
        <v>64</v>
      </c>
      <c r="F31" s="27" t="s">
        <v>65</v>
      </c>
      <c r="G31" s="30">
        <f>VLOOKUP($R$7,PSC!$A$2:$L$31,5,FALSE)</f>
        <v>12.49</v>
      </c>
      <c r="H31" s="28" t="s">
        <v>66</v>
      </c>
      <c r="I31" s="28">
        <v>7898969895293</v>
      </c>
      <c r="J31" s="28">
        <v>17898969895293</v>
      </c>
      <c r="K31" s="29">
        <f>VLOOKUP($R$7,'ST PAPAPASTA'!A:B,2,FALSE)</f>
        <v>0.12</v>
      </c>
      <c r="L31" s="30">
        <f>VLOOKUP($R$7,PREÇOS!$A$2:$L$31,5,FALSE)</f>
        <v>8.6189999999999998</v>
      </c>
      <c r="M31" s="31">
        <f>L31*12</f>
        <v>103.428</v>
      </c>
      <c r="N31" s="32">
        <f>IF($K$8="SIM",VLOOKUP($R$7,'ST PAPAPASTA'!$A$1:$J$31,10,FALSE),VLOOKUP($R$7,'ST PAPAPASTA'!$A$1:$J$31,9,FALSE))</f>
        <v>0</v>
      </c>
      <c r="O31" s="32">
        <v>0</v>
      </c>
      <c r="P31" s="33">
        <f t="shared" si="9"/>
        <v>103.428</v>
      </c>
      <c r="Q31" s="34"/>
      <c r="R31" s="35">
        <f t="shared" si="6"/>
        <v>0</v>
      </c>
      <c r="S31" s="33">
        <f t="shared" si="7"/>
        <v>0</v>
      </c>
    </row>
    <row r="32" spans="1:19" x14ac:dyDescent="0.3">
      <c r="A32" s="42"/>
      <c r="B32" s="182" t="s">
        <v>67</v>
      </c>
      <c r="C32" s="183"/>
      <c r="D32" s="65">
        <v>5283</v>
      </c>
      <c r="E32" s="66" t="s">
        <v>64</v>
      </c>
      <c r="F32" s="66" t="s">
        <v>65</v>
      </c>
      <c r="G32" s="37">
        <f>VLOOKUP($R$7,PSC!$A$2:$L$31,5,FALSE)</f>
        <v>12.49</v>
      </c>
      <c r="H32" s="65" t="s">
        <v>66</v>
      </c>
      <c r="I32" s="65">
        <v>7898969895286</v>
      </c>
      <c r="J32" s="65">
        <v>17898969895286</v>
      </c>
      <c r="K32" s="67">
        <f>VLOOKUP($R$7,'ST PAPAPASTA'!A:B,2,FALSE)</f>
        <v>0.12</v>
      </c>
      <c r="L32" s="37">
        <f>VLOOKUP($R$7,PREÇOS!$A$2:$L$31,5,FALSE)</f>
        <v>8.6189999999999998</v>
      </c>
      <c r="M32" s="38">
        <f>L32*12</f>
        <v>103.428</v>
      </c>
      <c r="N32" s="68">
        <f>IF($K$8="SIM",VLOOKUP($R$7,'ST PAPAPASTA'!$A$1:$J$31,10,FALSE),VLOOKUP($R$7,'ST PAPAPASTA'!$A$1:$J$31,9,FALSE))</f>
        <v>0</v>
      </c>
      <c r="O32" s="68">
        <v>0</v>
      </c>
      <c r="P32" s="39">
        <f t="shared" si="9"/>
        <v>103.428</v>
      </c>
      <c r="Q32" s="34"/>
      <c r="R32" s="40">
        <f t="shared" si="6"/>
        <v>0</v>
      </c>
      <c r="S32" s="39">
        <f t="shared" si="7"/>
        <v>0</v>
      </c>
    </row>
    <row r="33" spans="1:19" x14ac:dyDescent="0.3">
      <c r="A33" s="42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</row>
    <row r="34" spans="1:19" x14ac:dyDescent="0.3">
      <c r="B34" s="184" t="s">
        <v>68</v>
      </c>
      <c r="C34" s="183"/>
      <c r="D34" s="28">
        <v>5276</v>
      </c>
      <c r="E34" s="27" t="s">
        <v>69</v>
      </c>
      <c r="F34" s="27" t="s">
        <v>42</v>
      </c>
      <c r="G34" s="30">
        <f>VLOOKUP($R$7,PSC!$A$2:$L$31,6,FALSE)</f>
        <v>18.989999999999998</v>
      </c>
      <c r="H34" s="28" t="s">
        <v>34</v>
      </c>
      <c r="I34" s="28">
        <v>7898969895279</v>
      </c>
      <c r="J34" s="28">
        <v>17898969895276</v>
      </c>
      <c r="K34" s="29">
        <f>VLOOKUP($R$7,'ST PAPAPASTA'!A:B,2,FALSE)</f>
        <v>0.12</v>
      </c>
      <c r="L34" s="30">
        <f>VLOOKUP($R$7,PREÇOS!$A$2:$L$31,6,FALSE)</f>
        <v>12.39</v>
      </c>
      <c r="M34" s="31">
        <f>L34*6</f>
        <v>74.34</v>
      </c>
      <c r="N34" s="32">
        <v>0</v>
      </c>
      <c r="O34" s="32">
        <v>0</v>
      </c>
      <c r="P34" s="33">
        <f>(L34+N34+O34)*6</f>
        <v>74.34</v>
      </c>
      <c r="Q34" s="34"/>
      <c r="R34" s="35">
        <f t="shared" si="6"/>
        <v>0</v>
      </c>
      <c r="S34" s="33">
        <f t="shared" si="7"/>
        <v>0</v>
      </c>
    </row>
    <row r="35" spans="1:19" x14ac:dyDescent="0.3">
      <c r="B35" s="182" t="s">
        <v>70</v>
      </c>
      <c r="C35" s="183"/>
      <c r="D35" s="65">
        <v>5269</v>
      </c>
      <c r="E35" s="66" t="s">
        <v>69</v>
      </c>
      <c r="F35" s="66" t="s">
        <v>42</v>
      </c>
      <c r="G35" s="37">
        <f>VLOOKUP($R$7,PSC!$A$2:$L$31,6,FALSE)</f>
        <v>18.989999999999998</v>
      </c>
      <c r="H35" s="65" t="s">
        <v>34</v>
      </c>
      <c r="I35" s="65">
        <v>7898969895262</v>
      </c>
      <c r="J35" s="65">
        <v>17898969895269</v>
      </c>
      <c r="K35" s="67">
        <f>VLOOKUP($R$7,'ST PAPAPASTA'!A:B,2,FALSE)</f>
        <v>0.12</v>
      </c>
      <c r="L35" s="37">
        <f>VLOOKUP($R$7,PREÇOS!$A$2:$L$31,6,FALSE)</f>
        <v>12.39</v>
      </c>
      <c r="M35" s="38">
        <f>L35*6</f>
        <v>74.34</v>
      </c>
      <c r="N35" s="68">
        <v>0</v>
      </c>
      <c r="O35" s="68">
        <v>0</v>
      </c>
      <c r="P35" s="39">
        <f t="shared" ref="P35:P36" si="11">(L35+N35+O35)*6</f>
        <v>74.34</v>
      </c>
      <c r="Q35" s="34"/>
      <c r="R35" s="40">
        <f t="shared" si="6"/>
        <v>0</v>
      </c>
      <c r="S35" s="39">
        <f t="shared" si="7"/>
        <v>0</v>
      </c>
    </row>
    <row r="36" spans="1:19" x14ac:dyDescent="0.3">
      <c r="B36" s="184" t="s">
        <v>71</v>
      </c>
      <c r="C36" s="183"/>
      <c r="D36" s="28">
        <v>5252</v>
      </c>
      <c r="E36" s="27" t="s">
        <v>69</v>
      </c>
      <c r="F36" s="27" t="s">
        <v>42</v>
      </c>
      <c r="G36" s="30">
        <f>VLOOKUP($R$7,PSC!$A$2:$L$31,6,FALSE)</f>
        <v>18.989999999999998</v>
      </c>
      <c r="H36" s="28" t="s">
        <v>34</v>
      </c>
      <c r="I36" s="28">
        <v>7898969895255</v>
      </c>
      <c r="J36" s="28">
        <v>17898969895252</v>
      </c>
      <c r="K36" s="29">
        <f>VLOOKUP($R$7,'ST PAPAPASTA'!A:B,2,FALSE)</f>
        <v>0.12</v>
      </c>
      <c r="L36" s="30">
        <f>VLOOKUP($R$7,PREÇOS!$A$2:$L$31,6,FALSE)</f>
        <v>12.39</v>
      </c>
      <c r="M36" s="31">
        <f>L36*6</f>
        <v>74.34</v>
      </c>
      <c r="N36" s="32">
        <v>0</v>
      </c>
      <c r="O36" s="32">
        <v>0</v>
      </c>
      <c r="P36" s="33">
        <f t="shared" si="11"/>
        <v>74.34</v>
      </c>
      <c r="Q36" s="34"/>
      <c r="R36" s="35">
        <f t="shared" si="6"/>
        <v>0</v>
      </c>
      <c r="S36" s="33">
        <f t="shared" si="7"/>
        <v>0</v>
      </c>
    </row>
    <row r="37" spans="1:19" x14ac:dyDescent="0.3"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</row>
    <row r="38" spans="1:19" x14ac:dyDescent="0.3">
      <c r="B38" s="182" t="s">
        <v>74</v>
      </c>
      <c r="C38" s="183"/>
      <c r="D38" s="65">
        <v>5402</v>
      </c>
      <c r="E38" s="65" t="s">
        <v>72</v>
      </c>
      <c r="F38" s="66" t="s">
        <v>33</v>
      </c>
      <c r="G38" s="37">
        <f>VLOOKUP($R$7,PSC!$A$2:$L$31,10,FALSE)</f>
        <v>9.99</v>
      </c>
      <c r="H38" s="65" t="s">
        <v>73</v>
      </c>
      <c r="I38" s="65">
        <v>7898969895408</v>
      </c>
      <c r="J38" s="65">
        <v>27898969895402</v>
      </c>
      <c r="K38" s="67">
        <f>VLOOKUP($R$7,'ST CEREAL SABOR POUCH 170'!A:B,2,FALSE)</f>
        <v>0.12</v>
      </c>
      <c r="L38" s="37">
        <f>VLOOKUP($R$7,PREÇOS!$A$2:$L$31,10,FALSE)</f>
        <v>6.7650000000000006</v>
      </c>
      <c r="M38" s="38">
        <f t="shared" ref="M38:M41" si="12">L38*12</f>
        <v>81.180000000000007</v>
      </c>
      <c r="N38" s="115">
        <f>IF($K$8="SIM",VLOOKUP($R$7,'ST CEREAL SABOR POUCH 170'!$A$1:$J$31,10,FALSE),VLOOKUP($R$7,'ST CEREAL SABOR POUCH 170'!$A$1:$J$31,9,FALSE))</f>
        <v>0.96969510000000025</v>
      </c>
      <c r="O38" s="115">
        <v>0</v>
      </c>
      <c r="P38" s="39">
        <f t="shared" si="9"/>
        <v>92.816341200000011</v>
      </c>
      <c r="Q38" s="34"/>
      <c r="R38" s="40">
        <f t="shared" ref="R38" si="13">Q38*M38</f>
        <v>0</v>
      </c>
      <c r="S38" s="39">
        <f t="shared" ref="S38" si="14">Q38*P38</f>
        <v>0</v>
      </c>
    </row>
    <row r="39" spans="1:19" x14ac:dyDescent="0.3">
      <c r="B39" s="184" t="s">
        <v>75</v>
      </c>
      <c r="C39" s="183"/>
      <c r="D39" s="28">
        <v>5419</v>
      </c>
      <c r="E39" s="28" t="s">
        <v>72</v>
      </c>
      <c r="F39" s="27" t="s">
        <v>33</v>
      </c>
      <c r="G39" s="30">
        <f>VLOOKUP($R$7,PSC!$A$2:$L$31,10,FALSE)</f>
        <v>9.99</v>
      </c>
      <c r="H39" s="28" t="s">
        <v>73</v>
      </c>
      <c r="I39" s="28">
        <v>7898969895415</v>
      </c>
      <c r="J39" s="28">
        <v>27898969895419</v>
      </c>
      <c r="K39" s="29">
        <f>VLOOKUP($R$7,'ST CEREAL SABOR POUCH 170'!A:B,2,FALSE)</f>
        <v>0.12</v>
      </c>
      <c r="L39" s="30">
        <f>VLOOKUP($R$7,PREÇOS!$A$2:$L$31,10,FALSE)</f>
        <v>6.7650000000000006</v>
      </c>
      <c r="M39" s="31">
        <f t="shared" si="12"/>
        <v>81.180000000000007</v>
      </c>
      <c r="N39" s="32">
        <f>IF($K$8="SIM",VLOOKUP($R$7,'ST CEREAL SABOR POUCH 170'!$A$1:$J$31,10,FALSE),VLOOKUP($R$7,'ST CEREAL SABOR POUCH 170'!$A$1:$J$31,9,FALSE))</f>
        <v>0.96969510000000025</v>
      </c>
      <c r="O39" s="32">
        <v>0</v>
      </c>
      <c r="P39" s="33">
        <f t="shared" si="9"/>
        <v>92.816341200000011</v>
      </c>
      <c r="Q39" s="34"/>
      <c r="R39" s="35">
        <f>Q39*M39</f>
        <v>0</v>
      </c>
      <c r="S39" s="33">
        <f t="shared" ref="S39:S41" si="15">Q39*P39</f>
        <v>0</v>
      </c>
    </row>
    <row r="40" spans="1:19" x14ac:dyDescent="0.3">
      <c r="B40" s="182" t="s">
        <v>76</v>
      </c>
      <c r="C40" s="183"/>
      <c r="D40" s="65">
        <v>5429</v>
      </c>
      <c r="E40" s="65" t="s">
        <v>72</v>
      </c>
      <c r="F40" s="66" t="s">
        <v>33</v>
      </c>
      <c r="G40" s="37">
        <f>VLOOKUP($R$7,PSC!$A$2:$L$31,11,FALSE)</f>
        <v>9.99</v>
      </c>
      <c r="H40" s="65" t="s">
        <v>73</v>
      </c>
      <c r="I40" s="65">
        <v>7898969895422</v>
      </c>
      <c r="J40" s="65">
        <v>17898969895429</v>
      </c>
      <c r="K40" s="67">
        <f>VLOOKUP($R$7,'ST MULTI 170 POUCH'!A:B,2,FALSE)</f>
        <v>0.12</v>
      </c>
      <c r="L40" s="37">
        <f>VLOOKUP($R$7,PREÇOS!$A$2:$L$31,11,FALSE)</f>
        <v>6.7650000000000006</v>
      </c>
      <c r="M40" s="38">
        <f t="shared" si="12"/>
        <v>81.180000000000007</v>
      </c>
      <c r="N40" s="68">
        <f>IF($K$8="SIM",VLOOKUP($R$7,'ST MULTI 170 POUCH'!$A$1:$J$31,10,FALSE),VLOOKUP($R$7,'ST MULTI 170 POUCH'!$A$1:$J$31,9,FALSE))</f>
        <v>0.96969510000000025</v>
      </c>
      <c r="O40" s="68">
        <v>0</v>
      </c>
      <c r="P40" s="39">
        <f t="shared" si="9"/>
        <v>92.816341200000011</v>
      </c>
      <c r="Q40" s="34"/>
      <c r="R40" s="40">
        <f t="shared" ref="R40" si="16">Q40*M40</f>
        <v>0</v>
      </c>
      <c r="S40" s="39">
        <f t="shared" si="15"/>
        <v>0</v>
      </c>
    </row>
    <row r="41" spans="1:19" x14ac:dyDescent="0.3">
      <c r="B41" s="184" t="s">
        <v>77</v>
      </c>
      <c r="C41" s="183"/>
      <c r="D41" s="28">
        <v>5399</v>
      </c>
      <c r="E41" s="28" t="s">
        <v>78</v>
      </c>
      <c r="F41" s="27" t="s">
        <v>33</v>
      </c>
      <c r="G41" s="30">
        <f>VLOOKUP($R$7,PSC!$A$2:$L$31,12,FALSE)</f>
        <v>23.99</v>
      </c>
      <c r="H41" s="28" t="s">
        <v>73</v>
      </c>
      <c r="I41" s="28">
        <v>7898969895392</v>
      </c>
      <c r="J41" s="28">
        <v>17898969895399</v>
      </c>
      <c r="K41" s="29">
        <f>VLOOKUP($R$7,'ST MULTI 500 POUCH'!A:B,2,FALSE)</f>
        <v>0.12</v>
      </c>
      <c r="L41" s="30">
        <f>VLOOKUP($R$7,PREÇOS!$A$2:$L$31,12,FALSE)</f>
        <v>16.1892</v>
      </c>
      <c r="M41" s="31">
        <f t="shared" si="12"/>
        <v>194.2704</v>
      </c>
      <c r="N41" s="32">
        <f>IF($K$8="SIM",VLOOKUP($R$7,'ST MULTI 500 POUCH'!$A$1:$J$31,10,FALSE),VLOOKUP($R$7,'ST MULTI 500 POUCH'!$A$1:$J$31,9,FALSE))</f>
        <v>2.3205599279999998</v>
      </c>
      <c r="O41" s="32">
        <v>0</v>
      </c>
      <c r="P41" s="33">
        <f t="shared" si="9"/>
        <v>222.11711913600001</v>
      </c>
      <c r="Q41" s="34"/>
      <c r="R41" s="35">
        <f>Q41*M41</f>
        <v>0</v>
      </c>
      <c r="S41" s="33">
        <f t="shared" si="15"/>
        <v>0</v>
      </c>
    </row>
    <row r="42" spans="1:19" x14ac:dyDescent="0.3">
      <c r="B42" s="71"/>
      <c r="C42" s="72"/>
      <c r="D42" s="73"/>
      <c r="E42" s="74"/>
      <c r="F42" s="74"/>
      <c r="G42" s="45"/>
      <c r="H42" s="73"/>
      <c r="I42" s="73"/>
      <c r="J42" s="73"/>
      <c r="K42" s="75"/>
      <c r="L42" s="46"/>
      <c r="M42" s="47"/>
      <c r="N42" s="76"/>
      <c r="O42" s="76"/>
      <c r="P42" s="48"/>
      <c r="R42" s="48"/>
      <c r="S42" s="48"/>
    </row>
    <row r="43" spans="1:19" x14ac:dyDescent="0.3">
      <c r="B43" s="184" t="s">
        <v>79</v>
      </c>
      <c r="C43" s="183"/>
      <c r="D43" s="28">
        <v>5375</v>
      </c>
      <c r="E43" s="27" t="s">
        <v>80</v>
      </c>
      <c r="F43" s="27" t="s">
        <v>81</v>
      </c>
      <c r="G43" s="30">
        <f>VLOOKUP($R$7,PSC!$A$2:$L$31,8,FALSE)</f>
        <v>13.49</v>
      </c>
      <c r="H43" s="28" t="s">
        <v>61</v>
      </c>
      <c r="I43" s="28">
        <v>7898969895378</v>
      </c>
      <c r="J43" s="28">
        <v>17898969895375</v>
      </c>
      <c r="K43" s="29">
        <f>VLOOKUP($R$7,'ST BISCOTTI'!A:B,2,FALSE)</f>
        <v>0.12</v>
      </c>
      <c r="L43" s="30">
        <f>VLOOKUP($R$7,PREÇOS!$A$2:$L$31,8,FALSE)</f>
        <v>8.9880000000000013</v>
      </c>
      <c r="M43" s="31">
        <f>L43*12</f>
        <v>107.85600000000002</v>
      </c>
      <c r="N43" s="32">
        <f>IF($K$8="SIM",VLOOKUP($R$7,'ST BISCOTTI'!$A$1:$J$31,10,FALSE),VLOOKUP($R$7,'ST BISCOTTI'!$A$1:$J$31,9,FALSE))</f>
        <v>1.5224413679999997</v>
      </c>
      <c r="O43" s="32">
        <v>0</v>
      </c>
      <c r="P43" s="33">
        <f t="shared" si="9"/>
        <v>126.125296416</v>
      </c>
      <c r="Q43" s="34"/>
      <c r="R43" s="35">
        <f t="shared" ref="R43:R47" si="17">Q43*M43</f>
        <v>0</v>
      </c>
      <c r="S43" s="33">
        <f t="shared" ref="S43:S47" si="18">Q43*P43</f>
        <v>0</v>
      </c>
    </row>
    <row r="44" spans="1:19" x14ac:dyDescent="0.3">
      <c r="B44" s="182" t="s">
        <v>82</v>
      </c>
      <c r="C44" s="183"/>
      <c r="D44" s="65">
        <v>5351</v>
      </c>
      <c r="E44" s="66" t="s">
        <v>80</v>
      </c>
      <c r="F44" s="66" t="s">
        <v>81</v>
      </c>
      <c r="G44" s="37">
        <f>VLOOKUP($R$7,PSC!$A$2:$L$31,8,FALSE)</f>
        <v>13.49</v>
      </c>
      <c r="H44" s="65" t="s">
        <v>61</v>
      </c>
      <c r="I44" s="65">
        <v>7898969895354</v>
      </c>
      <c r="J44" s="65">
        <v>17898969895351</v>
      </c>
      <c r="K44" s="67">
        <f>VLOOKUP($R$7,'ST BISCOTTI'!A:B,2,FALSE)</f>
        <v>0.12</v>
      </c>
      <c r="L44" s="37">
        <f>VLOOKUP($R$7,PREÇOS!$A$2:$L$31,8,FALSE)</f>
        <v>8.9880000000000013</v>
      </c>
      <c r="M44" s="38">
        <f t="shared" ref="M44:M47" si="19">L44*12</f>
        <v>107.85600000000002</v>
      </c>
      <c r="N44" s="68">
        <f>IF($K$8="SIM",VLOOKUP($R$7,'ST BISCOTTI'!$A$1:$J$31,10,FALSE),VLOOKUP($R$7,'ST BISCOTTI'!$A$1:$J$31,9,FALSE))</f>
        <v>1.5224413679999997</v>
      </c>
      <c r="O44" s="68">
        <v>0</v>
      </c>
      <c r="P44" s="39">
        <f t="shared" si="9"/>
        <v>126.125296416</v>
      </c>
      <c r="Q44" s="34"/>
      <c r="R44" s="40">
        <f t="shared" si="17"/>
        <v>0</v>
      </c>
      <c r="S44" s="39">
        <f t="shared" si="18"/>
        <v>0</v>
      </c>
    </row>
    <row r="45" spans="1:19" x14ac:dyDescent="0.3">
      <c r="B45" s="184" t="s">
        <v>83</v>
      </c>
      <c r="C45" s="183"/>
      <c r="D45" s="28">
        <v>5368</v>
      </c>
      <c r="E45" s="27" t="s">
        <v>80</v>
      </c>
      <c r="F45" s="27" t="s">
        <v>81</v>
      </c>
      <c r="G45" s="30">
        <f>VLOOKUP($R$7,PSC!$A$2:$L$31,8,FALSE)</f>
        <v>13.49</v>
      </c>
      <c r="H45" s="28" t="s">
        <v>61</v>
      </c>
      <c r="I45" s="28">
        <v>7898969895361</v>
      </c>
      <c r="J45" s="28">
        <v>17898969895368</v>
      </c>
      <c r="K45" s="29">
        <f>VLOOKUP($R$7,'ST BISCOTTI'!A:B,2,FALSE)</f>
        <v>0.12</v>
      </c>
      <c r="L45" s="30">
        <f>VLOOKUP($R$7,PREÇOS!$A$2:$L$31,8,FALSE)</f>
        <v>8.9880000000000013</v>
      </c>
      <c r="M45" s="31">
        <f t="shared" si="19"/>
        <v>107.85600000000002</v>
      </c>
      <c r="N45" s="32">
        <f>IF($K$8="SIM",VLOOKUP($R$7,'ST BISCOTTI'!$A$1:$J$31,10,FALSE),VLOOKUP($R$7,'ST BISCOTTI'!$A$1:$J$31,9,FALSE))</f>
        <v>1.5224413679999997</v>
      </c>
      <c r="O45" s="32">
        <v>0</v>
      </c>
      <c r="P45" s="33">
        <f t="shared" si="9"/>
        <v>126.125296416</v>
      </c>
      <c r="Q45" s="34"/>
      <c r="R45" s="35">
        <f t="shared" si="17"/>
        <v>0</v>
      </c>
      <c r="S45" s="33">
        <f t="shared" si="18"/>
        <v>0</v>
      </c>
    </row>
    <row r="46" spans="1:19" x14ac:dyDescent="0.3">
      <c r="B46" s="182" t="s">
        <v>84</v>
      </c>
      <c r="C46" s="183"/>
      <c r="D46" s="65">
        <v>5597</v>
      </c>
      <c r="E46" s="66" t="s">
        <v>80</v>
      </c>
      <c r="F46" s="66" t="s">
        <v>81</v>
      </c>
      <c r="G46" s="37">
        <f>VLOOKUP($R$7,PSC!$A$2:$L$31,8,FALSE)</f>
        <v>13.49</v>
      </c>
      <c r="H46" s="65" t="s">
        <v>61</v>
      </c>
      <c r="I46" s="65">
        <v>7898969895590</v>
      </c>
      <c r="J46" s="65">
        <v>17898969895597</v>
      </c>
      <c r="K46" s="67">
        <f>VLOOKUP($R$7,'ST BISCOTTI'!A:B,2,FALSE)</f>
        <v>0.12</v>
      </c>
      <c r="L46" s="37">
        <f>VLOOKUP($R$7,PREÇOS!$A$2:$L$31,8,FALSE)</f>
        <v>8.9880000000000013</v>
      </c>
      <c r="M46" s="38">
        <f t="shared" si="19"/>
        <v>107.85600000000002</v>
      </c>
      <c r="N46" s="68">
        <f>IF($K$8="SIM",VLOOKUP($R$7,'ST BISCOTTI'!$A$1:$J$31,10,FALSE),VLOOKUP($R$7,'ST BISCOTTI'!$A$1:$J$31,9,FALSE))</f>
        <v>1.5224413679999997</v>
      </c>
      <c r="O46" s="68">
        <v>0</v>
      </c>
      <c r="P46" s="39">
        <f t="shared" si="9"/>
        <v>126.125296416</v>
      </c>
      <c r="Q46" s="34"/>
      <c r="R46" s="40">
        <f t="shared" si="17"/>
        <v>0</v>
      </c>
      <c r="S46" s="39">
        <f t="shared" si="18"/>
        <v>0</v>
      </c>
    </row>
    <row r="47" spans="1:19" x14ac:dyDescent="0.3">
      <c r="B47" s="184" t="s">
        <v>85</v>
      </c>
      <c r="C47" s="183"/>
      <c r="D47" s="119">
        <v>5580</v>
      </c>
      <c r="E47" s="27" t="s">
        <v>80</v>
      </c>
      <c r="F47" s="27" t="s">
        <v>81</v>
      </c>
      <c r="G47" s="30">
        <f>VLOOKUP($R$7,PSC!$A$2:$L$31,8,FALSE)</f>
        <v>13.49</v>
      </c>
      <c r="H47" s="28" t="s">
        <v>61</v>
      </c>
      <c r="I47" s="120">
        <v>7898969895583</v>
      </c>
      <c r="J47" s="120">
        <v>17898969895580</v>
      </c>
      <c r="K47" s="29">
        <f>VLOOKUP($R$7,'ST BISCOTTI'!A:B,2,FALSE)</f>
        <v>0.12</v>
      </c>
      <c r="L47" s="30">
        <f>VLOOKUP($R$7,PREÇOS!$A$2:$L$31,8,FALSE)</f>
        <v>8.9880000000000013</v>
      </c>
      <c r="M47" s="31">
        <f t="shared" si="19"/>
        <v>107.85600000000002</v>
      </c>
      <c r="N47" s="32">
        <f>IF($K$8="SIM",VLOOKUP($R$7,'ST BISCOTTI'!$A$1:$J$31,10,FALSE),VLOOKUP($R$7,'ST BISCOTTI'!$A$1:$J$31,9,FALSE))</f>
        <v>1.5224413679999997</v>
      </c>
      <c r="O47" s="32">
        <v>0</v>
      </c>
      <c r="P47" s="33">
        <f t="shared" si="9"/>
        <v>126.125296416</v>
      </c>
      <c r="Q47" s="34"/>
      <c r="R47" s="35">
        <f t="shared" si="17"/>
        <v>0</v>
      </c>
      <c r="S47" s="33">
        <f t="shared" si="18"/>
        <v>0</v>
      </c>
    </row>
    <row r="48" spans="1:19" x14ac:dyDescent="0.3">
      <c r="M48" s="77"/>
    </row>
    <row r="49" spans="1:19" x14ac:dyDescent="0.3">
      <c r="B49" s="184" t="s">
        <v>86</v>
      </c>
      <c r="C49" s="183"/>
      <c r="D49" s="28">
        <v>5610</v>
      </c>
      <c r="E49" s="27" t="s">
        <v>87</v>
      </c>
      <c r="F49" s="27" t="s">
        <v>33</v>
      </c>
      <c r="G49" s="30">
        <v>18.989999999999998</v>
      </c>
      <c r="H49" s="28" t="s">
        <v>34</v>
      </c>
      <c r="I49" s="28">
        <v>7898969895613</v>
      </c>
      <c r="J49" s="28">
        <v>17898969895610</v>
      </c>
      <c r="K49" s="29">
        <f>VLOOKUP($R$7,'ST BISCOTTI'!A:B,2,FALSE)</f>
        <v>0.12</v>
      </c>
      <c r="L49" s="30">
        <f>VLOOKUP($R$7,PREÇOS!$A$2:$N$31,14,FALSE)</f>
        <v>12.94</v>
      </c>
      <c r="M49" s="31">
        <f>L49*6</f>
        <v>77.64</v>
      </c>
      <c r="N49" s="32">
        <v>0</v>
      </c>
      <c r="O49" s="32">
        <v>0</v>
      </c>
      <c r="P49" s="33">
        <f>(L49+N49+O49)*6</f>
        <v>77.64</v>
      </c>
      <c r="Q49" s="34"/>
      <c r="R49" s="35">
        <f t="shared" ref="R49:R52" si="20">Q49*M49</f>
        <v>0</v>
      </c>
      <c r="S49" s="33">
        <f t="shared" ref="S49:S52" si="21">Q49*P49</f>
        <v>0</v>
      </c>
    </row>
    <row r="50" spans="1:19" x14ac:dyDescent="0.3">
      <c r="B50" s="182" t="s">
        <v>88</v>
      </c>
      <c r="C50" s="183"/>
      <c r="D50" s="65">
        <v>5634</v>
      </c>
      <c r="E50" s="66" t="s">
        <v>87</v>
      </c>
      <c r="F50" s="66" t="s">
        <v>33</v>
      </c>
      <c r="G50" s="37">
        <v>18.989999999999998</v>
      </c>
      <c r="H50" s="65" t="s">
        <v>34</v>
      </c>
      <c r="I50" s="65">
        <v>7898969895637</v>
      </c>
      <c r="J50" s="65">
        <v>17898969895634</v>
      </c>
      <c r="K50" s="67">
        <f>VLOOKUP($R$7,'ST BISCOTTI'!A:B,2,FALSE)</f>
        <v>0.12</v>
      </c>
      <c r="L50" s="37">
        <f>VLOOKUP($R$7,PREÇOS!$A$2:$N$31,14,FALSE)</f>
        <v>12.94</v>
      </c>
      <c r="M50" s="38">
        <f>L50*6</f>
        <v>77.64</v>
      </c>
      <c r="N50" s="68">
        <v>0</v>
      </c>
      <c r="O50" s="68">
        <v>0</v>
      </c>
      <c r="P50" s="39">
        <f t="shared" ref="P50:P52" si="22">(L50+N50+O50)*6</f>
        <v>77.64</v>
      </c>
      <c r="Q50" s="34"/>
      <c r="R50" s="40">
        <f t="shared" si="20"/>
        <v>0</v>
      </c>
      <c r="S50" s="39">
        <f t="shared" si="21"/>
        <v>0</v>
      </c>
    </row>
    <row r="51" spans="1:19" x14ac:dyDescent="0.3">
      <c r="B51" s="184" t="s">
        <v>89</v>
      </c>
      <c r="C51" s="183"/>
      <c r="D51" s="28">
        <v>5627</v>
      </c>
      <c r="E51" s="27" t="s">
        <v>87</v>
      </c>
      <c r="F51" s="27" t="s">
        <v>90</v>
      </c>
      <c r="G51" s="30">
        <v>18.989999999999998</v>
      </c>
      <c r="H51" s="28" t="s">
        <v>34</v>
      </c>
      <c r="I51" s="28">
        <v>7898969895620</v>
      </c>
      <c r="J51" s="28">
        <v>17898969895627</v>
      </c>
      <c r="K51" s="29">
        <f>VLOOKUP($R$7,'ST BISCOTTI'!A:B,2,FALSE)</f>
        <v>0.12</v>
      </c>
      <c r="L51" s="30">
        <f>VLOOKUP($R$7,PREÇOS!$A$2:$N$31,14,FALSE)</f>
        <v>12.94</v>
      </c>
      <c r="M51" s="31">
        <f>L51*6</f>
        <v>77.64</v>
      </c>
      <c r="N51" s="32">
        <v>0</v>
      </c>
      <c r="O51" s="32">
        <v>0</v>
      </c>
      <c r="P51" s="33">
        <f t="shared" si="22"/>
        <v>77.64</v>
      </c>
      <c r="Q51" s="34"/>
      <c r="R51" s="35">
        <f t="shared" si="20"/>
        <v>0</v>
      </c>
      <c r="S51" s="33">
        <f t="shared" si="21"/>
        <v>0</v>
      </c>
    </row>
    <row r="52" spans="1:19" x14ac:dyDescent="0.3">
      <c r="B52" s="182" t="s">
        <v>91</v>
      </c>
      <c r="C52" s="183"/>
      <c r="D52" s="65">
        <v>5603</v>
      </c>
      <c r="E52" s="66" t="s">
        <v>87</v>
      </c>
      <c r="F52" s="66" t="s">
        <v>90</v>
      </c>
      <c r="G52" s="37">
        <v>18.989999999999998</v>
      </c>
      <c r="H52" s="65" t="s">
        <v>34</v>
      </c>
      <c r="I52" s="65">
        <v>7898969895606</v>
      </c>
      <c r="J52" s="65">
        <v>17898969895603</v>
      </c>
      <c r="K52" s="67">
        <f>VLOOKUP($R$7,'ST BISCOTTI'!A:B,2,FALSE)</f>
        <v>0.12</v>
      </c>
      <c r="L52" s="37">
        <f>VLOOKUP($R$7,PREÇOS!$A$2:$N$31,14,FALSE)</f>
        <v>12.94</v>
      </c>
      <c r="M52" s="38">
        <f>L52*6</f>
        <v>77.64</v>
      </c>
      <c r="N52" s="68">
        <v>0</v>
      </c>
      <c r="O52" s="68">
        <v>0</v>
      </c>
      <c r="P52" s="39">
        <f t="shared" si="22"/>
        <v>77.64</v>
      </c>
      <c r="Q52" s="34"/>
      <c r="R52" s="40">
        <f t="shared" si="20"/>
        <v>0</v>
      </c>
      <c r="S52" s="39">
        <f t="shared" si="21"/>
        <v>0</v>
      </c>
    </row>
    <row r="53" spans="1:19" x14ac:dyDescent="0.3">
      <c r="B53" s="71"/>
      <c r="C53" s="72"/>
      <c r="D53" s="73"/>
      <c r="E53" s="74"/>
      <c r="F53" s="74"/>
      <c r="G53" s="46"/>
      <c r="H53" s="73"/>
      <c r="I53" s="73"/>
      <c r="J53" s="73"/>
      <c r="K53" s="75"/>
      <c r="L53" s="46"/>
      <c r="M53" s="47"/>
      <c r="N53" s="76"/>
      <c r="O53" s="76"/>
      <c r="P53" s="48"/>
      <c r="Q53" s="122"/>
      <c r="R53" s="48"/>
      <c r="S53" s="48"/>
    </row>
    <row r="54" spans="1:19" x14ac:dyDescent="0.3">
      <c r="B54" s="184" t="s">
        <v>183</v>
      </c>
      <c r="C54" s="183"/>
      <c r="D54" s="28">
        <v>5670</v>
      </c>
      <c r="E54" s="27" t="s">
        <v>158</v>
      </c>
      <c r="F54" s="27" t="s">
        <v>55</v>
      </c>
      <c r="G54" s="30">
        <f>VLOOKUP($R$7,PSC!$A$2:$Q$31,15,FALSE)</f>
        <v>8.99</v>
      </c>
      <c r="H54" s="28" t="s">
        <v>56</v>
      </c>
      <c r="I54" s="28">
        <v>7898969895811</v>
      </c>
      <c r="J54" s="28">
        <v>17898969895818</v>
      </c>
      <c r="K54" s="29">
        <f>VLOOKUP($R$7,'ST EXTRUSADOS'!A:B,2,FALSE)</f>
        <v>0.12</v>
      </c>
      <c r="L54" s="30">
        <f>VLOOKUP($R$7,PREÇOS!$A$2:$Q$31,15,FALSE)</f>
        <v>5.0999999999999996</v>
      </c>
      <c r="M54" s="31">
        <f>L54*18</f>
        <v>91.8</v>
      </c>
      <c r="N54" s="32">
        <f>IF($K$8="SIM",VLOOKUP($R$7,'ST EXTRUSADOS'!$A$1:$J$31,10,FALSE),VLOOKUP($R$7,'ST EXTRUSADOS'!$A$1:$J$31,9,FALSE))</f>
        <v>0</v>
      </c>
      <c r="O54" s="32">
        <v>0</v>
      </c>
      <c r="P54" s="33">
        <f>(L54+N54+O54)*18</f>
        <v>91.8</v>
      </c>
      <c r="Q54" s="34"/>
      <c r="R54" s="35">
        <f t="shared" ref="R54:R56" si="23">Q54*M54</f>
        <v>0</v>
      </c>
      <c r="S54" s="33">
        <f t="shared" ref="S54:S56" si="24">Q54*P54</f>
        <v>0</v>
      </c>
    </row>
    <row r="55" spans="1:19" x14ac:dyDescent="0.3">
      <c r="B55" s="182" t="s">
        <v>184</v>
      </c>
      <c r="C55" s="183"/>
      <c r="D55" s="65">
        <v>5671</v>
      </c>
      <c r="E55" s="66" t="s">
        <v>158</v>
      </c>
      <c r="F55" s="66" t="s">
        <v>55</v>
      </c>
      <c r="G55" s="37">
        <f>VLOOKUP($R$7,PSC!$A$2:$Q$31,15,FALSE)</f>
        <v>8.99</v>
      </c>
      <c r="H55" s="65" t="s">
        <v>56</v>
      </c>
      <c r="I55" s="65">
        <v>7898969895804</v>
      </c>
      <c r="J55" s="65">
        <v>17898969895801</v>
      </c>
      <c r="K55" s="67">
        <f>VLOOKUP($R$7,'ST EXTRUSADOS'!A:B,2,FALSE)</f>
        <v>0.12</v>
      </c>
      <c r="L55" s="37">
        <f>VLOOKUP($R$7,PREÇOS!$A$2:$Q$31,15,FALSE)</f>
        <v>5.0999999999999996</v>
      </c>
      <c r="M55" s="38">
        <f t="shared" ref="M55:M56" si="25">L55*18</f>
        <v>91.8</v>
      </c>
      <c r="N55" s="68">
        <f>IF($K$8="SIM",VLOOKUP($R$7,'ST EXTRUSADOS'!$A$1:$J$31,10,FALSE),VLOOKUP($R$7,'ST EXTRUSADOS'!$A$1:$J$31,9,FALSE))</f>
        <v>0</v>
      </c>
      <c r="O55" s="68">
        <v>0</v>
      </c>
      <c r="P55" s="39">
        <f t="shared" ref="P55:P56" si="26">(L55+N55+O55)*18</f>
        <v>91.8</v>
      </c>
      <c r="Q55" s="34"/>
      <c r="R55" s="40">
        <f t="shared" si="23"/>
        <v>0</v>
      </c>
      <c r="S55" s="39">
        <f t="shared" si="24"/>
        <v>0</v>
      </c>
    </row>
    <row r="56" spans="1:19" x14ac:dyDescent="0.3">
      <c r="B56" s="184" t="s">
        <v>185</v>
      </c>
      <c r="C56" s="183"/>
      <c r="D56" s="28">
        <v>5673</v>
      </c>
      <c r="E56" s="27" t="s">
        <v>158</v>
      </c>
      <c r="F56" s="27" t="s">
        <v>55</v>
      </c>
      <c r="G56" s="30">
        <f>VLOOKUP($R$7,PSC!$A$2:$Q$31,15,FALSE)</f>
        <v>8.99</v>
      </c>
      <c r="H56" s="28" t="s">
        <v>56</v>
      </c>
      <c r="I56" s="28">
        <v>7898969895798</v>
      </c>
      <c r="J56" s="28">
        <v>17898969895795</v>
      </c>
      <c r="K56" s="29">
        <f>VLOOKUP($R$7,'ST EXTRUSADOS'!A:B,2,FALSE)</f>
        <v>0.12</v>
      </c>
      <c r="L56" s="30">
        <f>VLOOKUP($R$7,PREÇOS!$A$2:$Q$31,15,FALSE)</f>
        <v>5.0999999999999996</v>
      </c>
      <c r="M56" s="31">
        <f t="shared" si="25"/>
        <v>91.8</v>
      </c>
      <c r="N56" s="32">
        <f>IF($K$8="SIM",VLOOKUP($R$7,'ST EXTRUSADOS'!$A$1:$J$31,10,FALSE),VLOOKUP($R$7,'ST EXTRUSADOS'!$A$1:$J$31,9,FALSE))</f>
        <v>0</v>
      </c>
      <c r="O56" s="32">
        <v>0</v>
      </c>
      <c r="P56" s="33">
        <f t="shared" si="26"/>
        <v>91.8</v>
      </c>
      <c r="Q56" s="34"/>
      <c r="R56" s="35">
        <f t="shared" si="23"/>
        <v>0</v>
      </c>
      <c r="S56" s="33">
        <f t="shared" si="24"/>
        <v>0</v>
      </c>
    </row>
    <row r="57" spans="1:19" x14ac:dyDescent="0.3">
      <c r="B57" s="71"/>
      <c r="C57" s="72"/>
      <c r="D57" s="73"/>
      <c r="E57" s="74"/>
      <c r="F57" s="74"/>
      <c r="G57" s="46"/>
      <c r="H57" s="73"/>
      <c r="I57" s="73"/>
      <c r="J57" s="73"/>
      <c r="K57" s="75"/>
      <c r="L57" s="46"/>
      <c r="M57" s="47"/>
      <c r="N57" s="76"/>
      <c r="O57" s="76"/>
      <c r="P57" s="48"/>
      <c r="Q57" s="42"/>
      <c r="R57" s="48"/>
      <c r="S57" s="48"/>
    </row>
    <row r="58" spans="1:19" x14ac:dyDescent="0.3">
      <c r="A58" s="42"/>
      <c r="B58" s="185" t="s">
        <v>186</v>
      </c>
      <c r="C58" s="183"/>
      <c r="D58" s="123">
        <v>5677</v>
      </c>
      <c r="E58" s="124" t="s">
        <v>159</v>
      </c>
      <c r="F58" s="124" t="s">
        <v>81</v>
      </c>
      <c r="G58" s="125">
        <f>VLOOKUP($R$7,PSC!$A$2:$Q$31,16,FALSE)</f>
        <v>7.6</v>
      </c>
      <c r="H58" s="123" t="s">
        <v>61</v>
      </c>
      <c r="I58" s="123">
        <v>7898969895828</v>
      </c>
      <c r="J58" s="123">
        <v>17898969895917</v>
      </c>
      <c r="K58" s="126">
        <f>VLOOKUP($R$7,'ST RECHEADOS'!A:B,2,FALSE)</f>
        <v>0.12</v>
      </c>
      <c r="L58" s="125">
        <f>VLOOKUP($R$7,PREÇOS!$A$2:$Q$31,16,FALSE)</f>
        <v>5</v>
      </c>
      <c r="M58" s="127">
        <f>L58*8</f>
        <v>40</v>
      </c>
      <c r="N58" s="115">
        <f>IF($K$8="SIM",VLOOKUP($R$7,'ST RECHEADOS'!$A$1:$J$31,10,FALSE),VLOOKUP($R$7,'ST RECHEADOS'!$A$1:$J$31,9,FALSE))</f>
        <v>0.84692999999999985</v>
      </c>
      <c r="O58" s="115">
        <v>0</v>
      </c>
      <c r="P58" s="128">
        <f>(L58+N58+O58)*8</f>
        <v>46.775439999999996</v>
      </c>
      <c r="Q58" s="34"/>
      <c r="R58" s="129">
        <f t="shared" ref="R58:R59" si="27">Q58*M58</f>
        <v>0</v>
      </c>
      <c r="S58" s="128">
        <f t="shared" ref="S58:S59" si="28">Q58*P58</f>
        <v>0</v>
      </c>
    </row>
    <row r="59" spans="1:19" x14ac:dyDescent="0.3">
      <c r="B59" s="184" t="s">
        <v>187</v>
      </c>
      <c r="C59" s="183"/>
      <c r="D59" s="28">
        <v>5678</v>
      </c>
      <c r="E59" s="27" t="s">
        <v>159</v>
      </c>
      <c r="F59" s="27" t="s">
        <v>81</v>
      </c>
      <c r="G59" s="30">
        <f>VLOOKUP($R$7,PSC!$A$2:$Q$31,16,FALSE)</f>
        <v>7.6</v>
      </c>
      <c r="H59" s="28" t="s">
        <v>61</v>
      </c>
      <c r="I59" s="28">
        <v>7898969895835</v>
      </c>
      <c r="J59" s="28">
        <v>17898969895900</v>
      </c>
      <c r="K59" s="29">
        <f>VLOOKUP($R$7,'ST RECHEADOS'!A:B,2,FALSE)</f>
        <v>0.12</v>
      </c>
      <c r="L59" s="30">
        <f>VLOOKUP($R$7,PREÇOS!$A$2:$Q$31,16,FALSE)</f>
        <v>5</v>
      </c>
      <c r="M59" s="31">
        <f>L59*8</f>
        <v>40</v>
      </c>
      <c r="N59" s="32">
        <f>IF($K$8="SIM",VLOOKUP($R$7,'ST RECHEADOS'!$A$1:$J$31,10,FALSE),VLOOKUP($R$7,'ST RECHEADOS'!$A$1:$J$31,9,FALSE))</f>
        <v>0.84692999999999985</v>
      </c>
      <c r="O59" s="32">
        <v>0</v>
      </c>
      <c r="P59" s="33">
        <f>(L59+N59+O59)*8</f>
        <v>46.775439999999996</v>
      </c>
      <c r="Q59" s="34"/>
      <c r="R59" s="35">
        <f t="shared" si="27"/>
        <v>0</v>
      </c>
      <c r="S59" s="33">
        <f t="shared" si="28"/>
        <v>0</v>
      </c>
    </row>
    <row r="60" spans="1:19" x14ac:dyDescent="0.3">
      <c r="B60" s="71"/>
      <c r="C60" s="72"/>
      <c r="D60" s="73"/>
      <c r="E60" s="74"/>
      <c r="F60" s="74"/>
      <c r="G60" s="46"/>
      <c r="H60" s="73"/>
      <c r="I60" s="73"/>
      <c r="J60" s="73"/>
      <c r="K60" s="75"/>
      <c r="L60" s="46"/>
      <c r="M60" s="47"/>
      <c r="N60" s="76"/>
      <c r="O60" s="76"/>
      <c r="P60" s="48"/>
      <c r="Q60" s="42"/>
      <c r="R60" s="48"/>
      <c r="S60" s="48"/>
    </row>
    <row r="61" spans="1:19" x14ac:dyDescent="0.3">
      <c r="B61" s="184" t="s">
        <v>188</v>
      </c>
      <c r="C61" s="183"/>
      <c r="D61" s="28">
        <v>5680</v>
      </c>
      <c r="E61" s="27" t="s">
        <v>160</v>
      </c>
      <c r="F61" s="27" t="s">
        <v>161</v>
      </c>
      <c r="G61" s="30">
        <f>VLOOKUP($R$7,PSC!$A$2:$Q$31,17,FALSE)</f>
        <v>5.19</v>
      </c>
      <c r="H61" s="28" t="s">
        <v>162</v>
      </c>
      <c r="I61" s="28">
        <v>7898969895880</v>
      </c>
      <c r="J61" s="28">
        <v>17898969895887</v>
      </c>
      <c r="K61" s="29">
        <f>VLOOKUP($R$7,'ST BISCOTTI'!A:B,2,FALSE)</f>
        <v>0.12</v>
      </c>
      <c r="L61" s="30">
        <f>VLOOKUP($R$7,PREÇOS!$A$2:$Q$31,17,FALSE)</f>
        <v>3.3</v>
      </c>
      <c r="M61" s="31">
        <f>L61*27</f>
        <v>89.1</v>
      </c>
      <c r="N61" s="32">
        <v>0</v>
      </c>
      <c r="O61" s="32">
        <v>0</v>
      </c>
      <c r="P61" s="33">
        <f>(L61+N61+O61)*27</f>
        <v>89.1</v>
      </c>
      <c r="Q61" s="34"/>
      <c r="R61" s="35">
        <f t="shared" ref="R61:R64" si="29">Q61*M61</f>
        <v>0</v>
      </c>
      <c r="S61" s="33">
        <f t="shared" ref="S61:S64" si="30">Q61*P61</f>
        <v>0</v>
      </c>
    </row>
    <row r="62" spans="1:19" x14ac:dyDescent="0.3">
      <c r="B62" s="182" t="s">
        <v>189</v>
      </c>
      <c r="C62" s="183"/>
      <c r="D62" s="65">
        <v>5681</v>
      </c>
      <c r="E62" s="66" t="s">
        <v>160</v>
      </c>
      <c r="F62" s="66" t="s">
        <v>161</v>
      </c>
      <c r="G62" s="37">
        <f>VLOOKUP($R$7,PSC!$A$2:$Q$31,17,FALSE)</f>
        <v>5.19</v>
      </c>
      <c r="H62" s="65" t="s">
        <v>162</v>
      </c>
      <c r="I62" s="65">
        <v>7898969895859</v>
      </c>
      <c r="J62" s="65">
        <v>17898969895856</v>
      </c>
      <c r="K62" s="67">
        <f>VLOOKUP($R$7,'ST BISCOTTI'!A:B,2,FALSE)</f>
        <v>0.12</v>
      </c>
      <c r="L62" s="37">
        <f>VLOOKUP($R$7,PREÇOS!$A$2:$Q$31,17,FALSE)</f>
        <v>3.3</v>
      </c>
      <c r="M62" s="38">
        <f t="shared" ref="M62:M66" si="31">L62*27</f>
        <v>89.1</v>
      </c>
      <c r="N62" s="68">
        <v>0</v>
      </c>
      <c r="O62" s="68">
        <v>0</v>
      </c>
      <c r="P62" s="39">
        <f t="shared" ref="P62:P64" si="32">(L62+N62+O62)*27</f>
        <v>89.1</v>
      </c>
      <c r="Q62" s="34"/>
      <c r="R62" s="40">
        <f t="shared" si="29"/>
        <v>0</v>
      </c>
      <c r="S62" s="39">
        <f t="shared" si="30"/>
        <v>0</v>
      </c>
    </row>
    <row r="63" spans="1:19" x14ac:dyDescent="0.3">
      <c r="B63" s="184" t="s">
        <v>190</v>
      </c>
      <c r="C63" s="183"/>
      <c r="D63" s="28">
        <v>5682</v>
      </c>
      <c r="E63" s="27" t="s">
        <v>160</v>
      </c>
      <c r="F63" s="27" t="s">
        <v>161</v>
      </c>
      <c r="G63" s="30">
        <f>VLOOKUP($R$7,PSC!$A$2:$Q$31,17,FALSE)</f>
        <v>5.19</v>
      </c>
      <c r="H63" s="28" t="s">
        <v>162</v>
      </c>
      <c r="I63" s="28">
        <v>7898969895866</v>
      </c>
      <c r="J63" s="28">
        <v>17898969895863</v>
      </c>
      <c r="K63" s="29">
        <f>VLOOKUP($R$7,'ST BISCOTTI'!A:B,2,FALSE)</f>
        <v>0.12</v>
      </c>
      <c r="L63" s="30">
        <f>VLOOKUP($R$7,PREÇOS!$A$2:$Q$31,17,FALSE)</f>
        <v>3.3</v>
      </c>
      <c r="M63" s="31">
        <f t="shared" si="31"/>
        <v>89.1</v>
      </c>
      <c r="N63" s="32">
        <v>0</v>
      </c>
      <c r="O63" s="32">
        <v>0</v>
      </c>
      <c r="P63" s="33">
        <f t="shared" si="32"/>
        <v>89.1</v>
      </c>
      <c r="Q63" s="34"/>
      <c r="R63" s="35">
        <f t="shared" si="29"/>
        <v>0</v>
      </c>
      <c r="S63" s="33">
        <f t="shared" si="30"/>
        <v>0</v>
      </c>
    </row>
    <row r="64" spans="1:19" x14ac:dyDescent="0.3">
      <c r="B64" s="182" t="s">
        <v>191</v>
      </c>
      <c r="C64" s="183"/>
      <c r="D64" s="65">
        <v>5683</v>
      </c>
      <c r="E64" s="66" t="s">
        <v>160</v>
      </c>
      <c r="F64" s="66" t="s">
        <v>161</v>
      </c>
      <c r="G64" s="37">
        <f>VLOOKUP($R$7,PSC!$A$2:$Q$31,17,FALSE)</f>
        <v>5.19</v>
      </c>
      <c r="H64" s="65" t="s">
        <v>162</v>
      </c>
      <c r="I64" s="65">
        <v>7898969895873</v>
      </c>
      <c r="J64" s="65">
        <v>17898969895870</v>
      </c>
      <c r="K64" s="67">
        <f>VLOOKUP($R$7,'ST BISCOTTI'!A:B,2,FALSE)</f>
        <v>0.12</v>
      </c>
      <c r="L64" s="37">
        <f>VLOOKUP($R$7,PREÇOS!$A$2:$Q$31,17,FALSE)</f>
        <v>3.3</v>
      </c>
      <c r="M64" s="38">
        <f t="shared" si="31"/>
        <v>89.1</v>
      </c>
      <c r="N64" s="68">
        <v>0</v>
      </c>
      <c r="O64" s="68">
        <v>0</v>
      </c>
      <c r="P64" s="39">
        <f t="shared" si="32"/>
        <v>89.1</v>
      </c>
      <c r="Q64" s="34"/>
      <c r="R64" s="40">
        <f t="shared" si="29"/>
        <v>0</v>
      </c>
      <c r="S64" s="39">
        <f t="shared" si="30"/>
        <v>0</v>
      </c>
    </row>
    <row r="65" spans="2:19" x14ac:dyDescent="0.3">
      <c r="B65" s="71"/>
      <c r="C65" s="72"/>
      <c r="D65" s="73"/>
      <c r="E65" s="74"/>
      <c r="F65" s="74"/>
      <c r="G65" s="46"/>
      <c r="H65" s="73"/>
      <c r="I65" s="73"/>
      <c r="J65" s="73"/>
      <c r="K65" s="75"/>
      <c r="L65" s="46"/>
      <c r="M65" s="47"/>
      <c r="N65" s="76"/>
      <c r="O65" s="76"/>
      <c r="P65" s="48"/>
      <c r="Q65" s="42"/>
      <c r="R65" s="48"/>
      <c r="S65" s="48"/>
    </row>
    <row r="66" spans="2:19" x14ac:dyDescent="0.3">
      <c r="B66" s="184" t="s">
        <v>192</v>
      </c>
      <c r="C66" s="183"/>
      <c r="D66" s="28">
        <v>5685</v>
      </c>
      <c r="E66" s="27" t="s">
        <v>160</v>
      </c>
      <c r="F66" s="27" t="s">
        <v>163</v>
      </c>
      <c r="G66" s="30">
        <f>VLOOKUP($R$7,PSC!$A$2:$T$31,18,FALSE)</f>
        <v>5.99</v>
      </c>
      <c r="H66" s="28" t="s">
        <v>162</v>
      </c>
      <c r="I66" s="28">
        <v>7898969895897</v>
      </c>
      <c r="J66" s="28">
        <v>17898969895894</v>
      </c>
      <c r="K66" s="29">
        <f>VLOOKUP($R$7,'ST BISCOTTI'!A:B,2,FALSE)</f>
        <v>0.12</v>
      </c>
      <c r="L66" s="30">
        <f>VLOOKUP($R$7,PREÇOS!$A$2:$T$31,18,FALSE)</f>
        <v>3.96</v>
      </c>
      <c r="M66" s="31">
        <f t="shared" si="31"/>
        <v>106.92</v>
      </c>
      <c r="N66" s="32">
        <v>0</v>
      </c>
      <c r="O66" s="32">
        <v>0</v>
      </c>
      <c r="P66" s="33">
        <f>(L66+N66+O66)*27</f>
        <v>106.92</v>
      </c>
      <c r="Q66" s="34"/>
      <c r="R66" s="35">
        <f t="shared" ref="R66" si="33">Q66*M66</f>
        <v>0</v>
      </c>
      <c r="S66" s="33">
        <f t="shared" ref="S66" si="34">Q66*P66</f>
        <v>0</v>
      </c>
    </row>
    <row r="67" spans="2:19" x14ac:dyDescent="0.3">
      <c r="B67" s="71"/>
      <c r="C67" s="72"/>
      <c r="D67" s="73"/>
      <c r="E67" s="74"/>
      <c r="F67" s="74"/>
      <c r="G67" s="46"/>
      <c r="H67" s="73"/>
      <c r="I67" s="73"/>
      <c r="J67" s="73"/>
      <c r="K67" s="75"/>
      <c r="L67" s="46"/>
      <c r="M67" s="47"/>
      <c r="N67" s="76"/>
      <c r="O67" s="76"/>
      <c r="P67" s="48"/>
      <c r="Q67" s="42"/>
      <c r="R67" s="48"/>
      <c r="S67" s="48"/>
    </row>
    <row r="68" spans="2:19" x14ac:dyDescent="0.3">
      <c r="B68" s="184" t="s">
        <v>167</v>
      </c>
      <c r="C68" s="193"/>
      <c r="D68" s="28">
        <v>5641</v>
      </c>
      <c r="E68" s="27" t="s">
        <v>164</v>
      </c>
      <c r="F68" s="27" t="s">
        <v>165</v>
      </c>
      <c r="G68" s="30">
        <f>VLOOKUP($R$7,PSC!$A$2:$V$31,19,FALSE)</f>
        <v>35</v>
      </c>
      <c r="H68" s="28" t="s">
        <v>166</v>
      </c>
      <c r="I68" s="28">
        <v>7898969895644</v>
      </c>
      <c r="J68" s="28">
        <v>17898969895641</v>
      </c>
      <c r="K68" s="29">
        <f>VLOOKUP($R$7,'ST BISCOITINHOS'!A:B,2,FALSE)</f>
        <v>0.04</v>
      </c>
      <c r="L68" s="30">
        <f>VLOOKUP($R$7,PREÇOS!$A$2:$V$31,19,FALSE)</f>
        <v>17</v>
      </c>
      <c r="M68" s="31">
        <f>L68</f>
        <v>17</v>
      </c>
      <c r="N68" s="32">
        <v>0</v>
      </c>
      <c r="O68" s="32">
        <f>L68*6.5%</f>
        <v>1.105</v>
      </c>
      <c r="P68" s="33">
        <f>(L68+N68+O68)</f>
        <v>18.105</v>
      </c>
      <c r="Q68" s="34"/>
      <c r="R68" s="35">
        <f t="shared" ref="R68:R79" si="35">Q68*M68</f>
        <v>0</v>
      </c>
      <c r="S68" s="33">
        <f t="shared" ref="S68:S79" si="36">Q68*P68</f>
        <v>0</v>
      </c>
    </row>
    <row r="69" spans="2:19" x14ac:dyDescent="0.3">
      <c r="B69" s="146" t="s">
        <v>168</v>
      </c>
      <c r="C69" s="147"/>
      <c r="D69" s="131">
        <v>5658</v>
      </c>
      <c r="E69" s="132" t="s">
        <v>164</v>
      </c>
      <c r="F69" s="132" t="s">
        <v>165</v>
      </c>
      <c r="G69" s="133">
        <f>VLOOKUP($R$7,PSC!$A$2:$V$31,19,FALSE)</f>
        <v>35</v>
      </c>
      <c r="H69" s="131" t="s">
        <v>166</v>
      </c>
      <c r="I69" s="131">
        <v>7898969895651</v>
      </c>
      <c r="J69" s="131">
        <v>17898969895658</v>
      </c>
      <c r="K69" s="134">
        <f>VLOOKUP($R$7,'ST BISCOITINHOS'!A:B,2,FALSE)</f>
        <v>0.04</v>
      </c>
      <c r="L69" s="133">
        <f>VLOOKUP($R$7,PREÇOS!$A$2:$V$31,19,FALSE)</f>
        <v>17</v>
      </c>
      <c r="M69" s="31">
        <f t="shared" ref="M69:M79" si="37">L69</f>
        <v>17</v>
      </c>
      <c r="N69" s="135">
        <v>0</v>
      </c>
      <c r="O69" s="135">
        <f t="shared" ref="O69:O79" si="38">L69*6.5%</f>
        <v>1.105</v>
      </c>
      <c r="P69" s="33">
        <f t="shared" ref="P69:P79" si="39">(L69+N69+O69)</f>
        <v>18.105</v>
      </c>
      <c r="Q69" s="34"/>
      <c r="R69" s="137">
        <f t="shared" si="35"/>
        <v>0</v>
      </c>
      <c r="S69" s="136">
        <f t="shared" si="36"/>
        <v>0</v>
      </c>
    </row>
    <row r="70" spans="2:19" x14ac:dyDescent="0.3">
      <c r="B70" s="130" t="s">
        <v>169</v>
      </c>
      <c r="C70" s="145"/>
      <c r="D70" s="28">
        <v>5665</v>
      </c>
      <c r="E70" s="27" t="s">
        <v>164</v>
      </c>
      <c r="F70" s="27" t="s">
        <v>165</v>
      </c>
      <c r="G70" s="30">
        <f>VLOOKUP($R$7,PSC!$A$2:$V$31,19,FALSE)</f>
        <v>35</v>
      </c>
      <c r="H70" s="28" t="s">
        <v>166</v>
      </c>
      <c r="I70" s="28">
        <v>7898969895668</v>
      </c>
      <c r="J70" s="28">
        <v>17898969895665</v>
      </c>
      <c r="K70" s="29">
        <f>VLOOKUP($R$7,'ST BISCOITINHOS'!A:B,2,FALSE)</f>
        <v>0.04</v>
      </c>
      <c r="L70" s="30">
        <f>VLOOKUP($R$7,PREÇOS!$A$2:$V$31,19,FALSE)</f>
        <v>17</v>
      </c>
      <c r="M70" s="31">
        <f t="shared" si="37"/>
        <v>17</v>
      </c>
      <c r="N70" s="32">
        <v>0</v>
      </c>
      <c r="O70" s="32">
        <f t="shared" si="38"/>
        <v>1.105</v>
      </c>
      <c r="P70" s="33">
        <f t="shared" si="39"/>
        <v>18.105</v>
      </c>
      <c r="Q70" s="34"/>
      <c r="R70" s="35">
        <f t="shared" si="35"/>
        <v>0</v>
      </c>
      <c r="S70" s="33">
        <f t="shared" si="36"/>
        <v>0</v>
      </c>
    </row>
    <row r="71" spans="2:19" x14ac:dyDescent="0.3">
      <c r="B71" s="146" t="s">
        <v>170</v>
      </c>
      <c r="C71" s="147"/>
      <c r="D71" s="123">
        <v>5733</v>
      </c>
      <c r="E71" s="124" t="s">
        <v>164</v>
      </c>
      <c r="F71" s="124" t="s">
        <v>165</v>
      </c>
      <c r="G71" s="125">
        <f>VLOOKUP($R$7,PSC!$A$2:$V$31,21,FALSE)</f>
        <v>26</v>
      </c>
      <c r="H71" s="123" t="s">
        <v>166</v>
      </c>
      <c r="I71" s="123">
        <v>7898969895736</v>
      </c>
      <c r="J71" s="123">
        <v>17898969895733</v>
      </c>
      <c r="K71" s="126">
        <f>VLOOKUP($R$7,'ST BISCOITINHOS'!A:B,2,FALSE)</f>
        <v>0.04</v>
      </c>
      <c r="L71" s="125">
        <f>VLOOKUP($R$7,PREÇOS!$A$2:$V$31,20,FALSE)</f>
        <v>15</v>
      </c>
      <c r="M71" s="31">
        <f t="shared" si="37"/>
        <v>15</v>
      </c>
      <c r="N71" s="115">
        <v>0</v>
      </c>
      <c r="O71" s="115">
        <f t="shared" si="38"/>
        <v>0.97500000000000009</v>
      </c>
      <c r="P71" s="33">
        <f t="shared" si="39"/>
        <v>15.975</v>
      </c>
      <c r="Q71" s="34"/>
      <c r="R71" s="129">
        <f t="shared" si="35"/>
        <v>0</v>
      </c>
      <c r="S71" s="128">
        <f t="shared" si="36"/>
        <v>0</v>
      </c>
    </row>
    <row r="72" spans="2:19" x14ac:dyDescent="0.3">
      <c r="B72" s="130" t="s">
        <v>171</v>
      </c>
      <c r="C72" s="145"/>
      <c r="D72" s="138">
        <v>5740</v>
      </c>
      <c r="E72" s="139" t="s">
        <v>164</v>
      </c>
      <c r="F72" s="139" t="s">
        <v>165</v>
      </c>
      <c r="G72" s="140">
        <f>VLOOKUP($R$7,PSC!$A$2:$V$31,21,FALSE)</f>
        <v>26</v>
      </c>
      <c r="H72" s="138" t="s">
        <v>166</v>
      </c>
      <c r="I72" s="138">
        <v>7898969895743</v>
      </c>
      <c r="J72" s="138">
        <v>17898969895740</v>
      </c>
      <c r="K72" s="141">
        <f>VLOOKUP($R$7,'ST BISCOITINHOS'!A:B,2,FALSE)</f>
        <v>0.04</v>
      </c>
      <c r="L72" s="140">
        <f>VLOOKUP($R$7,PREÇOS!$A$2:$V$31,20,FALSE)</f>
        <v>15</v>
      </c>
      <c r="M72" s="31">
        <f t="shared" si="37"/>
        <v>15</v>
      </c>
      <c r="N72" s="142">
        <v>0</v>
      </c>
      <c r="O72" s="142">
        <f t="shared" si="38"/>
        <v>0.97500000000000009</v>
      </c>
      <c r="P72" s="33">
        <f t="shared" si="39"/>
        <v>15.975</v>
      </c>
      <c r="Q72" s="34"/>
      <c r="R72" s="144">
        <f t="shared" si="35"/>
        <v>0</v>
      </c>
      <c r="S72" s="143">
        <f t="shared" si="36"/>
        <v>0</v>
      </c>
    </row>
    <row r="73" spans="2:19" x14ac:dyDescent="0.3">
      <c r="B73" s="146" t="s">
        <v>172</v>
      </c>
      <c r="C73" s="147"/>
      <c r="D73" s="123">
        <v>5757</v>
      </c>
      <c r="E73" s="124" t="s">
        <v>164</v>
      </c>
      <c r="F73" s="124" t="s">
        <v>165</v>
      </c>
      <c r="G73" s="125">
        <f>VLOOKUP($R$7,PSC!$A$2:$V$31,21,FALSE)</f>
        <v>26</v>
      </c>
      <c r="H73" s="123" t="s">
        <v>166</v>
      </c>
      <c r="I73" s="123">
        <v>7898969895750</v>
      </c>
      <c r="J73" s="123">
        <v>17898969895757</v>
      </c>
      <c r="K73" s="126">
        <f>VLOOKUP($R$7,'ST BISCOITINHOS'!A:B,2,FALSE)</f>
        <v>0.04</v>
      </c>
      <c r="L73" s="125">
        <f>VLOOKUP($R$7,PREÇOS!$A$2:$V$31,20,FALSE)</f>
        <v>15</v>
      </c>
      <c r="M73" s="31">
        <f t="shared" si="37"/>
        <v>15</v>
      </c>
      <c r="N73" s="115">
        <v>0</v>
      </c>
      <c r="O73" s="115">
        <f t="shared" si="38"/>
        <v>0.97500000000000009</v>
      </c>
      <c r="P73" s="33">
        <f t="shared" si="39"/>
        <v>15.975</v>
      </c>
      <c r="Q73" s="34"/>
      <c r="R73" s="129">
        <f t="shared" si="35"/>
        <v>0</v>
      </c>
      <c r="S73" s="128">
        <f t="shared" si="36"/>
        <v>0</v>
      </c>
    </row>
    <row r="74" spans="2:19" x14ac:dyDescent="0.3">
      <c r="B74" s="130" t="s">
        <v>173</v>
      </c>
      <c r="C74" s="145"/>
      <c r="D74" s="28">
        <v>5702</v>
      </c>
      <c r="E74" s="27" t="s">
        <v>164</v>
      </c>
      <c r="F74" s="27" t="s">
        <v>165</v>
      </c>
      <c r="G74" s="30">
        <f>VLOOKUP($R$7,PSC!$A$2:$V$31,20,FALSE)</f>
        <v>35</v>
      </c>
      <c r="H74" s="28" t="s">
        <v>166</v>
      </c>
      <c r="I74" s="28">
        <v>7898969895705</v>
      </c>
      <c r="J74" s="28">
        <v>17898969895702</v>
      </c>
      <c r="K74" s="29">
        <f>VLOOKUP($R$7,'ST BISCOITINHOS'!A:B,2,FALSE)</f>
        <v>0.04</v>
      </c>
      <c r="L74" s="30">
        <f>VLOOKUP($R$7,PREÇOS!$A$2:$V$31,21,FALSE)</f>
        <v>19</v>
      </c>
      <c r="M74" s="31">
        <f t="shared" si="37"/>
        <v>19</v>
      </c>
      <c r="N74" s="32">
        <v>0</v>
      </c>
      <c r="O74" s="32">
        <f t="shared" si="38"/>
        <v>1.2350000000000001</v>
      </c>
      <c r="P74" s="33">
        <f t="shared" si="39"/>
        <v>20.234999999999999</v>
      </c>
      <c r="Q74" s="34"/>
      <c r="R74" s="35">
        <f t="shared" si="35"/>
        <v>0</v>
      </c>
      <c r="S74" s="33">
        <f t="shared" si="36"/>
        <v>0</v>
      </c>
    </row>
    <row r="75" spans="2:19" x14ac:dyDescent="0.3">
      <c r="B75" s="146" t="s">
        <v>174</v>
      </c>
      <c r="C75" s="147"/>
      <c r="D75" s="131">
        <v>5719</v>
      </c>
      <c r="E75" s="132" t="s">
        <v>164</v>
      </c>
      <c r="F75" s="132" t="s">
        <v>165</v>
      </c>
      <c r="G75" s="133">
        <f>VLOOKUP($R$7,PSC!$A$2:$V$31,20,FALSE)</f>
        <v>35</v>
      </c>
      <c r="H75" s="131" t="s">
        <v>166</v>
      </c>
      <c r="I75" s="131">
        <v>7898969895712</v>
      </c>
      <c r="J75" s="131">
        <v>17898969895719</v>
      </c>
      <c r="K75" s="134">
        <f>VLOOKUP($R$7,'ST BISCOITINHOS'!A:B,2,FALSE)</f>
        <v>0.04</v>
      </c>
      <c r="L75" s="133">
        <f>VLOOKUP($R$7,PREÇOS!$A$2:$V$31,21,FALSE)</f>
        <v>19</v>
      </c>
      <c r="M75" s="31">
        <f t="shared" si="37"/>
        <v>19</v>
      </c>
      <c r="N75" s="135">
        <v>0</v>
      </c>
      <c r="O75" s="135">
        <f t="shared" si="38"/>
        <v>1.2350000000000001</v>
      </c>
      <c r="P75" s="33">
        <f t="shared" si="39"/>
        <v>20.234999999999999</v>
      </c>
      <c r="Q75" s="34"/>
      <c r="R75" s="137">
        <f t="shared" si="35"/>
        <v>0</v>
      </c>
      <c r="S75" s="136">
        <f t="shared" si="36"/>
        <v>0</v>
      </c>
    </row>
    <row r="76" spans="2:19" x14ac:dyDescent="0.3">
      <c r="B76" s="130" t="s">
        <v>175</v>
      </c>
      <c r="C76" s="145"/>
      <c r="D76" s="28">
        <v>5726</v>
      </c>
      <c r="E76" s="27" t="s">
        <v>164</v>
      </c>
      <c r="F76" s="27" t="s">
        <v>165</v>
      </c>
      <c r="G76" s="30">
        <f>VLOOKUP($R$7,PSC!$A$2:$V$31,20,FALSE)</f>
        <v>35</v>
      </c>
      <c r="H76" s="28" t="s">
        <v>166</v>
      </c>
      <c r="I76" s="28">
        <v>7898969895729</v>
      </c>
      <c r="J76" s="28">
        <v>17898969895726</v>
      </c>
      <c r="K76" s="29">
        <f>VLOOKUP($R$7,'ST BISCOITINHOS'!A:B,2,FALSE)</f>
        <v>0.04</v>
      </c>
      <c r="L76" s="30">
        <f>VLOOKUP($R$7,PREÇOS!$A$2:$V$31,21,FALSE)</f>
        <v>19</v>
      </c>
      <c r="M76" s="31">
        <f t="shared" si="37"/>
        <v>19</v>
      </c>
      <c r="N76" s="32">
        <v>0</v>
      </c>
      <c r="O76" s="32">
        <f t="shared" si="38"/>
        <v>1.2350000000000001</v>
      </c>
      <c r="P76" s="33">
        <f t="shared" si="39"/>
        <v>20.234999999999999</v>
      </c>
      <c r="Q76" s="34"/>
      <c r="R76" s="35">
        <f t="shared" si="35"/>
        <v>0</v>
      </c>
      <c r="S76" s="33">
        <f t="shared" si="36"/>
        <v>0</v>
      </c>
    </row>
    <row r="77" spans="2:19" x14ac:dyDescent="0.3">
      <c r="B77" s="146" t="s">
        <v>176</v>
      </c>
      <c r="C77" s="147"/>
      <c r="D77" s="123">
        <v>5675</v>
      </c>
      <c r="E77" s="124" t="s">
        <v>164</v>
      </c>
      <c r="F77" s="124" t="s">
        <v>165</v>
      </c>
      <c r="G77" s="125">
        <f>VLOOKUP($R$7,PSC!$A$2:$V$31,22,FALSE)</f>
        <v>47</v>
      </c>
      <c r="H77" s="123" t="s">
        <v>166</v>
      </c>
      <c r="I77" s="123">
        <v>7898969895675</v>
      </c>
      <c r="J77" s="123">
        <v>17898969895672</v>
      </c>
      <c r="K77" s="126">
        <f>VLOOKUP($R$7,'ST BISCOITINHOS'!A:B,2,FALSE)</f>
        <v>0.04</v>
      </c>
      <c r="L77" s="125">
        <f>VLOOKUP($R$7,PREÇOS!$A$2:$V$31,22,FALSE)</f>
        <v>28.29</v>
      </c>
      <c r="M77" s="31">
        <f t="shared" si="37"/>
        <v>28.29</v>
      </c>
      <c r="N77" s="115">
        <v>0</v>
      </c>
      <c r="O77" s="115">
        <f t="shared" si="38"/>
        <v>1.8388500000000001</v>
      </c>
      <c r="P77" s="33">
        <f t="shared" si="39"/>
        <v>30.12885</v>
      </c>
      <c r="Q77" s="34"/>
      <c r="R77" s="129">
        <f t="shared" si="35"/>
        <v>0</v>
      </c>
      <c r="S77" s="128">
        <f t="shared" si="36"/>
        <v>0</v>
      </c>
    </row>
    <row r="78" spans="2:19" x14ac:dyDescent="0.3">
      <c r="B78" s="130" t="s">
        <v>177</v>
      </c>
      <c r="C78" s="145"/>
      <c r="D78" s="138">
        <v>5689</v>
      </c>
      <c r="E78" s="139" t="s">
        <v>164</v>
      </c>
      <c r="F78" s="139" t="s">
        <v>165</v>
      </c>
      <c r="G78" s="140">
        <f>VLOOKUP($R$7,PSC!$A$2:$V$31,22,FALSE)</f>
        <v>47</v>
      </c>
      <c r="H78" s="138" t="s">
        <v>166</v>
      </c>
      <c r="I78" s="138">
        <v>7898969895682</v>
      </c>
      <c r="J78" s="138">
        <v>17898969895689</v>
      </c>
      <c r="K78" s="141">
        <f>VLOOKUP($R$7,'ST BISCOITINHOS'!A:B,2,FALSE)</f>
        <v>0.04</v>
      </c>
      <c r="L78" s="140">
        <f>VLOOKUP($R$7,PREÇOS!$A$2:$V$31,22,FALSE)</f>
        <v>28.29</v>
      </c>
      <c r="M78" s="31">
        <f t="shared" si="37"/>
        <v>28.29</v>
      </c>
      <c r="N78" s="142">
        <v>0</v>
      </c>
      <c r="O78" s="142">
        <f t="shared" si="38"/>
        <v>1.8388500000000001</v>
      </c>
      <c r="P78" s="33">
        <f t="shared" si="39"/>
        <v>30.12885</v>
      </c>
      <c r="Q78" s="34"/>
      <c r="R78" s="144">
        <f t="shared" si="35"/>
        <v>0</v>
      </c>
      <c r="S78" s="143">
        <f t="shared" si="36"/>
        <v>0</v>
      </c>
    </row>
    <row r="79" spans="2:19" x14ac:dyDescent="0.3">
      <c r="B79" s="146" t="s">
        <v>178</v>
      </c>
      <c r="C79" s="147"/>
      <c r="D79" s="123">
        <v>5696</v>
      </c>
      <c r="E79" s="124" t="s">
        <v>164</v>
      </c>
      <c r="F79" s="124" t="s">
        <v>165</v>
      </c>
      <c r="G79" s="125">
        <f>VLOOKUP($R$7,PSC!$A$2:$V$31,22,FALSE)</f>
        <v>47</v>
      </c>
      <c r="H79" s="123" t="s">
        <v>166</v>
      </c>
      <c r="I79" s="123">
        <v>7898969895699</v>
      </c>
      <c r="J79" s="123">
        <v>17898969895696</v>
      </c>
      <c r="K79" s="126">
        <f>VLOOKUP($R$7,'ST BISCOITINHOS'!A:B,2,FALSE)</f>
        <v>0.04</v>
      </c>
      <c r="L79" s="125">
        <f>VLOOKUP($R$7,PREÇOS!$A$2:$V$31,22,FALSE)</f>
        <v>28.29</v>
      </c>
      <c r="M79" s="31">
        <f t="shared" si="37"/>
        <v>28.29</v>
      </c>
      <c r="N79" s="115">
        <v>0</v>
      </c>
      <c r="O79" s="115">
        <f t="shared" si="38"/>
        <v>1.8388500000000001</v>
      </c>
      <c r="P79" s="33">
        <f t="shared" si="39"/>
        <v>30.12885</v>
      </c>
      <c r="Q79" s="34"/>
      <c r="R79" s="129">
        <f t="shared" si="35"/>
        <v>0</v>
      </c>
      <c r="S79" s="128">
        <f t="shared" si="36"/>
        <v>0</v>
      </c>
    </row>
    <row r="80" spans="2:19" x14ac:dyDescent="0.3">
      <c r="B80" s="71"/>
      <c r="N80" s="191" t="s">
        <v>180</v>
      </c>
      <c r="O80" s="191"/>
    </row>
    <row r="81" spans="2:19" ht="15" thickBot="1" x14ac:dyDescent="0.35">
      <c r="B81" s="71"/>
      <c r="N81" s="192"/>
      <c r="O81" s="192"/>
    </row>
    <row r="82" spans="2:19" ht="15" thickBot="1" x14ac:dyDescent="0.35">
      <c r="B82" s="71"/>
      <c r="P82" s="78" t="s">
        <v>92</v>
      </c>
      <c r="Q82" s="79"/>
      <c r="R82" s="80"/>
      <c r="S82" s="8">
        <f>SUM(R11:R79)</f>
        <v>0</v>
      </c>
    </row>
    <row r="83" spans="2:19" ht="15" thickBot="1" x14ac:dyDescent="0.35">
      <c r="B83" s="71"/>
      <c r="Q83" s="42"/>
      <c r="R83" s="81"/>
      <c r="S83" s="9"/>
    </row>
    <row r="84" spans="2:19" ht="15" thickBot="1" x14ac:dyDescent="0.35">
      <c r="B84" s="71"/>
      <c r="P84" s="78" t="s">
        <v>93</v>
      </c>
      <c r="Q84" s="79"/>
      <c r="R84" s="80"/>
      <c r="S84" s="8">
        <f t="shared" ref="S84" si="40">S86-S82</f>
        <v>0</v>
      </c>
    </row>
    <row r="85" spans="2:19" ht="15" thickBot="1" x14ac:dyDescent="0.35">
      <c r="B85" s="71"/>
      <c r="P85" s="49"/>
      <c r="Q85" s="42"/>
      <c r="R85" s="81"/>
      <c r="S85" s="9"/>
    </row>
    <row r="86" spans="2:19" ht="15" thickBot="1" x14ac:dyDescent="0.35">
      <c r="B86" s="71"/>
      <c r="P86" s="78" t="s">
        <v>94</v>
      </c>
      <c r="Q86" s="79"/>
      <c r="R86" s="80"/>
      <c r="S86" s="8">
        <f>SUM(S11:S79)</f>
        <v>0</v>
      </c>
    </row>
    <row r="87" spans="2:19" x14ac:dyDescent="0.3">
      <c r="B87" s="71"/>
      <c r="N87" s="42"/>
      <c r="O87" s="42"/>
      <c r="P87" s="42"/>
      <c r="Q87" s="42"/>
      <c r="R87" s="42"/>
    </row>
    <row r="88" spans="2:19" x14ac:dyDescent="0.3">
      <c r="B88" s="71"/>
      <c r="M88" s="77"/>
    </row>
  </sheetData>
  <sheetProtection algorithmName="SHA-512" hashValue="LANDiotlrok//jgrGcB2x/xYYMr8jr3VovhdCBN7VOsH/BoDA/evNN7C5UyXMW77c3Q0NXKXI5XpnnHILypfOQ==" saltValue="Ja1BBl9uyXzpNNzBxjbnhw==" spinCount="100000" sheet="1" objects="1" scenarios="1"/>
  <protectedRanges>
    <protectedRange sqref="Q17:Q21 Q11:Q12 Q23:Q37 Q14:Q15 Q54:Q56 Q68:Q79 Q58:Q59" name="Intervalo1_3"/>
    <protectedRange sqref="Q22" name="Intervalo1"/>
    <protectedRange sqref="Q38:Q42" name="Intervalo1_4"/>
    <protectedRange sqref="Q43:Q47 Q49:Q53 Q61:Q64 Q66" name="Intervalo1_3_1"/>
  </protectedRanges>
  <dataConsolidate/>
  <mergeCells count="46">
    <mergeCell ref="N80:O81"/>
    <mergeCell ref="B54:C54"/>
    <mergeCell ref="B26:C26"/>
    <mergeCell ref="B68:C68"/>
    <mergeCell ref="B38:C38"/>
    <mergeCell ref="B39:C39"/>
    <mergeCell ref="B40:C40"/>
    <mergeCell ref="B41:C41"/>
    <mergeCell ref="B45:C45"/>
    <mergeCell ref="B43:C43"/>
    <mergeCell ref="B44:C44"/>
    <mergeCell ref="B49:C49"/>
    <mergeCell ref="B50:C50"/>
    <mergeCell ref="B51:C51"/>
    <mergeCell ref="B52:C52"/>
    <mergeCell ref="B46:C46"/>
    <mergeCell ref="B35:C35"/>
    <mergeCell ref="B36:C36"/>
    <mergeCell ref="B47:C47"/>
    <mergeCell ref="B28:C28"/>
    <mergeCell ref="B29:C29"/>
    <mergeCell ref="B31:C31"/>
    <mergeCell ref="B32:C32"/>
    <mergeCell ref="B34:C34"/>
    <mergeCell ref="R7:S7"/>
    <mergeCell ref="B20:C20"/>
    <mergeCell ref="B21:C21"/>
    <mergeCell ref="B24:C24"/>
    <mergeCell ref="B25:C25"/>
    <mergeCell ref="B22:C22"/>
    <mergeCell ref="B11:C11"/>
    <mergeCell ref="B12:C12"/>
    <mergeCell ref="B14:C14"/>
    <mergeCell ref="B15:C15"/>
    <mergeCell ref="B17:C17"/>
    <mergeCell ref="B18:C18"/>
    <mergeCell ref="B19:C19"/>
    <mergeCell ref="B62:C62"/>
    <mergeCell ref="B63:C63"/>
    <mergeCell ref="B64:C64"/>
    <mergeCell ref="B66:C66"/>
    <mergeCell ref="B55:C55"/>
    <mergeCell ref="B56:C56"/>
    <mergeCell ref="B58:C58"/>
    <mergeCell ref="B59:C59"/>
    <mergeCell ref="B61:C61"/>
  </mergeCells>
  <phoneticPr fontId="19" type="noConversion"/>
  <pageMargins left="3.937007874015748E-2" right="3.937007874015748E-2" top="0.78740157480314965" bottom="0.78740157480314965" header="0.31496062992125984" footer="0.31496062992125984"/>
  <pageSetup paperSize="9" scale="54" orientation="landscape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C69838-3697-4711-9BBF-FD980C9E5586}">
          <x14:formula1>
            <xm:f>'ST BISCOITINHOS'!$A$2:$A$30</xm:f>
          </x14:formula1>
          <xm:sqref>R7:S7</xm:sqref>
        </x14:dataValidation>
        <x14:dataValidation type="list" allowBlank="1" showInputMessage="1" showErrorMessage="1" xr:uid="{48CA2F7A-B659-4398-834C-431953698006}">
          <x14:formula1>
            <xm:f>Planilha1!$C$2:$C$3</xm:f>
          </x14:formula1>
          <xm:sqref>K8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B843-0FDB-4C24-A043-C31246D35D92}">
  <sheetPr codeName="Planilha2"/>
  <dimension ref="C2:C3"/>
  <sheetViews>
    <sheetView workbookViewId="0">
      <selection activeCell="Q7" sqref="Q7:R7"/>
    </sheetView>
  </sheetViews>
  <sheetFormatPr defaultRowHeight="14.4" x14ac:dyDescent="0.3"/>
  <sheetData>
    <row r="2" spans="3:3" x14ac:dyDescent="0.3">
      <c r="C2" t="s">
        <v>95</v>
      </c>
    </row>
    <row r="3" spans="3:3" x14ac:dyDescent="0.3">
      <c r="C3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F41E-61EB-4EE0-A51B-1E2674E85904}">
  <sheetPr codeName="Planilha3"/>
  <dimension ref="A1:P30"/>
  <sheetViews>
    <sheetView showGridLines="0" topLeftCell="A12" zoomScale="81" zoomScaleNormal="81" workbookViewId="0">
      <selection activeCell="F36" sqref="F36"/>
    </sheetView>
  </sheetViews>
  <sheetFormatPr defaultRowHeight="14.4" x14ac:dyDescent="0.3"/>
  <cols>
    <col min="1" max="1" width="9" bestFit="1" customWidth="1"/>
    <col min="2" max="3" width="25.4414062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109375" bestFit="1" customWidth="1"/>
    <col min="9" max="9" width="12.5546875" bestFit="1" customWidth="1"/>
    <col min="10" max="10" width="13.5546875" style="4" bestFit="1" customWidth="1"/>
    <col min="12" max="12" width="9.5546875" bestFit="1" customWidth="1"/>
    <col min="14" max="14" width="10.5546875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06" t="s">
        <v>106</v>
      </c>
      <c r="B2" s="107">
        <v>0.04</v>
      </c>
      <c r="C2" s="107">
        <v>0.04</v>
      </c>
      <c r="D2" s="108"/>
      <c r="E2" s="108"/>
      <c r="F2" s="108"/>
      <c r="G2" s="108"/>
      <c r="H2" s="4">
        <f>PREÇOS!D3</f>
        <v>13.348800000000001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09" t="s">
        <v>107</v>
      </c>
      <c r="B3" s="110">
        <v>0.04</v>
      </c>
      <c r="C3" s="110">
        <v>0.2</v>
      </c>
      <c r="D3" s="87">
        <v>0.3</v>
      </c>
      <c r="E3" s="87"/>
      <c r="F3" s="87">
        <v>0.56000000000000005</v>
      </c>
      <c r="G3" s="87"/>
      <c r="H3" s="4">
        <f>PREÇOS!D4</f>
        <v>13.348800000000001</v>
      </c>
      <c r="I3" s="4">
        <f>IF(F3=0,,H3*(1+F3)*C3-(H3*B3))</f>
        <v>3.6308736000000001</v>
      </c>
      <c r="J3" s="4">
        <f t="shared" ref="J3:J26" si="0">IF(G3=0,IF(F3=0,,H3*(1+F3)*C3-(H3*B3)),H3*(1+G3)*C3-(H3*B3))</f>
        <v>3.6308736000000001</v>
      </c>
    </row>
    <row r="4" spans="1:10" x14ac:dyDescent="0.3">
      <c r="A4" s="106" t="s">
        <v>108</v>
      </c>
      <c r="B4" s="107">
        <v>0.04</v>
      </c>
      <c r="C4" s="107">
        <v>0.04</v>
      </c>
      <c r="D4" s="108"/>
      <c r="E4" s="108"/>
      <c r="F4" s="108"/>
      <c r="G4" s="108"/>
      <c r="H4" s="4">
        <f>PREÇOS!D5</f>
        <v>13.348800000000001</v>
      </c>
      <c r="I4" s="4">
        <f t="shared" ref="I4:I26" si="1">IF(F4=0,,H4*(1+F4)*C4-(H4*B4))</f>
        <v>0</v>
      </c>
      <c r="J4" s="4">
        <f t="shared" si="0"/>
        <v>0</v>
      </c>
    </row>
    <row r="5" spans="1:10" x14ac:dyDescent="0.3">
      <c r="A5" s="106" t="s">
        <v>109</v>
      </c>
      <c r="B5" s="107">
        <v>0.04</v>
      </c>
      <c r="C5" s="107">
        <v>0.18</v>
      </c>
      <c r="D5" s="108">
        <v>0.34</v>
      </c>
      <c r="E5" s="108"/>
      <c r="F5" s="108">
        <v>0.56879999999999997</v>
      </c>
      <c r="G5" s="108"/>
      <c r="H5" s="4">
        <f>PREÇOS!D6</f>
        <v>13.348800000000001</v>
      </c>
      <c r="I5" s="4">
        <f t="shared" si="1"/>
        <v>3.2355355392000007</v>
      </c>
      <c r="J5" s="4">
        <f t="shared" si="0"/>
        <v>3.2355355392000007</v>
      </c>
    </row>
    <row r="6" spans="1:10" x14ac:dyDescent="0.3">
      <c r="A6" s="106" t="s">
        <v>110</v>
      </c>
      <c r="B6" s="107">
        <v>0.04</v>
      </c>
      <c r="C6" s="107">
        <v>0.04</v>
      </c>
      <c r="D6" s="108"/>
      <c r="E6" s="108"/>
      <c r="F6" s="108"/>
      <c r="G6" s="108"/>
      <c r="H6" s="4">
        <f>PREÇOS!D7</f>
        <v>13.348800000000001</v>
      </c>
      <c r="I6" s="4">
        <f t="shared" si="1"/>
        <v>0</v>
      </c>
      <c r="J6" s="4">
        <f t="shared" si="0"/>
        <v>0</v>
      </c>
    </row>
    <row r="7" spans="1:10" x14ac:dyDescent="0.3">
      <c r="A7" s="106" t="s">
        <v>111</v>
      </c>
      <c r="B7" s="107">
        <v>0.04</v>
      </c>
      <c r="C7" s="107">
        <v>0.04</v>
      </c>
      <c r="D7" s="108"/>
      <c r="E7" s="108"/>
      <c r="F7" s="108"/>
      <c r="G7" s="108"/>
      <c r="H7" s="4">
        <f>PREÇOS!D8</f>
        <v>13.348800000000001</v>
      </c>
      <c r="I7" s="4">
        <f t="shared" si="1"/>
        <v>0</v>
      </c>
      <c r="J7" s="4">
        <f t="shared" si="0"/>
        <v>0</v>
      </c>
    </row>
    <row r="8" spans="1:10" x14ac:dyDescent="0.3">
      <c r="A8" s="106" t="s">
        <v>112</v>
      </c>
      <c r="B8" s="107">
        <v>0.04</v>
      </c>
      <c r="C8" s="107">
        <v>0.04</v>
      </c>
      <c r="D8" s="108"/>
      <c r="E8" s="108"/>
      <c r="F8" s="108"/>
      <c r="G8" s="108"/>
      <c r="H8" s="4">
        <f>PREÇOS!D9</f>
        <v>13.348800000000001</v>
      </c>
      <c r="I8" s="4">
        <f t="shared" si="1"/>
        <v>0</v>
      </c>
      <c r="J8" s="4">
        <f t="shared" si="0"/>
        <v>0</v>
      </c>
    </row>
    <row r="9" spans="1:10" x14ac:dyDescent="0.3">
      <c r="A9" s="106" t="s">
        <v>113</v>
      </c>
      <c r="B9" s="107">
        <v>0.04</v>
      </c>
      <c r="C9" s="107">
        <v>0.04</v>
      </c>
      <c r="D9" s="108"/>
      <c r="E9" s="108"/>
      <c r="F9" s="108"/>
      <c r="G9" s="108"/>
      <c r="H9" s="4">
        <f>PREÇOS!D10</f>
        <v>13.348800000000001</v>
      </c>
      <c r="I9" s="4">
        <f t="shared" si="1"/>
        <v>0</v>
      </c>
      <c r="J9" s="4">
        <f t="shared" si="0"/>
        <v>0</v>
      </c>
    </row>
    <row r="10" spans="1:10" x14ac:dyDescent="0.3">
      <c r="A10" s="106" t="s">
        <v>114</v>
      </c>
      <c r="B10" s="107">
        <v>0.04</v>
      </c>
      <c r="C10" s="107">
        <v>0.04</v>
      </c>
      <c r="D10" s="108"/>
      <c r="E10" s="108"/>
      <c r="F10" s="108"/>
      <c r="G10" s="108"/>
      <c r="H10" s="4">
        <f>PREÇOS!D11</f>
        <v>13.348800000000001</v>
      </c>
      <c r="I10" s="4">
        <f t="shared" si="1"/>
        <v>0</v>
      </c>
      <c r="J10" s="4">
        <f t="shared" si="0"/>
        <v>0</v>
      </c>
    </row>
    <row r="11" spans="1:10" x14ac:dyDescent="0.3">
      <c r="A11" s="106" t="s">
        <v>115</v>
      </c>
      <c r="B11" s="107">
        <v>0.04</v>
      </c>
      <c r="C11" s="107">
        <v>0.04</v>
      </c>
      <c r="D11" s="108"/>
      <c r="E11" s="108"/>
      <c r="F11" s="108"/>
      <c r="G11" s="108"/>
      <c r="H11" s="4">
        <f>PREÇOS!D12</f>
        <v>13.348800000000001</v>
      </c>
      <c r="I11" s="4">
        <f t="shared" si="1"/>
        <v>0</v>
      </c>
      <c r="J11" s="4">
        <f t="shared" si="0"/>
        <v>0</v>
      </c>
    </row>
    <row r="12" spans="1:10" x14ac:dyDescent="0.3">
      <c r="A12" s="109" t="s">
        <v>116</v>
      </c>
      <c r="B12" s="110">
        <v>0.04</v>
      </c>
      <c r="C12" s="110">
        <v>0.18</v>
      </c>
      <c r="D12" s="87">
        <v>0.25</v>
      </c>
      <c r="E12" s="87"/>
      <c r="F12" s="87">
        <v>0.36359999999999998</v>
      </c>
      <c r="G12" s="87"/>
      <c r="H12" s="4">
        <f>PREÇOS!D13</f>
        <v>13.348800000000001</v>
      </c>
      <c r="I12" s="4">
        <f>IF(F12=0,,H12*(1+F12)*C12-(H12*B12))</f>
        <v>2.7424842623999997</v>
      </c>
      <c r="J12" s="4">
        <f t="shared" si="0"/>
        <v>2.7424842623999997</v>
      </c>
    </row>
    <row r="13" spans="1:10" x14ac:dyDescent="0.3">
      <c r="A13" s="106" t="s">
        <v>117</v>
      </c>
      <c r="B13" s="107">
        <v>0.04</v>
      </c>
      <c r="C13" s="107">
        <v>0.04</v>
      </c>
      <c r="D13" s="108"/>
      <c r="E13" s="108"/>
      <c r="F13" s="108"/>
      <c r="G13" s="108"/>
      <c r="H13" s="4">
        <f>PREÇOS!D14</f>
        <v>13.348800000000001</v>
      </c>
      <c r="I13" s="4">
        <f t="shared" si="1"/>
        <v>0</v>
      </c>
      <c r="J13" s="4">
        <f t="shared" si="0"/>
        <v>0</v>
      </c>
    </row>
    <row r="14" spans="1:10" x14ac:dyDescent="0.3">
      <c r="A14" s="109" t="s">
        <v>118</v>
      </c>
      <c r="B14" s="110">
        <v>0.04</v>
      </c>
      <c r="C14" s="110">
        <v>0.04</v>
      </c>
      <c r="D14" s="87"/>
      <c r="E14" s="87"/>
      <c r="F14" s="87"/>
      <c r="G14" s="87"/>
      <c r="H14" s="4">
        <f>PREÇOS!D15</f>
        <v>13.348800000000001</v>
      </c>
      <c r="I14" s="4">
        <f t="shared" si="1"/>
        <v>0</v>
      </c>
      <c r="J14" s="4">
        <f t="shared" si="0"/>
        <v>0</v>
      </c>
    </row>
    <row r="15" spans="1:10" x14ac:dyDescent="0.3">
      <c r="A15" s="111" t="s">
        <v>119</v>
      </c>
      <c r="B15" s="112">
        <v>0.04</v>
      </c>
      <c r="C15" s="112">
        <v>0.04</v>
      </c>
      <c r="D15" s="113"/>
      <c r="E15" s="113"/>
      <c r="F15" s="113"/>
      <c r="G15" s="113"/>
      <c r="H15" s="4">
        <f>PREÇOS!D16</f>
        <v>13.348800000000001</v>
      </c>
      <c r="I15" s="4">
        <f t="shared" si="1"/>
        <v>0</v>
      </c>
      <c r="J15" s="4">
        <f t="shared" si="0"/>
        <v>0</v>
      </c>
    </row>
    <row r="16" spans="1:10" x14ac:dyDescent="0.3">
      <c r="A16" s="111" t="s">
        <v>120</v>
      </c>
      <c r="B16" s="112">
        <v>0.04</v>
      </c>
      <c r="C16" s="112">
        <v>0.04</v>
      </c>
      <c r="D16" s="113"/>
      <c r="E16" s="113"/>
      <c r="F16" s="113"/>
      <c r="G16" s="113"/>
      <c r="H16" s="4">
        <f>PREÇOS!D17</f>
        <v>13.348800000000001</v>
      </c>
      <c r="I16" s="4">
        <f t="shared" si="1"/>
        <v>0</v>
      </c>
      <c r="J16" s="4">
        <f t="shared" si="0"/>
        <v>0</v>
      </c>
    </row>
    <row r="17" spans="1:16" x14ac:dyDescent="0.3">
      <c r="A17" s="111" t="s">
        <v>121</v>
      </c>
      <c r="B17" s="112">
        <v>0.04</v>
      </c>
      <c r="C17" s="112">
        <v>0.04</v>
      </c>
      <c r="D17" s="113"/>
      <c r="E17" s="113"/>
      <c r="F17" s="113"/>
      <c r="G17" s="113"/>
      <c r="H17" s="4">
        <f>PREÇOS!D18</f>
        <v>13.348800000000001</v>
      </c>
      <c r="I17" s="4">
        <f t="shared" si="1"/>
        <v>0</v>
      </c>
      <c r="J17" s="4">
        <f t="shared" si="0"/>
        <v>0</v>
      </c>
    </row>
    <row r="18" spans="1:16" x14ac:dyDescent="0.3">
      <c r="A18" s="111" t="s">
        <v>122</v>
      </c>
      <c r="B18" s="112">
        <v>0.04</v>
      </c>
      <c r="C18" s="112">
        <v>0.04</v>
      </c>
      <c r="D18" s="113"/>
      <c r="E18" s="113"/>
      <c r="F18" s="113"/>
      <c r="G18" s="113"/>
      <c r="H18" s="4">
        <f>PREÇOS!D19</f>
        <v>13.348800000000001</v>
      </c>
      <c r="I18" s="4">
        <f t="shared" si="1"/>
        <v>0</v>
      </c>
      <c r="J18" s="4">
        <f t="shared" si="0"/>
        <v>0</v>
      </c>
    </row>
    <row r="19" spans="1:16" x14ac:dyDescent="0.3">
      <c r="A19" s="111" t="s">
        <v>123</v>
      </c>
      <c r="B19" s="112">
        <v>0.12</v>
      </c>
      <c r="C19" s="112">
        <v>0.12</v>
      </c>
      <c r="D19" s="113"/>
      <c r="E19" s="113"/>
      <c r="F19" s="113"/>
      <c r="G19" s="113"/>
      <c r="H19" s="4">
        <f>PREÇOS!D20</f>
        <v>14.562327272727272</v>
      </c>
      <c r="I19" s="4">
        <f t="shared" si="1"/>
        <v>0</v>
      </c>
      <c r="J19" s="4">
        <f t="shared" si="0"/>
        <v>0</v>
      </c>
    </row>
    <row r="20" spans="1:16" x14ac:dyDescent="0.3">
      <c r="A20" s="109" t="s">
        <v>124</v>
      </c>
      <c r="B20" s="110">
        <v>0.04</v>
      </c>
      <c r="C20" s="110">
        <v>0.22</v>
      </c>
      <c r="D20" s="87">
        <v>0.35199999999999998</v>
      </c>
      <c r="E20" s="87"/>
      <c r="F20" s="87">
        <v>0.66400000000000003</v>
      </c>
      <c r="G20" s="87"/>
      <c r="H20" s="4">
        <f>PREÇOS!D21</f>
        <v>13.348800000000001</v>
      </c>
      <c r="I20" s="4">
        <f>IF(F20=0,,H20*(1+F20)*C20-(H20*B20))</f>
        <v>4.3527767040000009</v>
      </c>
      <c r="J20" s="4">
        <f t="shared" si="0"/>
        <v>4.3527767040000009</v>
      </c>
    </row>
    <row r="21" spans="1:16" x14ac:dyDescent="0.3">
      <c r="A21" s="106" t="s">
        <v>125</v>
      </c>
      <c r="B21" s="107">
        <v>0.04</v>
      </c>
      <c r="C21" s="107">
        <v>0.04</v>
      </c>
      <c r="D21" s="108"/>
      <c r="E21" s="108"/>
      <c r="F21" s="108"/>
      <c r="G21" s="108"/>
      <c r="H21" s="4">
        <f>PREÇOS!D22</f>
        <v>13.348800000000001</v>
      </c>
      <c r="I21" s="4">
        <f t="shared" si="1"/>
        <v>0</v>
      </c>
      <c r="J21" s="4">
        <f t="shared" si="0"/>
        <v>0</v>
      </c>
    </row>
    <row r="22" spans="1:16" x14ac:dyDescent="0.3">
      <c r="A22" s="106" t="s">
        <v>126</v>
      </c>
      <c r="B22" s="107">
        <v>0.04</v>
      </c>
      <c r="C22" s="107">
        <v>0.04</v>
      </c>
      <c r="D22" s="108"/>
      <c r="E22" s="108"/>
      <c r="F22" s="108"/>
      <c r="G22" s="108"/>
      <c r="H22" s="4">
        <f>PREÇOS!D23</f>
        <v>13.348800000000001</v>
      </c>
      <c r="I22" s="4">
        <f t="shared" si="1"/>
        <v>0</v>
      </c>
      <c r="J22" s="4">
        <f t="shared" si="0"/>
        <v>0</v>
      </c>
    </row>
    <row r="23" spans="1:16" x14ac:dyDescent="0.3">
      <c r="A23" s="106" t="s">
        <v>127</v>
      </c>
      <c r="B23" s="107">
        <v>0.04</v>
      </c>
      <c r="C23" s="107">
        <v>0.04</v>
      </c>
      <c r="D23" s="108"/>
      <c r="E23" s="108"/>
      <c r="F23" s="108"/>
      <c r="G23" s="108"/>
      <c r="H23" s="4">
        <f>PREÇOS!D24</f>
        <v>13.348800000000001</v>
      </c>
      <c r="I23" s="4">
        <f t="shared" si="1"/>
        <v>0</v>
      </c>
      <c r="J23" s="4">
        <f t="shared" si="0"/>
        <v>0</v>
      </c>
    </row>
    <row r="24" spans="1:16" x14ac:dyDescent="0.3">
      <c r="A24" s="106" t="s">
        <v>10</v>
      </c>
      <c r="B24" s="107">
        <v>0.04</v>
      </c>
      <c r="C24" s="107">
        <v>0.04</v>
      </c>
      <c r="D24" s="108"/>
      <c r="E24" s="108"/>
      <c r="F24" s="108"/>
      <c r="G24" s="108"/>
      <c r="H24" s="4">
        <f>PREÇOS!D25</f>
        <v>13.348800000000001</v>
      </c>
      <c r="I24" s="4">
        <f t="shared" si="1"/>
        <v>0</v>
      </c>
      <c r="J24" s="4">
        <f t="shared" si="0"/>
        <v>0</v>
      </c>
    </row>
    <row r="25" spans="1:16" x14ac:dyDescent="0.3">
      <c r="A25" s="106" t="s">
        <v>128</v>
      </c>
      <c r="B25" s="107">
        <v>0.04</v>
      </c>
      <c r="C25" s="107">
        <v>0.04</v>
      </c>
      <c r="D25" s="108"/>
      <c r="E25" s="108"/>
      <c r="F25" s="108"/>
      <c r="G25" s="108"/>
      <c r="H25" s="4">
        <f>PREÇOS!D26</f>
        <v>13.348800000000001</v>
      </c>
      <c r="I25" s="4">
        <f t="shared" si="1"/>
        <v>0</v>
      </c>
      <c r="J25" s="4">
        <f t="shared" si="0"/>
        <v>0</v>
      </c>
    </row>
    <row r="26" spans="1:16" x14ac:dyDescent="0.3">
      <c r="A26" s="106" t="s">
        <v>129</v>
      </c>
      <c r="B26" s="107">
        <v>0.04</v>
      </c>
      <c r="C26" s="107">
        <v>0.04</v>
      </c>
      <c r="D26" s="108"/>
      <c r="E26" s="108"/>
      <c r="F26" s="108"/>
      <c r="G26" s="108"/>
      <c r="H26" s="4">
        <f>PREÇOS!D27</f>
        <v>13.348800000000001</v>
      </c>
      <c r="I26" s="4">
        <f t="shared" si="1"/>
        <v>0</v>
      </c>
      <c r="J26" s="4">
        <f t="shared" si="0"/>
        <v>0</v>
      </c>
    </row>
    <row r="27" spans="1:16" x14ac:dyDescent="0.3">
      <c r="A27" s="109" t="s">
        <v>130</v>
      </c>
      <c r="B27" s="110">
        <v>0.04</v>
      </c>
      <c r="C27" s="110">
        <v>0.18</v>
      </c>
      <c r="D27" s="87">
        <v>0.75390000000000001</v>
      </c>
      <c r="E27" s="87"/>
      <c r="F27" s="87">
        <v>0.75390000000000001</v>
      </c>
      <c r="G27" s="87"/>
      <c r="H27" s="4">
        <f>PREÇOS!D28</f>
        <v>13.348800000000001</v>
      </c>
      <c r="I27" s="4">
        <f t="shared" ref="I27:I30" si="2">IF(F27=0,,H27*(1+F27)*C27-(H27*B27))</f>
        <v>3.6802908576000002</v>
      </c>
      <c r="J27" s="4">
        <f t="shared" ref="J27:J30" si="3">IF(G27=0,IF(F27=0,,H27*(1+F27)*C27-(H27*B27)),H27*(1+G27)*C27-(H27*B27))</f>
        <v>3.6802908576000002</v>
      </c>
      <c r="K27">
        <f>J27/H27</f>
        <v>0.275702</v>
      </c>
      <c r="L27" s="6"/>
      <c r="N27" s="6"/>
      <c r="P27" s="6"/>
    </row>
    <row r="28" spans="1:16" x14ac:dyDescent="0.3">
      <c r="A28" s="109" t="s">
        <v>131</v>
      </c>
      <c r="B28" s="110">
        <f>B27</f>
        <v>0.04</v>
      </c>
      <c r="C28" s="110">
        <f t="shared" ref="C28:G28" si="4">C27</f>
        <v>0.18</v>
      </c>
      <c r="D28" s="87">
        <f t="shared" si="4"/>
        <v>0.75390000000000001</v>
      </c>
      <c r="E28" s="110">
        <f t="shared" si="4"/>
        <v>0</v>
      </c>
      <c r="F28" s="87">
        <f t="shared" si="4"/>
        <v>0.75390000000000001</v>
      </c>
      <c r="G28" s="110">
        <f t="shared" si="4"/>
        <v>0</v>
      </c>
      <c r="H28" s="103">
        <f>PREÇOS!D29</f>
        <v>13.348800000000001</v>
      </c>
      <c r="I28" s="103">
        <f t="shared" si="2"/>
        <v>3.6802908576000002</v>
      </c>
      <c r="J28" s="103">
        <f t="shared" si="3"/>
        <v>3.6802908576000002</v>
      </c>
      <c r="L28" s="6"/>
      <c r="N28" s="6"/>
      <c r="P28" s="6"/>
    </row>
    <row r="29" spans="1:16" x14ac:dyDescent="0.3">
      <c r="A29" s="106" t="s">
        <v>132</v>
      </c>
      <c r="B29" s="107">
        <v>0.04</v>
      </c>
      <c r="C29" s="107">
        <v>0.04</v>
      </c>
      <c r="D29" s="108"/>
      <c r="E29" s="108"/>
      <c r="F29" s="108"/>
      <c r="G29" s="108"/>
      <c r="H29" s="4">
        <f>PREÇOS!D30</f>
        <v>13.348800000000001</v>
      </c>
      <c r="I29" s="4">
        <f t="shared" si="2"/>
        <v>0</v>
      </c>
      <c r="J29" s="4">
        <f t="shared" si="3"/>
        <v>0</v>
      </c>
    </row>
    <row r="30" spans="1:16" x14ac:dyDescent="0.3">
      <c r="A30" s="3" t="s">
        <v>133</v>
      </c>
      <c r="H30" s="4">
        <f>PREÇOS!D31</f>
        <v>11.580083999999999</v>
      </c>
      <c r="I30" s="4">
        <f t="shared" si="2"/>
        <v>0</v>
      </c>
      <c r="J30" s="4">
        <f t="shared" si="3"/>
        <v>0</v>
      </c>
      <c r="L30" s="6"/>
      <c r="P30" s="6"/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C421-ACA8-43F6-A3D3-68C43F3FC9DB}">
  <sheetPr codeName="Planilha4"/>
  <dimension ref="A1:J30"/>
  <sheetViews>
    <sheetView showGridLines="0" zoomScale="82" zoomScaleNormal="82"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06" t="s">
        <v>106</v>
      </c>
      <c r="B2" s="114">
        <v>7.0000000000000007E-2</v>
      </c>
      <c r="C2" s="114">
        <v>7.0000000000000007E-2</v>
      </c>
      <c r="D2" s="108"/>
      <c r="E2" s="108"/>
      <c r="F2" s="108"/>
      <c r="G2" s="108"/>
      <c r="H2" s="7">
        <f>PREÇOS!E3</f>
        <v>8.1556129032258067</v>
      </c>
      <c r="I2" s="4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3">
      <c r="A3" s="106" t="s">
        <v>107</v>
      </c>
      <c r="B3" s="114">
        <v>7.0000000000000007E-2</v>
      </c>
      <c r="C3" s="114">
        <v>0.19</v>
      </c>
      <c r="D3" s="108">
        <v>0.2</v>
      </c>
      <c r="E3" s="108"/>
      <c r="F3" s="108">
        <v>0.36099999999999999</v>
      </c>
      <c r="G3" s="108"/>
      <c r="H3" s="7">
        <f>PREÇOS!E4</f>
        <v>8.1556129032258067</v>
      </c>
      <c r="I3" s="4">
        <f t="shared" si="0"/>
        <v>1.5380670374193548</v>
      </c>
      <c r="J3" s="4">
        <f t="shared" si="1"/>
        <v>1.5380670374193548</v>
      </c>
    </row>
    <row r="4" spans="1:10" x14ac:dyDescent="0.3">
      <c r="A4" s="106" t="s">
        <v>108</v>
      </c>
      <c r="B4" s="114">
        <v>7.0000000000000007E-2</v>
      </c>
      <c r="C4" s="114">
        <v>7.0000000000000007E-2</v>
      </c>
      <c r="D4" s="108"/>
      <c r="E4" s="108"/>
      <c r="F4" s="108"/>
      <c r="G4" s="108"/>
      <c r="H4" s="7">
        <f>PREÇOS!E5</f>
        <v>8.1556129032258067</v>
      </c>
      <c r="I4" s="4">
        <f t="shared" si="0"/>
        <v>0</v>
      </c>
      <c r="J4" s="4">
        <f t="shared" si="1"/>
        <v>0</v>
      </c>
    </row>
    <row r="5" spans="1:10" x14ac:dyDescent="0.3">
      <c r="A5" s="106" t="s">
        <v>109</v>
      </c>
      <c r="B5" s="114">
        <v>7.0000000000000007E-2</v>
      </c>
      <c r="C5" s="114">
        <v>0.18</v>
      </c>
      <c r="D5" s="108">
        <v>0.38</v>
      </c>
      <c r="E5" s="108"/>
      <c r="F5" s="108">
        <v>0.56510000000000005</v>
      </c>
      <c r="G5" s="108"/>
      <c r="H5" s="7">
        <f>PREÇOS!E6</f>
        <v>8.1556129032258067</v>
      </c>
      <c r="I5" s="4">
        <f t="shared" si="0"/>
        <v>1.7266900526451614</v>
      </c>
      <c r="J5" s="4">
        <f t="shared" si="1"/>
        <v>1.7266900526451614</v>
      </c>
    </row>
    <row r="6" spans="1:10" x14ac:dyDescent="0.3">
      <c r="A6" s="106" t="s">
        <v>110</v>
      </c>
      <c r="B6" s="114">
        <v>7.0000000000000007E-2</v>
      </c>
      <c r="C6" s="114">
        <v>7.0000000000000007E-2</v>
      </c>
      <c r="D6" s="108"/>
      <c r="E6" s="108"/>
      <c r="F6" s="108"/>
      <c r="G6" s="108"/>
      <c r="H6" s="7">
        <f>PREÇOS!E7</f>
        <v>8.1556129032258067</v>
      </c>
      <c r="I6" s="4">
        <f t="shared" si="0"/>
        <v>0</v>
      </c>
      <c r="J6" s="4">
        <f t="shared" si="1"/>
        <v>0</v>
      </c>
    </row>
    <row r="7" spans="1:10" x14ac:dyDescent="0.3">
      <c r="A7" s="106" t="s">
        <v>111</v>
      </c>
      <c r="B7" s="114">
        <v>7.0000000000000007E-2</v>
      </c>
      <c r="C7" s="114">
        <v>7.0000000000000007E-2</v>
      </c>
      <c r="D7" s="108"/>
      <c r="E7" s="108"/>
      <c r="F7" s="108"/>
      <c r="G7" s="108"/>
      <c r="H7" s="7">
        <f>PREÇOS!E8</f>
        <v>8.1556129032258067</v>
      </c>
      <c r="I7" s="4">
        <f t="shared" si="0"/>
        <v>0</v>
      </c>
      <c r="J7" s="4">
        <f t="shared" si="1"/>
        <v>0</v>
      </c>
    </row>
    <row r="8" spans="1:10" x14ac:dyDescent="0.3">
      <c r="A8" s="106" t="s">
        <v>112</v>
      </c>
      <c r="B8" s="114">
        <v>7.0000000000000007E-2</v>
      </c>
      <c r="C8" s="114">
        <v>7.0000000000000007E-2</v>
      </c>
      <c r="D8" s="108"/>
      <c r="E8" s="108"/>
      <c r="F8" s="108"/>
      <c r="G8" s="108"/>
      <c r="H8" s="7">
        <f>PREÇOS!E9</f>
        <v>8.1556129032258067</v>
      </c>
      <c r="I8" s="4">
        <f t="shared" si="0"/>
        <v>0</v>
      </c>
      <c r="J8" s="4">
        <f t="shared" si="1"/>
        <v>0</v>
      </c>
    </row>
    <row r="9" spans="1:10" x14ac:dyDescent="0.3">
      <c r="A9" s="106" t="s">
        <v>113</v>
      </c>
      <c r="B9" s="114">
        <v>7.0000000000000007E-2</v>
      </c>
      <c r="C9" s="107">
        <v>7.0000000000000007E-2</v>
      </c>
      <c r="D9" s="108"/>
      <c r="E9" s="108"/>
      <c r="F9" s="108"/>
      <c r="G9" s="108"/>
      <c r="H9" s="7">
        <f>PREÇOS!E10</f>
        <v>8.1556129032258067</v>
      </c>
      <c r="I9" s="4">
        <f t="shared" si="0"/>
        <v>0</v>
      </c>
      <c r="J9" s="4">
        <f t="shared" si="1"/>
        <v>0</v>
      </c>
    </row>
    <row r="10" spans="1:10" x14ac:dyDescent="0.3">
      <c r="A10" s="106" t="s">
        <v>114</v>
      </c>
      <c r="B10" s="114">
        <v>7.0000000000000007E-2</v>
      </c>
      <c r="C10" s="107">
        <v>7.0000000000000007E-2</v>
      </c>
      <c r="D10" s="108"/>
      <c r="E10" s="108"/>
      <c r="F10" s="108"/>
      <c r="G10" s="108"/>
      <c r="H10" s="7">
        <f>PREÇOS!E11</f>
        <v>8.1556129032258067</v>
      </c>
      <c r="I10" s="4">
        <f t="shared" si="0"/>
        <v>0</v>
      </c>
      <c r="J10" s="4">
        <f t="shared" si="1"/>
        <v>0</v>
      </c>
    </row>
    <row r="11" spans="1:10" x14ac:dyDescent="0.3">
      <c r="A11" s="106" t="s">
        <v>115</v>
      </c>
      <c r="B11" s="114">
        <v>7.0000000000000007E-2</v>
      </c>
      <c r="C11" s="107">
        <v>7.0000000000000007E-2</v>
      </c>
      <c r="D11" s="108"/>
      <c r="E11" s="108"/>
      <c r="F11" s="108"/>
      <c r="G11" s="108"/>
      <c r="H11" s="7">
        <f>PREÇOS!E12</f>
        <v>8.1556129032258067</v>
      </c>
      <c r="I11" s="4">
        <f t="shared" si="0"/>
        <v>0</v>
      </c>
      <c r="J11" s="4">
        <f t="shared" si="1"/>
        <v>0</v>
      </c>
    </row>
    <row r="12" spans="1:10" x14ac:dyDescent="0.3">
      <c r="A12" s="106" t="s">
        <v>116</v>
      </c>
      <c r="B12" s="114">
        <v>0.12</v>
      </c>
      <c r="C12" s="107">
        <v>0.18</v>
      </c>
      <c r="D12" s="108">
        <v>0.35</v>
      </c>
      <c r="E12" s="108"/>
      <c r="F12" s="108">
        <v>0.35</v>
      </c>
      <c r="G12" s="108"/>
      <c r="H12" s="7">
        <f>PREÇOS!E13</f>
        <v>8.6189999999999998</v>
      </c>
      <c r="I12" s="4">
        <f t="shared" si="0"/>
        <v>1.0601370000000001</v>
      </c>
      <c r="J12" s="4">
        <f t="shared" si="1"/>
        <v>1.0601370000000001</v>
      </c>
    </row>
    <row r="13" spans="1:10" x14ac:dyDescent="0.3">
      <c r="A13" s="106" t="s">
        <v>117</v>
      </c>
      <c r="B13" s="114">
        <v>7.0000000000000007E-2</v>
      </c>
      <c r="C13" s="107">
        <v>7.0000000000000007E-2</v>
      </c>
      <c r="D13" s="108"/>
      <c r="E13" s="108"/>
      <c r="F13" s="108"/>
      <c r="G13" s="108"/>
      <c r="H13" s="7">
        <f>PREÇOS!E14</f>
        <v>8.1556129032258067</v>
      </c>
      <c r="I13" s="4">
        <f t="shared" si="0"/>
        <v>0</v>
      </c>
      <c r="J13" s="4">
        <f t="shared" si="1"/>
        <v>0</v>
      </c>
    </row>
    <row r="14" spans="1:10" x14ac:dyDescent="0.3">
      <c r="A14" s="106" t="s">
        <v>118</v>
      </c>
      <c r="B14" s="114">
        <v>7.0000000000000007E-2</v>
      </c>
      <c r="C14" s="107">
        <v>0.17</v>
      </c>
      <c r="D14" s="108">
        <v>0.35449999999999998</v>
      </c>
      <c r="E14" s="108"/>
      <c r="F14" s="108">
        <v>0.35449999999999998</v>
      </c>
      <c r="G14" s="108"/>
      <c r="H14" s="7">
        <f>PREÇOS!E15</f>
        <v>8.1556129032258067</v>
      </c>
      <c r="I14" s="4">
        <f t="shared" si="0"/>
        <v>1.3070593019354839</v>
      </c>
      <c r="J14" s="4">
        <f t="shared" si="1"/>
        <v>1.3070593019354839</v>
      </c>
    </row>
    <row r="15" spans="1:10" x14ac:dyDescent="0.3">
      <c r="A15" s="106" t="s">
        <v>119</v>
      </c>
      <c r="B15" s="114">
        <v>7.0000000000000007E-2</v>
      </c>
      <c r="C15" s="107">
        <v>7.0000000000000007E-2</v>
      </c>
      <c r="D15" s="108"/>
      <c r="E15" s="108"/>
      <c r="F15" s="108"/>
      <c r="G15" s="108"/>
      <c r="H15" s="7">
        <f>PREÇOS!E16</f>
        <v>8.1556129032258067</v>
      </c>
      <c r="I15" s="4">
        <f t="shared" si="0"/>
        <v>0</v>
      </c>
      <c r="J15" s="4">
        <f t="shared" si="1"/>
        <v>0</v>
      </c>
    </row>
    <row r="16" spans="1:10" x14ac:dyDescent="0.3">
      <c r="A16" s="106" t="s">
        <v>120</v>
      </c>
      <c r="B16" s="114">
        <v>7.0000000000000007E-2</v>
      </c>
      <c r="C16" s="107">
        <v>7.0000000000000007E-2</v>
      </c>
      <c r="D16" s="108"/>
      <c r="E16" s="108"/>
      <c r="F16" s="108"/>
      <c r="G16" s="108"/>
      <c r="H16" s="7">
        <f>PREÇOS!E17</f>
        <v>8.1556129032258067</v>
      </c>
      <c r="I16" s="4">
        <f t="shared" si="0"/>
        <v>0</v>
      </c>
      <c r="J16" s="4">
        <f t="shared" si="1"/>
        <v>0</v>
      </c>
    </row>
    <row r="17" spans="1:10" x14ac:dyDescent="0.3">
      <c r="A17" s="106" t="s">
        <v>121</v>
      </c>
      <c r="B17" s="114">
        <v>7.0000000000000007E-2</v>
      </c>
      <c r="C17" s="107">
        <v>7.0000000000000007E-2</v>
      </c>
      <c r="D17" s="108"/>
      <c r="E17" s="108"/>
      <c r="F17" s="108"/>
      <c r="G17" s="108"/>
      <c r="H17" s="7">
        <f>PREÇOS!E18</f>
        <v>8.1556129032258067</v>
      </c>
      <c r="I17" s="4">
        <f t="shared" si="0"/>
        <v>0</v>
      </c>
      <c r="J17" s="4">
        <f t="shared" si="1"/>
        <v>0</v>
      </c>
    </row>
    <row r="18" spans="1:10" x14ac:dyDescent="0.3">
      <c r="A18" s="106" t="s">
        <v>122</v>
      </c>
      <c r="B18" s="114">
        <v>7.0000000000000007E-2</v>
      </c>
      <c r="C18" s="107">
        <v>7.0000000000000007E-2</v>
      </c>
      <c r="D18" s="108"/>
      <c r="E18" s="108"/>
      <c r="F18" s="108"/>
      <c r="G18" s="108"/>
      <c r="H18" s="7">
        <f>PREÇOS!E19</f>
        <v>8.1556129032258067</v>
      </c>
      <c r="I18" s="4">
        <f t="shared" si="0"/>
        <v>0</v>
      </c>
      <c r="J18" s="4">
        <f t="shared" si="1"/>
        <v>0</v>
      </c>
    </row>
    <row r="19" spans="1:10" x14ac:dyDescent="0.3">
      <c r="A19" s="106" t="s">
        <v>123</v>
      </c>
      <c r="B19" s="114">
        <v>0.12</v>
      </c>
      <c r="C19" s="107">
        <v>0.12</v>
      </c>
      <c r="D19" s="108"/>
      <c r="E19" s="108"/>
      <c r="F19" s="108"/>
      <c r="G19" s="108"/>
      <c r="H19" s="7">
        <f>PREÇOS!E20</f>
        <v>8.6189999999999998</v>
      </c>
      <c r="I19" s="4">
        <f t="shared" si="0"/>
        <v>0</v>
      </c>
      <c r="J19" s="4">
        <f t="shared" si="1"/>
        <v>0</v>
      </c>
    </row>
    <row r="20" spans="1:10" x14ac:dyDescent="0.3">
      <c r="A20" s="106" t="s">
        <v>124</v>
      </c>
      <c r="B20" s="114">
        <v>0.12</v>
      </c>
      <c r="C20" s="107">
        <v>0.12</v>
      </c>
      <c r="D20" s="108"/>
      <c r="E20" s="108"/>
      <c r="F20" s="108"/>
      <c r="G20" s="108"/>
      <c r="H20" s="7">
        <f>PREÇOS!E21</f>
        <v>8.6189999999999998</v>
      </c>
      <c r="I20" s="4">
        <f t="shared" si="0"/>
        <v>0</v>
      </c>
      <c r="J20" s="4">
        <f t="shared" si="1"/>
        <v>0</v>
      </c>
    </row>
    <row r="21" spans="1:10" x14ac:dyDescent="0.3">
      <c r="A21" s="106" t="s">
        <v>125</v>
      </c>
      <c r="B21" s="114">
        <v>7.0000000000000007E-2</v>
      </c>
      <c r="C21" s="107">
        <v>7.0000000000000007E-2</v>
      </c>
      <c r="D21" s="108"/>
      <c r="E21" s="108"/>
      <c r="F21" s="108"/>
      <c r="G21" s="108"/>
      <c r="H21" s="7">
        <f>PREÇOS!E22</f>
        <v>8.1556129032258067</v>
      </c>
      <c r="I21" s="4">
        <f t="shared" si="0"/>
        <v>0</v>
      </c>
      <c r="J21" s="4">
        <f t="shared" si="1"/>
        <v>0</v>
      </c>
    </row>
    <row r="22" spans="1:10" x14ac:dyDescent="0.3">
      <c r="A22" s="106" t="s">
        <v>126</v>
      </c>
      <c r="B22" s="114">
        <v>7.0000000000000007E-2</v>
      </c>
      <c r="C22" s="107">
        <v>7.0000000000000007E-2</v>
      </c>
      <c r="D22" s="108"/>
      <c r="E22" s="108"/>
      <c r="F22" s="108"/>
      <c r="G22" s="108"/>
      <c r="H22" s="7">
        <f>PREÇOS!E23</f>
        <v>8.1556129032258067</v>
      </c>
      <c r="I22" s="4">
        <f t="shared" si="0"/>
        <v>0</v>
      </c>
      <c r="J22" s="4">
        <f t="shared" si="1"/>
        <v>0</v>
      </c>
    </row>
    <row r="23" spans="1:10" x14ac:dyDescent="0.3">
      <c r="A23" s="106" t="s">
        <v>127</v>
      </c>
      <c r="B23" s="114">
        <v>7.0000000000000007E-2</v>
      </c>
      <c r="C23" s="107">
        <v>7.0000000000000007E-2</v>
      </c>
      <c r="D23" s="108"/>
      <c r="E23" s="108"/>
      <c r="F23" s="108"/>
      <c r="G23" s="108"/>
      <c r="H23" s="7">
        <f>PREÇOS!E24</f>
        <v>8.1556129032258067</v>
      </c>
      <c r="I23" s="4">
        <f t="shared" si="0"/>
        <v>0</v>
      </c>
      <c r="J23" s="4">
        <f t="shared" si="1"/>
        <v>0</v>
      </c>
    </row>
    <row r="24" spans="1:10" x14ac:dyDescent="0.3">
      <c r="A24" s="106" t="s">
        <v>10</v>
      </c>
      <c r="B24" s="114">
        <v>0.12</v>
      </c>
      <c r="C24" s="107">
        <v>0.12</v>
      </c>
      <c r="D24" s="108"/>
      <c r="E24" s="108"/>
      <c r="F24" s="108"/>
      <c r="G24" s="108"/>
      <c r="H24" s="7">
        <f>PREÇOS!E25</f>
        <v>8.6189999999999998</v>
      </c>
      <c r="I24" s="4">
        <f t="shared" si="0"/>
        <v>0</v>
      </c>
      <c r="J24" s="4">
        <f t="shared" si="1"/>
        <v>0</v>
      </c>
    </row>
    <row r="25" spans="1:10" x14ac:dyDescent="0.3">
      <c r="A25" s="106" t="s">
        <v>128</v>
      </c>
      <c r="B25" s="114">
        <v>0.12</v>
      </c>
      <c r="C25" s="107">
        <v>0.12</v>
      </c>
      <c r="D25" s="108"/>
      <c r="E25" s="108"/>
      <c r="F25" s="108"/>
      <c r="G25" s="108"/>
      <c r="H25" s="7">
        <f>PREÇOS!E26</f>
        <v>8.6189999999999998</v>
      </c>
      <c r="I25" s="4">
        <f t="shared" si="0"/>
        <v>0</v>
      </c>
      <c r="J25" s="4">
        <f t="shared" si="1"/>
        <v>0</v>
      </c>
    </row>
    <row r="26" spans="1:10" x14ac:dyDescent="0.3">
      <c r="A26" s="106" t="s">
        <v>129</v>
      </c>
      <c r="B26" s="114">
        <v>7.0000000000000007E-2</v>
      </c>
      <c r="C26" s="107">
        <v>7.0000000000000007E-2</v>
      </c>
      <c r="D26" s="108"/>
      <c r="E26" s="108"/>
      <c r="F26" s="108"/>
      <c r="G26" s="108"/>
      <c r="H26" s="7">
        <f>PREÇOS!E27</f>
        <v>8.1556129032258067</v>
      </c>
      <c r="I26" s="4">
        <f t="shared" si="0"/>
        <v>0</v>
      </c>
      <c r="J26" s="4">
        <f t="shared" si="1"/>
        <v>0</v>
      </c>
    </row>
    <row r="27" spans="1:10" x14ac:dyDescent="0.3">
      <c r="A27" s="106" t="s">
        <v>130</v>
      </c>
      <c r="B27" s="114">
        <v>0.12</v>
      </c>
      <c r="C27" s="107">
        <v>0.12</v>
      </c>
      <c r="D27" s="108"/>
      <c r="E27" s="108"/>
      <c r="F27" s="108"/>
      <c r="G27" s="108"/>
      <c r="H27" s="7">
        <f>PREÇOS!E28</f>
        <v>8.6189999999999998</v>
      </c>
      <c r="I27" s="4">
        <f t="shared" ref="I27:I30" si="2">IF(F27=0,,H27*(1+F27)*C27-(H27*B27))</f>
        <v>0</v>
      </c>
      <c r="J27" s="4">
        <f t="shared" ref="J27:J30" si="3">IF(G27=0,IF(F27=0,,H27*(1+F27)*C27-(H27*B27)),H27*(1+G27)*C27-(H27*B27))</f>
        <v>0</v>
      </c>
    </row>
    <row r="28" spans="1:10" x14ac:dyDescent="0.3">
      <c r="A28" s="109" t="s">
        <v>131</v>
      </c>
      <c r="B28" s="88">
        <f>B27</f>
        <v>0.12</v>
      </c>
      <c r="C28" s="88">
        <f t="shared" ref="C28:G28" si="4">C27</f>
        <v>0.12</v>
      </c>
      <c r="D28" s="88">
        <f t="shared" si="4"/>
        <v>0</v>
      </c>
      <c r="E28" s="88">
        <f t="shared" si="4"/>
        <v>0</v>
      </c>
      <c r="F28" s="88">
        <f t="shared" si="4"/>
        <v>0</v>
      </c>
      <c r="G28" s="88">
        <f t="shared" si="4"/>
        <v>0</v>
      </c>
      <c r="H28" s="104">
        <f>PREÇOS!E29</f>
        <v>8.6189999999999998</v>
      </c>
      <c r="I28" s="103">
        <f t="shared" si="2"/>
        <v>0</v>
      </c>
      <c r="J28" s="103">
        <f t="shared" si="3"/>
        <v>0</v>
      </c>
    </row>
    <row r="29" spans="1:10" x14ac:dyDescent="0.3">
      <c r="A29" s="106" t="s">
        <v>132</v>
      </c>
      <c r="B29" s="114">
        <v>7.0000000000000007E-2</v>
      </c>
      <c r="C29" s="107">
        <v>7.0000000000000007E-2</v>
      </c>
      <c r="D29" s="108"/>
      <c r="E29" s="108"/>
      <c r="F29" s="108"/>
      <c r="G29" s="108"/>
      <c r="H29" s="7">
        <f>PREÇOS!E30</f>
        <v>8.1556129032258067</v>
      </c>
      <c r="I29" s="4">
        <f t="shared" si="2"/>
        <v>0</v>
      </c>
      <c r="J29" s="4">
        <f t="shared" si="3"/>
        <v>0</v>
      </c>
    </row>
    <row r="30" spans="1:10" x14ac:dyDescent="0.3">
      <c r="A30" s="3" t="s">
        <v>133</v>
      </c>
      <c r="H30" s="7">
        <f>PREÇOS!E31</f>
        <v>6.4225451612903228</v>
      </c>
      <c r="I30" s="4">
        <f t="shared" si="2"/>
        <v>0</v>
      </c>
      <c r="J30" s="4">
        <f t="shared" si="3"/>
        <v>0</v>
      </c>
    </row>
  </sheetData>
  <sheetProtection selectLockedCells="1" selectUnlockedCells="1"/>
  <autoFilter ref="A1:J1" xr:uid="{BD2CC421-ACA8-43F6-A3D3-68C43F3FC9DB}">
    <sortState xmlns:xlrd2="http://schemas.microsoft.com/office/spreadsheetml/2017/richdata2" ref="A2:J28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54F3-0795-44C1-B026-974BF55431D2}">
  <sheetPr codeName="Planilha5"/>
  <dimension ref="A1:K30"/>
  <sheetViews>
    <sheetView showGridLines="0" topLeftCell="A15" zoomScale="85" zoomScaleNormal="85" workbookViewId="0">
      <selection activeCell="F36" sqref="F36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06" t="s">
        <v>106</v>
      </c>
      <c r="B2" s="114">
        <v>7.0000000000000007E-2</v>
      </c>
      <c r="C2" s="114">
        <v>7.0000000000000007E-2</v>
      </c>
      <c r="D2" s="108"/>
      <c r="E2" s="108"/>
      <c r="F2" s="108"/>
      <c r="G2" s="108"/>
      <c r="H2" s="4">
        <f>PREÇOS!C3</f>
        <v>3.7198451612903223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06" t="s">
        <v>107</v>
      </c>
      <c r="B3" s="114">
        <v>7.0000000000000007E-2</v>
      </c>
      <c r="C3" s="114">
        <v>0.19</v>
      </c>
      <c r="D3" s="108">
        <v>0.54320000000000002</v>
      </c>
      <c r="E3" s="108"/>
      <c r="F3" s="108">
        <v>0.79400000000000004</v>
      </c>
      <c r="G3" s="108"/>
      <c r="H3" s="4">
        <f>PREÇOS!C4</f>
        <v>3.7198451612903223</v>
      </c>
      <c r="I3" s="4">
        <f t="shared" ref="I3:I26" si="0">IF(F3=0,,H3*(1+F3)*C3-(H3*B3))</f>
        <v>1.0075572603870968</v>
      </c>
      <c r="J3" s="4">
        <f t="shared" ref="J3:J26" si="1">IF(G3=0,IF(F3=0,,H3*(1+F3)*C3-(H3*B3)),H3*(1+G3)*C3-(H3*B3))</f>
        <v>1.0075572603870968</v>
      </c>
    </row>
    <row r="4" spans="1:10" x14ac:dyDescent="0.3">
      <c r="A4" s="106" t="s">
        <v>108</v>
      </c>
      <c r="B4" s="114">
        <v>7.0000000000000007E-2</v>
      </c>
      <c r="C4" s="114">
        <v>0.18</v>
      </c>
      <c r="D4" s="108"/>
      <c r="E4" s="108"/>
      <c r="F4" s="108"/>
      <c r="G4" s="108"/>
      <c r="H4" s="4">
        <f>PREÇOS!C5</f>
        <v>3.7198451612903223</v>
      </c>
      <c r="I4" s="4">
        <f t="shared" si="0"/>
        <v>0</v>
      </c>
      <c r="J4" s="4">
        <f t="shared" si="1"/>
        <v>0</v>
      </c>
    </row>
    <row r="5" spans="1:10" x14ac:dyDescent="0.3">
      <c r="A5" s="106" t="s">
        <v>109</v>
      </c>
      <c r="B5" s="114">
        <v>7.0000000000000007E-2</v>
      </c>
      <c r="C5" s="114">
        <v>0.18</v>
      </c>
      <c r="D5" s="108">
        <v>0.41</v>
      </c>
      <c r="E5" s="108"/>
      <c r="F5" s="108">
        <v>0.59909999999999997</v>
      </c>
      <c r="G5" s="108"/>
      <c r="H5" s="4">
        <f>PREÇOS!C6</f>
        <v>3.7198451612903223</v>
      </c>
      <c r="I5" s="4">
        <f t="shared" si="0"/>
        <v>0.81032363024516108</v>
      </c>
      <c r="J5" s="4">
        <f t="shared" si="1"/>
        <v>0.81032363024516108</v>
      </c>
    </row>
    <row r="6" spans="1:10" x14ac:dyDescent="0.3">
      <c r="A6" s="106" t="s">
        <v>110</v>
      </c>
      <c r="B6" s="114">
        <v>7.0000000000000007E-2</v>
      </c>
      <c r="C6" s="114">
        <v>7.0000000000000007E-2</v>
      </c>
      <c r="D6" s="108"/>
      <c r="E6" s="108"/>
      <c r="F6" s="108"/>
      <c r="G6" s="108"/>
      <c r="H6" s="4">
        <f>PREÇOS!C7</f>
        <v>3.7198451612903223</v>
      </c>
      <c r="I6" s="4">
        <f t="shared" si="0"/>
        <v>0</v>
      </c>
      <c r="J6" s="4">
        <f t="shared" si="1"/>
        <v>0</v>
      </c>
    </row>
    <row r="7" spans="1:10" x14ac:dyDescent="0.3">
      <c r="A7" s="106" t="s">
        <v>111</v>
      </c>
      <c r="B7" s="114">
        <v>7.0000000000000007E-2</v>
      </c>
      <c r="C7" s="114">
        <v>7.0000000000000007E-2</v>
      </c>
      <c r="D7" s="108"/>
      <c r="E7" s="108"/>
      <c r="F7" s="108"/>
      <c r="G7" s="108"/>
      <c r="H7" s="4">
        <f>PREÇOS!C8</f>
        <v>3.7198451612903223</v>
      </c>
      <c r="I7" s="4">
        <f t="shared" si="0"/>
        <v>0</v>
      </c>
      <c r="J7" s="4">
        <f t="shared" si="1"/>
        <v>0</v>
      </c>
    </row>
    <row r="8" spans="1:10" x14ac:dyDescent="0.3">
      <c r="A8" s="106" t="s">
        <v>112</v>
      </c>
      <c r="B8" s="114">
        <v>7.0000000000000007E-2</v>
      </c>
      <c r="C8" s="114">
        <v>7.0000000000000007E-2</v>
      </c>
      <c r="D8" s="108"/>
      <c r="E8" s="108"/>
      <c r="F8" s="108"/>
      <c r="G8" s="108"/>
      <c r="H8" s="4">
        <f>PREÇOS!C9</f>
        <v>3.7198451612903223</v>
      </c>
      <c r="I8" s="4">
        <f t="shared" si="0"/>
        <v>0</v>
      </c>
      <c r="J8" s="4">
        <f t="shared" si="1"/>
        <v>0</v>
      </c>
    </row>
    <row r="9" spans="1:10" x14ac:dyDescent="0.3">
      <c r="A9" s="106" t="s">
        <v>113</v>
      </c>
      <c r="B9" s="114">
        <v>7.0000000000000007E-2</v>
      </c>
      <c r="C9" s="107">
        <v>7.0000000000000007E-2</v>
      </c>
      <c r="D9" s="108"/>
      <c r="E9" s="108"/>
      <c r="F9" s="108"/>
      <c r="G9" s="108"/>
      <c r="H9" s="4">
        <f>PREÇOS!C10</f>
        <v>3.7198451612903223</v>
      </c>
      <c r="I9" s="4">
        <f t="shared" si="0"/>
        <v>0</v>
      </c>
      <c r="J9" s="4">
        <f t="shared" si="1"/>
        <v>0</v>
      </c>
    </row>
    <row r="10" spans="1:10" x14ac:dyDescent="0.3">
      <c r="A10" s="106" t="s">
        <v>114</v>
      </c>
      <c r="B10" s="114">
        <v>7.0000000000000007E-2</v>
      </c>
      <c r="C10" s="107">
        <v>7.0000000000000007E-2</v>
      </c>
      <c r="D10" s="108"/>
      <c r="E10" s="108"/>
      <c r="F10" s="108"/>
      <c r="G10" s="108"/>
      <c r="H10" s="4">
        <f>PREÇOS!C11</f>
        <v>3.7198451612903223</v>
      </c>
      <c r="I10" s="4">
        <f t="shared" si="0"/>
        <v>0</v>
      </c>
      <c r="J10" s="4">
        <f t="shared" si="1"/>
        <v>0</v>
      </c>
    </row>
    <row r="11" spans="1:10" x14ac:dyDescent="0.3">
      <c r="A11" s="106" t="s">
        <v>115</v>
      </c>
      <c r="B11" s="114">
        <v>7.0000000000000007E-2</v>
      </c>
      <c r="C11" s="107">
        <v>7.0000000000000007E-2</v>
      </c>
      <c r="D11" s="108"/>
      <c r="E11" s="108"/>
      <c r="F11" s="108"/>
      <c r="G11" s="108"/>
      <c r="H11" s="4">
        <f>PREÇOS!C12</f>
        <v>3.7198451612903223</v>
      </c>
      <c r="I11" s="4">
        <f t="shared" si="0"/>
        <v>0</v>
      </c>
      <c r="J11" s="4">
        <f t="shared" si="1"/>
        <v>0</v>
      </c>
    </row>
    <row r="12" spans="1:10" x14ac:dyDescent="0.3">
      <c r="A12" s="106" t="s">
        <v>116</v>
      </c>
      <c r="B12" s="114">
        <v>0.12</v>
      </c>
      <c r="C12" s="107">
        <v>0.18</v>
      </c>
      <c r="D12" s="108">
        <v>0.4</v>
      </c>
      <c r="E12" s="108"/>
      <c r="F12" s="108">
        <v>0.50239999999999996</v>
      </c>
      <c r="G12" s="108"/>
      <c r="H12" s="4">
        <f>PREÇOS!C13</f>
        <v>3.9312</v>
      </c>
      <c r="I12" s="4">
        <f t="shared" si="0"/>
        <v>0.5913782783999999</v>
      </c>
      <c r="J12" s="4">
        <f t="shared" si="1"/>
        <v>0.5913782783999999</v>
      </c>
    </row>
    <row r="13" spans="1:10" x14ac:dyDescent="0.3">
      <c r="A13" s="106" t="s">
        <v>117</v>
      </c>
      <c r="B13" s="114">
        <v>7.0000000000000007E-2</v>
      </c>
      <c r="C13" s="107">
        <v>7.0000000000000007E-2</v>
      </c>
      <c r="D13" s="108"/>
      <c r="E13" s="108"/>
      <c r="F13" s="108"/>
      <c r="G13" s="108"/>
      <c r="H13" s="4">
        <f>PREÇOS!C14</f>
        <v>3.7198451612903223</v>
      </c>
      <c r="I13" s="4">
        <f t="shared" si="0"/>
        <v>0</v>
      </c>
      <c r="J13" s="4">
        <f t="shared" si="1"/>
        <v>0</v>
      </c>
    </row>
    <row r="14" spans="1:10" x14ac:dyDescent="0.3">
      <c r="A14" s="106" t="s">
        <v>118</v>
      </c>
      <c r="B14" s="114">
        <v>7.0000000000000007E-2</v>
      </c>
      <c r="C14" s="107">
        <v>0.17</v>
      </c>
      <c r="D14" s="108">
        <v>0.45519999999999999</v>
      </c>
      <c r="E14" s="108"/>
      <c r="F14" s="108">
        <v>0.63049999999999995</v>
      </c>
      <c r="G14" s="108"/>
      <c r="H14" s="4">
        <f>PREÇOS!C15</f>
        <v>3.7198451612903223</v>
      </c>
      <c r="I14" s="4">
        <f t="shared" si="0"/>
        <v>0.77069611974193553</v>
      </c>
      <c r="J14" s="4">
        <f t="shared" si="1"/>
        <v>0.77069611974193553</v>
      </c>
    </row>
    <row r="15" spans="1:10" x14ac:dyDescent="0.3">
      <c r="A15" s="106" t="s">
        <v>119</v>
      </c>
      <c r="B15" s="114">
        <v>7.0000000000000007E-2</v>
      </c>
      <c r="C15" s="107">
        <v>7.0000000000000007E-2</v>
      </c>
      <c r="D15" s="108"/>
      <c r="E15" s="108"/>
      <c r="F15" s="108"/>
      <c r="G15" s="108"/>
      <c r="H15" s="4">
        <f>PREÇOS!C16</f>
        <v>3.7198451612903223</v>
      </c>
      <c r="I15" s="4">
        <f t="shared" si="0"/>
        <v>0</v>
      </c>
      <c r="J15" s="4">
        <f t="shared" si="1"/>
        <v>0</v>
      </c>
    </row>
    <row r="16" spans="1:10" x14ac:dyDescent="0.3">
      <c r="A16" s="106" t="s">
        <v>120</v>
      </c>
      <c r="B16" s="114">
        <v>7.0000000000000007E-2</v>
      </c>
      <c r="C16" s="107">
        <v>7.0000000000000007E-2</v>
      </c>
      <c r="D16" s="108"/>
      <c r="E16" s="108"/>
      <c r="F16" s="108"/>
      <c r="G16" s="108"/>
      <c r="H16" s="4">
        <f>PREÇOS!C17</f>
        <v>3.7198451612903223</v>
      </c>
      <c r="I16" s="4">
        <f t="shared" si="0"/>
        <v>0</v>
      </c>
      <c r="J16" s="4">
        <f t="shared" si="1"/>
        <v>0</v>
      </c>
    </row>
    <row r="17" spans="1:11" x14ac:dyDescent="0.3">
      <c r="A17" s="106" t="s">
        <v>121</v>
      </c>
      <c r="B17" s="114">
        <v>7.0000000000000007E-2</v>
      </c>
      <c r="C17" s="107">
        <v>7.0000000000000007E-2</v>
      </c>
      <c r="D17" s="108"/>
      <c r="E17" s="108"/>
      <c r="F17" s="108"/>
      <c r="G17" s="108"/>
      <c r="H17" s="4">
        <f>PREÇOS!C18</f>
        <v>3.7198451612903223</v>
      </c>
      <c r="I17" s="4">
        <f t="shared" si="0"/>
        <v>0</v>
      </c>
      <c r="J17" s="4">
        <f t="shared" si="1"/>
        <v>0</v>
      </c>
    </row>
    <row r="18" spans="1:11" x14ac:dyDescent="0.3">
      <c r="A18" s="106" t="s">
        <v>122</v>
      </c>
      <c r="B18" s="114">
        <v>7.0000000000000007E-2</v>
      </c>
      <c r="C18" s="107">
        <v>7.0000000000000007E-2</v>
      </c>
      <c r="D18" s="108"/>
      <c r="E18" s="108"/>
      <c r="F18" s="108"/>
      <c r="G18" s="108"/>
      <c r="H18" s="4">
        <f>PREÇOS!C19</f>
        <v>3.7198451612903223</v>
      </c>
      <c r="I18" s="4">
        <f t="shared" si="0"/>
        <v>0</v>
      </c>
      <c r="J18" s="4">
        <f t="shared" si="1"/>
        <v>0</v>
      </c>
    </row>
    <row r="19" spans="1:11" x14ac:dyDescent="0.3">
      <c r="A19" s="109" t="s">
        <v>123</v>
      </c>
      <c r="B19" s="88">
        <v>0.12</v>
      </c>
      <c r="C19" s="110">
        <v>0.19500000000000001</v>
      </c>
      <c r="D19" s="87">
        <v>0.54320000000000002</v>
      </c>
      <c r="E19" s="87">
        <v>0.16300000000000001</v>
      </c>
      <c r="F19" s="87">
        <v>0.68700000000000006</v>
      </c>
      <c r="G19" s="87">
        <v>0.1968</v>
      </c>
      <c r="H19" s="4">
        <f>PREÇOS!C20</f>
        <v>3.9312</v>
      </c>
      <c r="I19" s="4">
        <f t="shared" si="0"/>
        <v>0.8214832080000003</v>
      </c>
      <c r="J19" s="4">
        <f t="shared" si="1"/>
        <v>0.44570373120000001</v>
      </c>
    </row>
    <row r="20" spans="1:11" x14ac:dyDescent="0.3">
      <c r="A20" s="109" t="s">
        <v>124</v>
      </c>
      <c r="B20" s="88">
        <v>0.12</v>
      </c>
      <c r="C20" s="110">
        <v>0.22</v>
      </c>
      <c r="D20" s="87">
        <v>0.4698</v>
      </c>
      <c r="E20" s="87"/>
      <c r="F20" s="87">
        <v>0.65820000000000001</v>
      </c>
      <c r="G20" s="87"/>
      <c r="H20" s="4">
        <f>PREÇOS!C21</f>
        <v>3.9312</v>
      </c>
      <c r="I20" s="4">
        <f t="shared" si="0"/>
        <v>0.96237348480000007</v>
      </c>
      <c r="J20" s="4">
        <f t="shared" si="1"/>
        <v>0.96237348480000007</v>
      </c>
    </row>
    <row r="21" spans="1:11" x14ac:dyDescent="0.3">
      <c r="A21" s="106" t="s">
        <v>125</v>
      </c>
      <c r="B21" s="114">
        <v>7.0000000000000007E-2</v>
      </c>
      <c r="C21" s="107">
        <v>7.0000000000000007E-2</v>
      </c>
      <c r="D21" s="108"/>
      <c r="E21" s="108"/>
      <c r="F21" s="108"/>
      <c r="G21" s="108"/>
      <c r="H21" s="4">
        <f>PREÇOS!C22</f>
        <v>3.7198451612903223</v>
      </c>
      <c r="I21" s="4">
        <f t="shared" si="0"/>
        <v>0</v>
      </c>
      <c r="J21" s="4">
        <f t="shared" si="1"/>
        <v>0</v>
      </c>
    </row>
    <row r="22" spans="1:11" x14ac:dyDescent="0.3">
      <c r="A22" s="106" t="s">
        <v>126</v>
      </c>
      <c r="B22" s="114">
        <v>7.0000000000000007E-2</v>
      </c>
      <c r="C22" s="107">
        <v>7.0000000000000007E-2</v>
      </c>
      <c r="D22" s="108"/>
      <c r="E22" s="108"/>
      <c r="F22" s="108"/>
      <c r="G22" s="108"/>
      <c r="H22" s="4">
        <f>PREÇOS!C23</f>
        <v>3.7198451612903223</v>
      </c>
      <c r="I22" s="4">
        <f t="shared" si="0"/>
        <v>0</v>
      </c>
      <c r="J22" s="4">
        <f t="shared" si="1"/>
        <v>0</v>
      </c>
    </row>
    <row r="23" spans="1:11" x14ac:dyDescent="0.3">
      <c r="A23" s="106" t="s">
        <v>127</v>
      </c>
      <c r="B23" s="114">
        <v>7.0000000000000007E-2</v>
      </c>
      <c r="C23" s="107">
        <v>7.0000000000000007E-2</v>
      </c>
      <c r="D23" s="108"/>
      <c r="E23" s="108"/>
      <c r="F23" s="108"/>
      <c r="G23" s="108"/>
      <c r="H23" s="4">
        <f>PREÇOS!C24</f>
        <v>3.7198451612903223</v>
      </c>
      <c r="I23" s="4">
        <f t="shared" si="0"/>
        <v>0</v>
      </c>
      <c r="J23" s="4">
        <f t="shared" si="1"/>
        <v>0</v>
      </c>
    </row>
    <row r="24" spans="1:11" x14ac:dyDescent="0.3">
      <c r="A24" s="106" t="s">
        <v>10</v>
      </c>
      <c r="B24" s="114">
        <v>0.12</v>
      </c>
      <c r="C24" s="107">
        <v>0.12</v>
      </c>
      <c r="D24" s="108"/>
      <c r="E24" s="108"/>
      <c r="F24" s="108"/>
      <c r="G24" s="108"/>
      <c r="H24" s="4">
        <f>PREÇOS!C25</f>
        <v>3.9312</v>
      </c>
      <c r="I24" s="4">
        <f t="shared" si="0"/>
        <v>0</v>
      </c>
      <c r="J24" s="4">
        <f t="shared" si="1"/>
        <v>0</v>
      </c>
    </row>
    <row r="25" spans="1:11" x14ac:dyDescent="0.3">
      <c r="A25" s="106" t="s">
        <v>128</v>
      </c>
      <c r="B25" s="114">
        <v>0.12</v>
      </c>
      <c r="C25" s="107">
        <v>0.12</v>
      </c>
      <c r="D25" s="108"/>
      <c r="E25" s="108"/>
      <c r="F25" s="108"/>
      <c r="G25" s="108"/>
      <c r="H25" s="4">
        <f>PREÇOS!C26</f>
        <v>3.9312</v>
      </c>
      <c r="I25" s="4">
        <f t="shared" si="0"/>
        <v>0</v>
      </c>
      <c r="J25" s="4">
        <f t="shared" si="1"/>
        <v>0</v>
      </c>
    </row>
    <row r="26" spans="1:11" x14ac:dyDescent="0.3">
      <c r="A26" s="106" t="s">
        <v>129</v>
      </c>
      <c r="B26" s="114">
        <v>7.0000000000000007E-2</v>
      </c>
      <c r="C26" s="107">
        <v>7.0000000000000007E-2</v>
      </c>
      <c r="D26" s="108"/>
      <c r="E26" s="108"/>
      <c r="F26" s="108"/>
      <c r="G26" s="108"/>
      <c r="H26" s="4">
        <f>PREÇOS!C27</f>
        <v>3.7198451612903223</v>
      </c>
      <c r="I26" s="4">
        <f t="shared" si="0"/>
        <v>0</v>
      </c>
      <c r="J26" s="4">
        <f t="shared" si="1"/>
        <v>0</v>
      </c>
    </row>
    <row r="27" spans="1:11" x14ac:dyDescent="0.3">
      <c r="A27" s="106" t="s">
        <v>130</v>
      </c>
      <c r="B27" s="114">
        <v>0.12</v>
      </c>
      <c r="C27" s="107">
        <v>0.18</v>
      </c>
      <c r="D27" s="108"/>
      <c r="E27" s="108"/>
      <c r="F27" s="108"/>
      <c r="G27" s="108"/>
      <c r="H27" s="4">
        <f>PREÇOS!C28</f>
        <v>3.9312</v>
      </c>
      <c r="I27" s="4">
        <f t="shared" ref="I27:I30" si="2">IF(F27=0,,H27*(1+F27)*C27-(H27*B27))</f>
        <v>0</v>
      </c>
      <c r="J27" s="4">
        <f t="shared" ref="J27:J30" si="3">IF(G27=0,IF(F27=0,,H27*(1+F27)*C27-(H27*B27)),H27*(1+G27)*C27-(H27*B27))</f>
        <v>0</v>
      </c>
      <c r="K27" t="s">
        <v>134</v>
      </c>
    </row>
    <row r="28" spans="1:11" x14ac:dyDescent="0.3">
      <c r="A28" s="109" t="s">
        <v>131</v>
      </c>
      <c r="B28" s="88">
        <f>B27</f>
        <v>0.12</v>
      </c>
      <c r="C28" s="88">
        <f t="shared" ref="C28:G28" si="4">C27</f>
        <v>0.18</v>
      </c>
      <c r="D28" s="87">
        <f t="shared" si="4"/>
        <v>0</v>
      </c>
      <c r="E28" s="87">
        <f t="shared" si="4"/>
        <v>0</v>
      </c>
      <c r="F28" s="87">
        <f t="shared" si="4"/>
        <v>0</v>
      </c>
      <c r="G28" s="88">
        <f t="shared" si="4"/>
        <v>0</v>
      </c>
      <c r="H28" s="103">
        <f>PREÇOS!C29</f>
        <v>3.9312</v>
      </c>
      <c r="I28" s="103">
        <f t="shared" si="2"/>
        <v>0</v>
      </c>
      <c r="J28" s="103">
        <f t="shared" si="3"/>
        <v>0</v>
      </c>
    </row>
    <row r="29" spans="1:11" x14ac:dyDescent="0.3">
      <c r="A29" s="106" t="s">
        <v>132</v>
      </c>
      <c r="B29" s="114">
        <v>7.0000000000000007E-2</v>
      </c>
      <c r="C29" s="107">
        <v>7.0000000000000007E-2</v>
      </c>
      <c r="D29" s="108"/>
      <c r="E29" s="108"/>
      <c r="F29" s="108"/>
      <c r="G29" s="108"/>
      <c r="H29" s="4">
        <f>PREÇOS!C30</f>
        <v>3.7198451612903223</v>
      </c>
      <c r="I29" s="4">
        <f t="shared" si="2"/>
        <v>0</v>
      </c>
      <c r="J29" s="4">
        <f t="shared" si="3"/>
        <v>0</v>
      </c>
    </row>
    <row r="30" spans="1:11" x14ac:dyDescent="0.3">
      <c r="A30" s="3" t="s">
        <v>133</v>
      </c>
      <c r="H30" s="4">
        <f>PREÇOS!C31</f>
        <v>2.9293780645161287</v>
      </c>
      <c r="I30" s="4">
        <f t="shared" si="2"/>
        <v>0</v>
      </c>
      <c r="J30" s="4">
        <f t="shared" si="3"/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C95BF-FB7A-4D9A-8D80-586D4E26EF67}">
  <dimension ref="A1:K30"/>
  <sheetViews>
    <sheetView showGridLines="0" topLeftCell="A9" zoomScale="85" zoomScaleNormal="85" workbookViewId="0">
      <selection activeCell="F36" sqref="F36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06" t="s">
        <v>106</v>
      </c>
      <c r="B2" s="114">
        <v>7.0000000000000007E-2</v>
      </c>
      <c r="C2" s="114">
        <v>7.0000000000000007E-2</v>
      </c>
      <c r="D2" s="108"/>
      <c r="E2" s="108"/>
      <c r="F2" s="108"/>
      <c r="G2" s="108"/>
      <c r="H2" s="4">
        <f>PREÇOS!O3</f>
        <v>4.8258064516129027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06" t="s">
        <v>107</v>
      </c>
      <c r="B3" s="114">
        <v>7.0000000000000007E-2</v>
      </c>
      <c r="C3" s="114">
        <v>0.19</v>
      </c>
      <c r="D3" s="108">
        <v>0.54320000000000002</v>
      </c>
      <c r="E3" s="108"/>
      <c r="F3" s="108">
        <v>0.79400000000000004</v>
      </c>
      <c r="G3" s="108"/>
      <c r="H3" s="4">
        <f>PREÇOS!O4</f>
        <v>4.8258064516129027</v>
      </c>
      <c r="I3" s="4">
        <f t="shared" ref="I3:I30" si="0">IF(F3=0,,H3*(1+F3)*C3-(H3*B3))</f>
        <v>1.3071179354838711</v>
      </c>
      <c r="J3" s="4">
        <f t="shared" ref="J3:J30" si="1">IF(G3=0,IF(F3=0,,H3*(1+F3)*C3-(H3*B3)),H3*(1+G3)*C3-(H3*B3))</f>
        <v>1.3071179354838711</v>
      </c>
    </row>
    <row r="4" spans="1:10" x14ac:dyDescent="0.3">
      <c r="A4" s="106" t="s">
        <v>108</v>
      </c>
      <c r="B4" s="114">
        <v>7.0000000000000007E-2</v>
      </c>
      <c r="C4" s="114">
        <v>0.18</v>
      </c>
      <c r="D4" s="108"/>
      <c r="E4" s="108"/>
      <c r="F4" s="108"/>
      <c r="G4" s="108"/>
      <c r="H4" s="4">
        <f>PREÇOS!O5</f>
        <v>4.8258064516129027</v>
      </c>
      <c r="I4" s="4">
        <f t="shared" si="0"/>
        <v>0</v>
      </c>
      <c r="J4" s="4">
        <f t="shared" si="1"/>
        <v>0</v>
      </c>
    </row>
    <row r="5" spans="1:10" x14ac:dyDescent="0.3">
      <c r="A5" s="106" t="s">
        <v>109</v>
      </c>
      <c r="B5" s="114">
        <v>7.0000000000000007E-2</v>
      </c>
      <c r="C5" s="114">
        <v>0.18</v>
      </c>
      <c r="D5" s="108">
        <v>0.41</v>
      </c>
      <c r="E5" s="108"/>
      <c r="F5" s="108">
        <v>0.59909999999999997</v>
      </c>
      <c r="G5" s="108"/>
      <c r="H5" s="4">
        <f>PREÇOS!O6</f>
        <v>4.8258064516129027</v>
      </c>
      <c r="I5" s="4">
        <f t="shared" si="0"/>
        <v>1.0512440258064513</v>
      </c>
      <c r="J5" s="4">
        <f t="shared" si="1"/>
        <v>1.0512440258064513</v>
      </c>
    </row>
    <row r="6" spans="1:10" x14ac:dyDescent="0.3">
      <c r="A6" s="106" t="s">
        <v>110</v>
      </c>
      <c r="B6" s="114">
        <v>7.0000000000000007E-2</v>
      </c>
      <c r="C6" s="114">
        <v>7.0000000000000007E-2</v>
      </c>
      <c r="D6" s="108"/>
      <c r="E6" s="108"/>
      <c r="F6" s="108"/>
      <c r="G6" s="108"/>
      <c r="H6" s="4">
        <f>PREÇOS!O7</f>
        <v>4.8258064516129027</v>
      </c>
      <c r="I6" s="4">
        <f t="shared" si="0"/>
        <v>0</v>
      </c>
      <c r="J6" s="4">
        <f t="shared" si="1"/>
        <v>0</v>
      </c>
    </row>
    <row r="7" spans="1:10" x14ac:dyDescent="0.3">
      <c r="A7" s="106" t="s">
        <v>111</v>
      </c>
      <c r="B7" s="114">
        <v>7.0000000000000007E-2</v>
      </c>
      <c r="C7" s="114">
        <v>7.0000000000000007E-2</v>
      </c>
      <c r="D7" s="108"/>
      <c r="E7" s="108"/>
      <c r="F7" s="108"/>
      <c r="G7" s="108"/>
      <c r="H7" s="4">
        <f>PREÇOS!O8</f>
        <v>4.8258064516129027</v>
      </c>
      <c r="I7" s="4">
        <f t="shared" si="0"/>
        <v>0</v>
      </c>
      <c r="J7" s="4">
        <f t="shared" si="1"/>
        <v>0</v>
      </c>
    </row>
    <row r="8" spans="1:10" x14ac:dyDescent="0.3">
      <c r="A8" s="106" t="s">
        <v>112</v>
      </c>
      <c r="B8" s="114">
        <v>7.0000000000000007E-2</v>
      </c>
      <c r="C8" s="114">
        <v>7.0000000000000007E-2</v>
      </c>
      <c r="D8" s="108"/>
      <c r="E8" s="108"/>
      <c r="F8" s="108"/>
      <c r="G8" s="108"/>
      <c r="H8" s="4">
        <f>PREÇOS!O9</f>
        <v>4.8258064516129027</v>
      </c>
      <c r="I8" s="4">
        <f t="shared" si="0"/>
        <v>0</v>
      </c>
      <c r="J8" s="4">
        <f t="shared" si="1"/>
        <v>0</v>
      </c>
    </row>
    <row r="9" spans="1:10" x14ac:dyDescent="0.3">
      <c r="A9" s="106" t="s">
        <v>113</v>
      </c>
      <c r="B9" s="114">
        <v>7.0000000000000007E-2</v>
      </c>
      <c r="C9" s="107">
        <v>7.0000000000000007E-2</v>
      </c>
      <c r="D9" s="108"/>
      <c r="E9" s="108"/>
      <c r="F9" s="108"/>
      <c r="G9" s="108"/>
      <c r="H9" s="4">
        <f>PREÇOS!O10</f>
        <v>4.8258064516129027</v>
      </c>
      <c r="I9" s="4">
        <f t="shared" si="0"/>
        <v>0</v>
      </c>
      <c r="J9" s="4">
        <f t="shared" si="1"/>
        <v>0</v>
      </c>
    </row>
    <row r="10" spans="1:10" x14ac:dyDescent="0.3">
      <c r="A10" s="106" t="s">
        <v>114</v>
      </c>
      <c r="B10" s="114">
        <v>7.0000000000000007E-2</v>
      </c>
      <c r="C10" s="107">
        <v>7.0000000000000007E-2</v>
      </c>
      <c r="D10" s="108"/>
      <c r="E10" s="108"/>
      <c r="F10" s="108"/>
      <c r="G10" s="108"/>
      <c r="H10" s="4">
        <f>PREÇOS!O11</f>
        <v>4.8258064516129027</v>
      </c>
      <c r="I10" s="4">
        <f t="shared" si="0"/>
        <v>0</v>
      </c>
      <c r="J10" s="4">
        <f t="shared" si="1"/>
        <v>0</v>
      </c>
    </row>
    <row r="11" spans="1:10" x14ac:dyDescent="0.3">
      <c r="A11" s="106" t="s">
        <v>115</v>
      </c>
      <c r="B11" s="114">
        <v>7.0000000000000007E-2</v>
      </c>
      <c r="C11" s="107">
        <v>7.0000000000000007E-2</v>
      </c>
      <c r="D11" s="108"/>
      <c r="E11" s="108"/>
      <c r="F11" s="108"/>
      <c r="G11" s="108"/>
      <c r="H11" s="4">
        <f>PREÇOS!O12</f>
        <v>4.8258064516129027</v>
      </c>
      <c r="I11" s="4">
        <f t="shared" si="0"/>
        <v>0</v>
      </c>
      <c r="J11" s="4">
        <f t="shared" si="1"/>
        <v>0</v>
      </c>
    </row>
    <row r="12" spans="1:10" x14ac:dyDescent="0.3">
      <c r="A12" s="106" t="s">
        <v>116</v>
      </c>
      <c r="B12" s="114">
        <v>0.12</v>
      </c>
      <c r="C12" s="107">
        <v>0.18</v>
      </c>
      <c r="D12" s="108">
        <v>0.4</v>
      </c>
      <c r="E12" s="108"/>
      <c r="F12" s="108">
        <v>0.50239999999999996</v>
      </c>
      <c r="G12" s="108"/>
      <c r="H12" s="4">
        <f>PREÇOS!O13</f>
        <v>5.0999999999999996</v>
      </c>
      <c r="I12" s="4">
        <f t="shared" si="0"/>
        <v>0.76720319999999964</v>
      </c>
      <c r="J12" s="4">
        <f t="shared" si="1"/>
        <v>0.76720319999999964</v>
      </c>
    </row>
    <row r="13" spans="1:10" x14ac:dyDescent="0.3">
      <c r="A13" s="106" t="s">
        <v>117</v>
      </c>
      <c r="B13" s="114">
        <v>7.0000000000000007E-2</v>
      </c>
      <c r="C13" s="107">
        <v>7.0000000000000007E-2</v>
      </c>
      <c r="D13" s="108"/>
      <c r="E13" s="108"/>
      <c r="F13" s="108"/>
      <c r="G13" s="108"/>
      <c r="H13" s="4">
        <f>PREÇOS!O14</f>
        <v>4.8258064516129027</v>
      </c>
      <c r="I13" s="4">
        <f t="shared" si="0"/>
        <v>0</v>
      </c>
      <c r="J13" s="4">
        <f t="shared" si="1"/>
        <v>0</v>
      </c>
    </row>
    <row r="14" spans="1:10" x14ac:dyDescent="0.3">
      <c r="A14" s="106" t="s">
        <v>118</v>
      </c>
      <c r="B14" s="114">
        <v>7.0000000000000007E-2</v>
      </c>
      <c r="C14" s="107">
        <v>0.17</v>
      </c>
      <c r="D14" s="108">
        <v>0.45519999999999999</v>
      </c>
      <c r="E14" s="108"/>
      <c r="F14" s="108">
        <v>0.63049999999999995</v>
      </c>
      <c r="G14" s="108"/>
      <c r="H14" s="4">
        <f>PREÇOS!O15</f>
        <v>4.8258064516129027</v>
      </c>
      <c r="I14" s="4">
        <f t="shared" si="0"/>
        <v>0.99983470967741928</v>
      </c>
      <c r="J14" s="4">
        <f t="shared" si="1"/>
        <v>0.99983470967741928</v>
      </c>
    </row>
    <row r="15" spans="1:10" x14ac:dyDescent="0.3">
      <c r="A15" s="106" t="s">
        <v>119</v>
      </c>
      <c r="B15" s="114">
        <v>7.0000000000000007E-2</v>
      </c>
      <c r="C15" s="107">
        <v>7.0000000000000007E-2</v>
      </c>
      <c r="D15" s="108"/>
      <c r="E15" s="108"/>
      <c r="F15" s="108"/>
      <c r="G15" s="108"/>
      <c r="H15" s="4">
        <f>PREÇOS!O16</f>
        <v>4.8258064516129027</v>
      </c>
      <c r="I15" s="4">
        <f t="shared" si="0"/>
        <v>0</v>
      </c>
      <c r="J15" s="4">
        <f t="shared" si="1"/>
        <v>0</v>
      </c>
    </row>
    <row r="16" spans="1:10" x14ac:dyDescent="0.3">
      <c r="A16" s="106" t="s">
        <v>120</v>
      </c>
      <c r="B16" s="114">
        <v>7.0000000000000007E-2</v>
      </c>
      <c r="C16" s="107">
        <v>7.0000000000000007E-2</v>
      </c>
      <c r="D16" s="108"/>
      <c r="E16" s="108"/>
      <c r="F16" s="108"/>
      <c r="G16" s="108"/>
      <c r="H16" s="4">
        <f>PREÇOS!O17</f>
        <v>4.8258064516129027</v>
      </c>
      <c r="I16" s="4">
        <f t="shared" si="0"/>
        <v>0</v>
      </c>
      <c r="J16" s="4">
        <f t="shared" si="1"/>
        <v>0</v>
      </c>
    </row>
    <row r="17" spans="1:11" x14ac:dyDescent="0.3">
      <c r="A17" s="106" t="s">
        <v>121</v>
      </c>
      <c r="B17" s="114">
        <v>7.0000000000000007E-2</v>
      </c>
      <c r="C17" s="107">
        <v>7.0000000000000007E-2</v>
      </c>
      <c r="D17" s="108"/>
      <c r="E17" s="108"/>
      <c r="F17" s="108"/>
      <c r="G17" s="108"/>
      <c r="H17" s="4">
        <f>PREÇOS!O18</f>
        <v>4.8258064516129027</v>
      </c>
      <c r="I17" s="4">
        <f t="shared" si="0"/>
        <v>0</v>
      </c>
      <c r="J17" s="4">
        <f t="shared" si="1"/>
        <v>0</v>
      </c>
    </row>
    <row r="18" spans="1:11" x14ac:dyDescent="0.3">
      <c r="A18" s="106" t="s">
        <v>122</v>
      </c>
      <c r="B18" s="114">
        <v>7.0000000000000007E-2</v>
      </c>
      <c r="C18" s="107">
        <v>7.0000000000000007E-2</v>
      </c>
      <c r="D18" s="108"/>
      <c r="E18" s="108"/>
      <c r="F18" s="108"/>
      <c r="G18" s="108"/>
      <c r="H18" s="4">
        <f>PREÇOS!O19</f>
        <v>4.8258064516129027</v>
      </c>
      <c r="I18" s="4">
        <f t="shared" si="0"/>
        <v>0</v>
      </c>
      <c r="J18" s="4">
        <f t="shared" si="1"/>
        <v>0</v>
      </c>
    </row>
    <row r="19" spans="1:11" x14ac:dyDescent="0.3">
      <c r="A19" s="109" t="s">
        <v>123</v>
      </c>
      <c r="B19" s="88">
        <v>0.12</v>
      </c>
      <c r="C19" s="110">
        <v>0.19500000000000001</v>
      </c>
      <c r="D19" s="87">
        <v>0.54320000000000002</v>
      </c>
      <c r="E19" s="87">
        <v>0.16300000000000001</v>
      </c>
      <c r="F19" s="87">
        <v>0.68700000000000006</v>
      </c>
      <c r="G19" s="87">
        <v>0.1968</v>
      </c>
      <c r="H19" s="4">
        <f>PREÇOS!O20</f>
        <v>5.0999999999999996</v>
      </c>
      <c r="I19" s="4">
        <f t="shared" si="0"/>
        <v>1.0657215</v>
      </c>
      <c r="J19" s="4">
        <f t="shared" si="1"/>
        <v>0.5782176</v>
      </c>
    </row>
    <row r="20" spans="1:11" x14ac:dyDescent="0.3">
      <c r="A20" s="109" t="s">
        <v>124</v>
      </c>
      <c r="B20" s="88">
        <v>0.12</v>
      </c>
      <c r="C20" s="110">
        <v>0.22</v>
      </c>
      <c r="D20" s="87">
        <v>0.4698</v>
      </c>
      <c r="E20" s="87"/>
      <c r="F20" s="87">
        <v>0.65820000000000001</v>
      </c>
      <c r="G20" s="87"/>
      <c r="H20" s="4">
        <f>PREÇOS!O21</f>
        <v>5.0999999999999996</v>
      </c>
      <c r="I20" s="4">
        <f t="shared" si="0"/>
        <v>1.2485003999999997</v>
      </c>
      <c r="J20" s="4">
        <f t="shared" si="1"/>
        <v>1.2485003999999997</v>
      </c>
    </row>
    <row r="21" spans="1:11" x14ac:dyDescent="0.3">
      <c r="A21" s="106" t="s">
        <v>125</v>
      </c>
      <c r="B21" s="114">
        <v>7.0000000000000007E-2</v>
      </c>
      <c r="C21" s="107">
        <v>7.0000000000000007E-2</v>
      </c>
      <c r="D21" s="108"/>
      <c r="E21" s="108"/>
      <c r="F21" s="108"/>
      <c r="G21" s="108"/>
      <c r="H21" s="4">
        <f>PREÇOS!O22</f>
        <v>4.8258064516129027</v>
      </c>
      <c r="I21" s="4">
        <f t="shared" si="0"/>
        <v>0</v>
      </c>
      <c r="J21" s="4">
        <f t="shared" si="1"/>
        <v>0</v>
      </c>
    </row>
    <row r="22" spans="1:11" x14ac:dyDescent="0.3">
      <c r="A22" s="106" t="s">
        <v>126</v>
      </c>
      <c r="B22" s="114">
        <v>7.0000000000000007E-2</v>
      </c>
      <c r="C22" s="107">
        <v>7.0000000000000007E-2</v>
      </c>
      <c r="D22" s="108"/>
      <c r="E22" s="108"/>
      <c r="F22" s="108"/>
      <c r="G22" s="108"/>
      <c r="H22" s="4">
        <f>PREÇOS!O23</f>
        <v>4.8258064516129027</v>
      </c>
      <c r="I22" s="4">
        <f t="shared" si="0"/>
        <v>0</v>
      </c>
      <c r="J22" s="4">
        <f t="shared" si="1"/>
        <v>0</v>
      </c>
    </row>
    <row r="23" spans="1:11" x14ac:dyDescent="0.3">
      <c r="A23" s="106" t="s">
        <v>127</v>
      </c>
      <c r="B23" s="114">
        <v>7.0000000000000007E-2</v>
      </c>
      <c r="C23" s="107">
        <v>7.0000000000000007E-2</v>
      </c>
      <c r="D23" s="108"/>
      <c r="E23" s="108"/>
      <c r="F23" s="108"/>
      <c r="G23" s="108"/>
      <c r="H23" s="4">
        <f>PREÇOS!O24</f>
        <v>4.8258064516129027</v>
      </c>
      <c r="I23" s="4">
        <f t="shared" si="0"/>
        <v>0</v>
      </c>
      <c r="J23" s="4">
        <f t="shared" si="1"/>
        <v>0</v>
      </c>
    </row>
    <row r="24" spans="1:11" x14ac:dyDescent="0.3">
      <c r="A24" s="106" t="s">
        <v>10</v>
      </c>
      <c r="B24" s="114">
        <v>0.12</v>
      </c>
      <c r="C24" s="107">
        <v>0.12</v>
      </c>
      <c r="D24" s="108"/>
      <c r="E24" s="108"/>
      <c r="F24" s="108"/>
      <c r="G24" s="108"/>
      <c r="H24" s="4">
        <f>PREÇOS!O25</f>
        <v>5.0999999999999996</v>
      </c>
      <c r="I24" s="4">
        <f t="shared" si="0"/>
        <v>0</v>
      </c>
      <c r="J24" s="4">
        <f t="shared" si="1"/>
        <v>0</v>
      </c>
    </row>
    <row r="25" spans="1:11" x14ac:dyDescent="0.3">
      <c r="A25" s="106" t="s">
        <v>128</v>
      </c>
      <c r="B25" s="114">
        <v>0.12</v>
      </c>
      <c r="C25" s="107">
        <v>0.12</v>
      </c>
      <c r="D25" s="108"/>
      <c r="E25" s="108"/>
      <c r="F25" s="108"/>
      <c r="G25" s="108"/>
      <c r="H25" s="4">
        <f>PREÇOS!O26</f>
        <v>5.0999999999999996</v>
      </c>
      <c r="I25" s="4">
        <f t="shared" si="0"/>
        <v>0</v>
      </c>
      <c r="J25" s="4">
        <f t="shared" si="1"/>
        <v>0</v>
      </c>
    </row>
    <row r="26" spans="1:11" x14ac:dyDescent="0.3">
      <c r="A26" s="106" t="s">
        <v>129</v>
      </c>
      <c r="B26" s="114">
        <v>7.0000000000000007E-2</v>
      </c>
      <c r="C26" s="107">
        <v>7.0000000000000007E-2</v>
      </c>
      <c r="D26" s="108"/>
      <c r="E26" s="108"/>
      <c r="F26" s="108"/>
      <c r="G26" s="108"/>
      <c r="H26" s="4">
        <f>PREÇOS!O27</f>
        <v>4.8258064516129027</v>
      </c>
      <c r="I26" s="4">
        <f t="shared" si="0"/>
        <v>0</v>
      </c>
      <c r="J26" s="4">
        <f t="shared" si="1"/>
        <v>0</v>
      </c>
    </row>
    <row r="27" spans="1:11" x14ac:dyDescent="0.3">
      <c r="A27" s="106" t="s">
        <v>130</v>
      </c>
      <c r="B27" s="114">
        <v>0.12</v>
      </c>
      <c r="C27" s="107">
        <v>0.18</v>
      </c>
      <c r="D27" s="108"/>
      <c r="E27" s="108"/>
      <c r="F27" s="108"/>
      <c r="G27" s="108"/>
      <c r="H27" s="4">
        <f>PREÇOS!O28</f>
        <v>5.0999999999999996</v>
      </c>
      <c r="I27" s="4">
        <f t="shared" si="0"/>
        <v>0</v>
      </c>
      <c r="J27" s="4">
        <f t="shared" si="1"/>
        <v>0</v>
      </c>
      <c r="K27" t="s">
        <v>134</v>
      </c>
    </row>
    <row r="28" spans="1:11" x14ac:dyDescent="0.3">
      <c r="A28" s="109" t="s">
        <v>131</v>
      </c>
      <c r="B28" s="88">
        <f>B27</f>
        <v>0.12</v>
      </c>
      <c r="C28" s="88">
        <f t="shared" ref="C28:G28" si="2">C27</f>
        <v>0.18</v>
      </c>
      <c r="D28" s="87">
        <f t="shared" si="2"/>
        <v>0</v>
      </c>
      <c r="E28" s="87">
        <f t="shared" si="2"/>
        <v>0</v>
      </c>
      <c r="F28" s="87">
        <f t="shared" si="2"/>
        <v>0</v>
      </c>
      <c r="G28" s="88">
        <f t="shared" si="2"/>
        <v>0</v>
      </c>
      <c r="H28" s="103">
        <f>PREÇOS!O29</f>
        <v>5.0999999999999996</v>
      </c>
      <c r="I28" s="103">
        <f t="shared" si="0"/>
        <v>0</v>
      </c>
      <c r="J28" s="103">
        <f t="shared" si="1"/>
        <v>0</v>
      </c>
    </row>
    <row r="29" spans="1:11" x14ac:dyDescent="0.3">
      <c r="A29" s="106" t="s">
        <v>132</v>
      </c>
      <c r="B29" s="114">
        <v>7.0000000000000007E-2</v>
      </c>
      <c r="C29" s="107">
        <v>7.0000000000000007E-2</v>
      </c>
      <c r="D29" s="108"/>
      <c r="E29" s="108"/>
      <c r="F29" s="108"/>
      <c r="G29" s="108"/>
      <c r="H29" s="4">
        <f>PREÇOS!O30</f>
        <v>4.8258064516129027</v>
      </c>
      <c r="I29" s="4">
        <f t="shared" si="0"/>
        <v>0</v>
      </c>
      <c r="J29" s="4">
        <f t="shared" si="1"/>
        <v>0</v>
      </c>
    </row>
    <row r="30" spans="1:11" x14ac:dyDescent="0.3">
      <c r="A30" s="3" t="s">
        <v>133</v>
      </c>
      <c r="H30" s="4">
        <f>PREÇOS!O31</f>
        <v>3.8003225806451608</v>
      </c>
      <c r="I30" s="4">
        <f t="shared" si="0"/>
        <v>0</v>
      </c>
      <c r="J30" s="4">
        <f t="shared" si="1"/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9BD3-A12A-424B-85BE-7C9AA4F772E4}">
  <dimension ref="A1:K30"/>
  <sheetViews>
    <sheetView showGridLines="0" zoomScale="91" zoomScaleNormal="91" workbookViewId="0">
      <pane xSplit="3" ySplit="1" topLeftCell="D17" activePane="bottomRight" state="frozen"/>
      <selection activeCell="F36" sqref="F36"/>
      <selection pane="topRight" activeCell="F36" sqref="F36"/>
      <selection pane="bottomLeft" activeCell="F36" sqref="F36"/>
      <selection pane="bottomRight" activeCell="F36" sqref="F36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6.88671875" bestFit="1" customWidth="1"/>
    <col min="6" max="6" width="20.5546875" bestFit="1" customWidth="1"/>
    <col min="7" max="7" width="21.5546875" bestFit="1" customWidth="1"/>
    <col min="8" max="8" width="8.5546875" bestFit="1" customWidth="1"/>
    <col min="9" max="9" width="12.5546875" bestFit="1" customWidth="1"/>
    <col min="10" max="10" width="13.5546875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06" t="s">
        <v>106</v>
      </c>
      <c r="B2" s="114">
        <v>7.0000000000000007E-2</v>
      </c>
      <c r="C2" s="114">
        <v>0.19</v>
      </c>
      <c r="D2" s="108"/>
      <c r="E2" s="108"/>
      <c r="F2" s="108"/>
      <c r="G2" s="108"/>
      <c r="H2" s="44">
        <f>PREÇOS!H3</f>
        <v>8.5047741935483874</v>
      </c>
      <c r="I2" s="41">
        <f t="shared" ref="I2:I26" si="0">IF(F2=0,,H2*(1+F2)*C2-(H2*B2))</f>
        <v>0</v>
      </c>
      <c r="J2" s="41">
        <f t="shared" ref="J2:J26" si="1">IF(G2=0,IF(F2=0,,H2*(1+F2)*C2-(H2*B2)),H2*(1+G2)*C2-(H2*B2))</f>
        <v>0</v>
      </c>
    </row>
    <row r="3" spans="1:10" x14ac:dyDescent="0.3">
      <c r="A3" s="109" t="s">
        <v>107</v>
      </c>
      <c r="B3" s="88">
        <v>7.0000000000000007E-2</v>
      </c>
      <c r="C3" s="88">
        <v>0.2</v>
      </c>
      <c r="D3" s="87"/>
      <c r="E3" s="87"/>
      <c r="F3" s="87">
        <v>0.51129999999999998</v>
      </c>
      <c r="G3" s="87"/>
      <c r="H3" s="44">
        <f>PREÇOS!H4</f>
        <v>8.5047741935483874</v>
      </c>
      <c r="I3" s="41">
        <f>IF(F3=0,,H3*(1+F3)*C3-(H3*B3))</f>
        <v>1.9753188541935482</v>
      </c>
      <c r="J3" s="41">
        <f t="shared" si="1"/>
        <v>1.9753188541935482</v>
      </c>
    </row>
    <row r="4" spans="1:10" x14ac:dyDescent="0.3">
      <c r="A4" s="106" t="s">
        <v>108</v>
      </c>
      <c r="B4" s="114">
        <v>7.0000000000000007E-2</v>
      </c>
      <c r="C4" s="114">
        <v>0.2</v>
      </c>
      <c r="D4" s="108"/>
      <c r="E4" s="108"/>
      <c r="F4" s="108"/>
      <c r="G4" s="108"/>
      <c r="H4" s="44">
        <f>PREÇOS!H5</f>
        <v>8.5047741935483874</v>
      </c>
      <c r="I4" s="41">
        <f t="shared" si="0"/>
        <v>0</v>
      </c>
      <c r="J4" s="41">
        <f t="shared" si="1"/>
        <v>0</v>
      </c>
    </row>
    <row r="5" spans="1:10" x14ac:dyDescent="0.3">
      <c r="A5" s="109" t="s">
        <v>109</v>
      </c>
      <c r="B5" s="88">
        <v>7.0000000000000007E-2</v>
      </c>
      <c r="C5" s="88">
        <v>0.18</v>
      </c>
      <c r="D5" s="87"/>
      <c r="E5" s="87"/>
      <c r="F5" s="87">
        <v>0.51980000000000004</v>
      </c>
      <c r="G5" s="87"/>
      <c r="H5" s="44">
        <f>PREÇOS!H6</f>
        <v>8.5047741935483874</v>
      </c>
      <c r="I5" s="41">
        <f t="shared" si="0"/>
        <v>1.7312658539354839</v>
      </c>
      <c r="J5" s="41">
        <f t="shared" si="1"/>
        <v>1.7312658539354839</v>
      </c>
    </row>
    <row r="6" spans="1:10" x14ac:dyDescent="0.3">
      <c r="A6" s="106" t="s">
        <v>110</v>
      </c>
      <c r="B6" s="114">
        <v>7.0000000000000007E-2</v>
      </c>
      <c r="C6" s="114">
        <v>0.19</v>
      </c>
      <c r="D6" s="108"/>
      <c r="E6" s="108"/>
      <c r="F6" s="108"/>
      <c r="G6" s="108"/>
      <c r="H6" s="44">
        <f>PREÇOS!H7</f>
        <v>8.5047741935483874</v>
      </c>
      <c r="I6" s="41">
        <f t="shared" si="0"/>
        <v>0</v>
      </c>
      <c r="J6" s="41">
        <f t="shared" si="1"/>
        <v>0</v>
      </c>
    </row>
    <row r="7" spans="1:10" x14ac:dyDescent="0.3">
      <c r="A7" s="106" t="s">
        <v>111</v>
      </c>
      <c r="B7" s="114">
        <v>7.0000000000000007E-2</v>
      </c>
      <c r="C7" s="114">
        <v>0.2</v>
      </c>
      <c r="D7" s="108"/>
      <c r="E7" s="108"/>
      <c r="F7" s="108"/>
      <c r="G7" s="108"/>
      <c r="H7" s="44">
        <f>PREÇOS!H8</f>
        <v>8.5047741935483874</v>
      </c>
      <c r="I7" s="41">
        <f t="shared" si="0"/>
        <v>0</v>
      </c>
      <c r="J7" s="41">
        <f t="shared" si="1"/>
        <v>0</v>
      </c>
    </row>
    <row r="8" spans="1:10" x14ac:dyDescent="0.3">
      <c r="A8" s="106" t="s">
        <v>112</v>
      </c>
      <c r="B8" s="114">
        <v>7.0000000000000007E-2</v>
      </c>
      <c r="C8" s="114">
        <v>0.18</v>
      </c>
      <c r="D8" s="108"/>
      <c r="E8" s="108"/>
      <c r="F8" s="108"/>
      <c r="G8" s="108"/>
      <c r="H8" s="44">
        <f>PREÇOS!H9</f>
        <v>8.5047741935483874</v>
      </c>
      <c r="I8" s="41">
        <f t="shared" si="0"/>
        <v>0</v>
      </c>
      <c r="J8" s="41">
        <f t="shared" si="1"/>
        <v>0</v>
      </c>
    </row>
    <row r="9" spans="1:10" x14ac:dyDescent="0.3">
      <c r="A9" s="106" t="s">
        <v>113</v>
      </c>
      <c r="B9" s="114">
        <v>7.0000000000000007E-2</v>
      </c>
      <c r="C9" s="114">
        <v>0.17</v>
      </c>
      <c r="D9" s="108"/>
      <c r="E9" s="108"/>
      <c r="F9" s="108"/>
      <c r="G9" s="108"/>
      <c r="H9" s="44">
        <f>PREÇOS!H10</f>
        <v>8.5047741935483874</v>
      </c>
      <c r="I9" s="41">
        <f t="shared" si="0"/>
        <v>0</v>
      </c>
      <c r="J9" s="41">
        <f t="shared" si="1"/>
        <v>0</v>
      </c>
    </row>
    <row r="10" spans="1:10" x14ac:dyDescent="0.3">
      <c r="A10" s="106" t="s">
        <v>114</v>
      </c>
      <c r="B10" s="114">
        <v>7.0000000000000007E-2</v>
      </c>
      <c r="C10" s="114">
        <v>0.17</v>
      </c>
      <c r="D10" s="108"/>
      <c r="E10" s="108"/>
      <c r="F10" s="108"/>
      <c r="G10" s="108"/>
      <c r="H10" s="44">
        <f>PREÇOS!H11</f>
        <v>8.5047741935483874</v>
      </c>
      <c r="I10" s="41">
        <f t="shared" si="0"/>
        <v>0</v>
      </c>
      <c r="J10" s="41">
        <f t="shared" si="1"/>
        <v>0</v>
      </c>
    </row>
    <row r="11" spans="1:10" x14ac:dyDescent="0.3">
      <c r="A11" s="106" t="s">
        <v>115</v>
      </c>
      <c r="B11" s="114">
        <v>7.0000000000000007E-2</v>
      </c>
      <c r="C11" s="114">
        <v>0.2</v>
      </c>
      <c r="D11" s="108"/>
      <c r="E11" s="108"/>
      <c r="F11" s="108"/>
      <c r="G11" s="108"/>
      <c r="H11" s="44">
        <f>PREÇOS!H12</f>
        <v>8.5047741935483874</v>
      </c>
      <c r="I11" s="41">
        <f t="shared" si="0"/>
        <v>0</v>
      </c>
      <c r="J11" s="41">
        <f t="shared" si="1"/>
        <v>0</v>
      </c>
    </row>
    <row r="12" spans="1:10" x14ac:dyDescent="0.3">
      <c r="A12" s="109" t="s">
        <v>116</v>
      </c>
      <c r="B12" s="88">
        <v>0.12</v>
      </c>
      <c r="C12" s="88">
        <v>0.12</v>
      </c>
      <c r="D12" s="87"/>
      <c r="E12" s="87"/>
      <c r="F12" s="87">
        <v>0.25</v>
      </c>
      <c r="G12" s="87"/>
      <c r="H12" s="84">
        <f>PREÇOS!H13</f>
        <v>8.9880000000000013</v>
      </c>
      <c r="I12" s="86">
        <f t="shared" si="0"/>
        <v>0.26963999999999988</v>
      </c>
      <c r="J12" s="86">
        <f t="shared" si="1"/>
        <v>0.26963999999999988</v>
      </c>
    </row>
    <row r="13" spans="1:10" x14ac:dyDescent="0.3">
      <c r="A13" s="106" t="s">
        <v>117</v>
      </c>
      <c r="B13" s="114">
        <v>7.0000000000000007E-2</v>
      </c>
      <c r="C13" s="114">
        <v>0.17</v>
      </c>
      <c r="D13" s="108"/>
      <c r="E13" s="108"/>
      <c r="F13" s="108"/>
      <c r="G13" s="108"/>
      <c r="H13" s="44">
        <f>PREÇOS!H14</f>
        <v>8.5047741935483874</v>
      </c>
      <c r="I13" s="41">
        <f t="shared" si="0"/>
        <v>0</v>
      </c>
      <c r="J13" s="41">
        <f t="shared" si="1"/>
        <v>0</v>
      </c>
    </row>
    <row r="14" spans="1:10" x14ac:dyDescent="0.3">
      <c r="A14" s="109" t="s">
        <v>118</v>
      </c>
      <c r="B14" s="88">
        <v>7.0000000000000007E-2</v>
      </c>
      <c r="C14" s="88">
        <v>0.17</v>
      </c>
      <c r="D14" s="87"/>
      <c r="E14" s="87"/>
      <c r="F14" s="87">
        <v>0.39779999999999999</v>
      </c>
      <c r="G14" s="87"/>
      <c r="H14" s="44">
        <f>PREÇOS!H15</f>
        <v>8.5047741935483874</v>
      </c>
      <c r="I14" s="41">
        <f t="shared" si="0"/>
        <v>1.425621278967742</v>
      </c>
      <c r="J14" s="41">
        <f t="shared" si="1"/>
        <v>1.425621278967742</v>
      </c>
    </row>
    <row r="15" spans="1:10" x14ac:dyDescent="0.3">
      <c r="A15" s="106" t="s">
        <v>119</v>
      </c>
      <c r="B15" s="114">
        <v>7.0000000000000007E-2</v>
      </c>
      <c r="C15" s="114">
        <v>0.19</v>
      </c>
      <c r="D15" s="108"/>
      <c r="E15" s="108"/>
      <c r="F15" s="108"/>
      <c r="G15" s="108"/>
      <c r="H15" s="44">
        <f>PREÇOS!H16</f>
        <v>8.5047741935483874</v>
      </c>
      <c r="I15" s="41">
        <f t="shared" si="0"/>
        <v>0</v>
      </c>
      <c r="J15" s="41">
        <f t="shared" si="1"/>
        <v>0</v>
      </c>
    </row>
    <row r="16" spans="1:10" x14ac:dyDescent="0.3">
      <c r="A16" s="106" t="s">
        <v>120</v>
      </c>
      <c r="B16" s="114">
        <v>7.0000000000000007E-2</v>
      </c>
      <c r="C16" s="114">
        <v>0.18</v>
      </c>
      <c r="D16" s="108"/>
      <c r="E16" s="108"/>
      <c r="F16" s="108"/>
      <c r="G16" s="108"/>
      <c r="H16" s="44">
        <f>PREÇOS!H17</f>
        <v>8.5047741935483874</v>
      </c>
      <c r="I16" s="41">
        <f t="shared" si="0"/>
        <v>0</v>
      </c>
      <c r="J16" s="41">
        <f t="shared" si="1"/>
        <v>0</v>
      </c>
    </row>
    <row r="17" spans="1:11" x14ac:dyDescent="0.3">
      <c r="A17" s="106" t="s">
        <v>121</v>
      </c>
      <c r="B17" s="114">
        <v>7.0000000000000007E-2</v>
      </c>
      <c r="C17" s="114">
        <v>0.18</v>
      </c>
      <c r="D17" s="108"/>
      <c r="E17" s="108"/>
      <c r="F17" s="108"/>
      <c r="G17" s="108"/>
      <c r="H17" s="44">
        <f>PREÇOS!H18</f>
        <v>8.5047741935483874</v>
      </c>
      <c r="I17" s="41">
        <f t="shared" si="0"/>
        <v>0</v>
      </c>
      <c r="J17" s="41">
        <f t="shared" si="1"/>
        <v>0</v>
      </c>
    </row>
    <row r="18" spans="1:11" x14ac:dyDescent="0.3">
      <c r="A18" s="106" t="s">
        <v>122</v>
      </c>
      <c r="B18" s="114">
        <v>7.0000000000000007E-2</v>
      </c>
      <c r="C18" s="114">
        <v>0.21</v>
      </c>
      <c r="D18" s="108"/>
      <c r="E18" s="108"/>
      <c r="F18" s="108"/>
      <c r="G18" s="108"/>
      <c r="H18" s="44">
        <f>PREÇOS!H19</f>
        <v>8.5047741935483874</v>
      </c>
      <c r="I18" s="41">
        <f t="shared" si="0"/>
        <v>0</v>
      </c>
      <c r="J18" s="41">
        <f t="shared" si="1"/>
        <v>0</v>
      </c>
    </row>
    <row r="19" spans="1:11" x14ac:dyDescent="0.3">
      <c r="A19" s="106" t="s">
        <v>123</v>
      </c>
      <c r="B19" s="114">
        <v>0.12</v>
      </c>
      <c r="C19" s="114">
        <v>0.12</v>
      </c>
      <c r="D19" s="108"/>
      <c r="E19" s="108"/>
      <c r="F19" s="108"/>
      <c r="G19" s="108"/>
      <c r="H19" s="84">
        <f>PREÇOS!H20</f>
        <v>8.9880000000000013</v>
      </c>
      <c r="I19" s="86">
        <f t="shared" si="0"/>
        <v>0</v>
      </c>
      <c r="J19" s="86">
        <f t="shared" si="1"/>
        <v>0</v>
      </c>
    </row>
    <row r="20" spans="1:11" x14ac:dyDescent="0.3">
      <c r="A20" s="109" t="s">
        <v>124</v>
      </c>
      <c r="B20" s="88">
        <v>0.12</v>
      </c>
      <c r="C20" s="88">
        <v>0.22</v>
      </c>
      <c r="D20" s="87"/>
      <c r="E20" s="87"/>
      <c r="F20" s="87">
        <v>0.52529999999999999</v>
      </c>
      <c r="G20" s="87"/>
      <c r="H20" s="84">
        <f>PREÇOS!H21</f>
        <v>8.9880000000000013</v>
      </c>
      <c r="I20" s="86">
        <f t="shared" si="0"/>
        <v>1.9375072080000006</v>
      </c>
      <c r="J20" s="86">
        <f t="shared" si="1"/>
        <v>1.9375072080000006</v>
      </c>
    </row>
    <row r="21" spans="1:11" x14ac:dyDescent="0.3">
      <c r="A21" s="106" t="s">
        <v>125</v>
      </c>
      <c r="B21" s="114">
        <v>7.0000000000000007E-2</v>
      </c>
      <c r="C21" s="114">
        <v>0.2</v>
      </c>
      <c r="D21" s="108"/>
      <c r="E21" s="108"/>
      <c r="F21" s="108"/>
      <c r="G21" s="108"/>
      <c r="H21" s="44">
        <f>PREÇOS!H22</f>
        <v>8.5047741935483874</v>
      </c>
      <c r="I21" s="41">
        <f t="shared" si="0"/>
        <v>0</v>
      </c>
      <c r="J21" s="41">
        <f t="shared" si="1"/>
        <v>0</v>
      </c>
    </row>
    <row r="22" spans="1:11" x14ac:dyDescent="0.3">
      <c r="A22" s="106" t="s">
        <v>126</v>
      </c>
      <c r="B22" s="114">
        <v>7.0000000000000007E-2</v>
      </c>
      <c r="C22" s="114">
        <v>0.17499999999999999</v>
      </c>
      <c r="D22" s="108"/>
      <c r="E22" s="108"/>
      <c r="F22" s="108"/>
      <c r="G22" s="108"/>
      <c r="H22" s="44">
        <f>PREÇOS!H23</f>
        <v>8.5047741935483874</v>
      </c>
      <c r="I22" s="41">
        <f t="shared" si="0"/>
        <v>0</v>
      </c>
      <c r="J22" s="41">
        <f t="shared" si="1"/>
        <v>0</v>
      </c>
    </row>
    <row r="23" spans="1:11" x14ac:dyDescent="0.3">
      <c r="A23" s="106" t="s">
        <v>127</v>
      </c>
      <c r="B23" s="114">
        <v>7.0000000000000007E-2</v>
      </c>
      <c r="C23" s="114">
        <v>0.2</v>
      </c>
      <c r="D23" s="108"/>
      <c r="E23" s="108"/>
      <c r="F23" s="108"/>
      <c r="G23" s="108"/>
      <c r="H23" s="44">
        <f>PREÇOS!H24</f>
        <v>8.5047741935483874</v>
      </c>
      <c r="I23" s="41">
        <f t="shared" si="0"/>
        <v>0</v>
      </c>
      <c r="J23" s="41">
        <f t="shared" si="1"/>
        <v>0</v>
      </c>
    </row>
    <row r="24" spans="1:11" x14ac:dyDescent="0.3">
      <c r="A24" s="106" t="s">
        <v>10</v>
      </c>
      <c r="B24" s="114">
        <v>0.12</v>
      </c>
      <c r="C24" s="114">
        <v>0.17</v>
      </c>
      <c r="D24" s="108"/>
      <c r="E24" s="108"/>
      <c r="F24" s="108"/>
      <c r="G24" s="108"/>
      <c r="H24" s="84">
        <f>PREÇOS!H25</f>
        <v>8.9880000000000013</v>
      </c>
      <c r="I24" s="86">
        <f t="shared" si="0"/>
        <v>0</v>
      </c>
      <c r="J24" s="86">
        <f t="shared" si="1"/>
        <v>0</v>
      </c>
    </row>
    <row r="25" spans="1:11" x14ac:dyDescent="0.3">
      <c r="A25" s="106" t="s">
        <v>128</v>
      </c>
      <c r="B25" s="114">
        <v>0.12</v>
      </c>
      <c r="C25" s="114">
        <v>0.17</v>
      </c>
      <c r="D25" s="108"/>
      <c r="E25" s="108"/>
      <c r="F25" s="108"/>
      <c r="G25" s="108"/>
      <c r="H25" s="84">
        <f>PREÇOS!H26</f>
        <v>8.9880000000000013</v>
      </c>
      <c r="I25" s="86">
        <f t="shared" si="0"/>
        <v>0</v>
      </c>
      <c r="J25" s="86">
        <f t="shared" si="1"/>
        <v>0</v>
      </c>
    </row>
    <row r="26" spans="1:11" x14ac:dyDescent="0.3">
      <c r="A26" s="106" t="s">
        <v>129</v>
      </c>
      <c r="B26" s="114">
        <v>7.0000000000000007E-2</v>
      </c>
      <c r="C26" s="114">
        <v>0.2</v>
      </c>
      <c r="D26" s="108"/>
      <c r="E26" s="108"/>
      <c r="F26" s="108"/>
      <c r="G26" s="108"/>
      <c r="H26" s="44">
        <f>PREÇOS!H27</f>
        <v>8.5047741935483874</v>
      </c>
      <c r="I26" s="41">
        <f t="shared" si="0"/>
        <v>0</v>
      </c>
      <c r="J26" s="41">
        <f t="shared" si="1"/>
        <v>0</v>
      </c>
    </row>
    <row r="27" spans="1:11" x14ac:dyDescent="0.3">
      <c r="A27" s="109" t="s">
        <v>130</v>
      </c>
      <c r="B27" s="88">
        <v>0.12</v>
      </c>
      <c r="C27" s="88">
        <v>0.18</v>
      </c>
      <c r="D27" s="87">
        <v>0.60770000000000002</v>
      </c>
      <c r="E27" s="87"/>
      <c r="F27" s="87">
        <v>0.60770000000000002</v>
      </c>
      <c r="G27" s="87"/>
      <c r="H27" s="84">
        <f>PREÇOS!H28</f>
        <v>8.9880000000000013</v>
      </c>
      <c r="I27" s="86">
        <f t="shared" ref="I27:I29" si="2">IF(F27=0,,H27*(1+F27)*C27-(H27*B27))</f>
        <v>1.5224413679999997</v>
      </c>
      <c r="J27" s="86">
        <f t="shared" ref="J27:J29" si="3">IF(G27=0,IF(F27=0,,H27*(1+F27)*C27-(H27*B27)),H27*(1+G27)*C27-(H27*B27))</f>
        <v>1.5224413679999997</v>
      </c>
      <c r="K27" s="148">
        <f>J27/H27</f>
        <v>0.16938599999999995</v>
      </c>
    </row>
    <row r="28" spans="1:11" x14ac:dyDescent="0.3">
      <c r="A28" s="109" t="s">
        <v>131</v>
      </c>
      <c r="B28" s="88">
        <f>B27</f>
        <v>0.12</v>
      </c>
      <c r="C28" s="88">
        <f t="shared" ref="C28:G28" si="4">C27</f>
        <v>0.18</v>
      </c>
      <c r="D28" s="87">
        <v>0.60770000000000002</v>
      </c>
      <c r="E28" s="87">
        <f t="shared" si="4"/>
        <v>0</v>
      </c>
      <c r="F28" s="87">
        <v>0.60770000000000002</v>
      </c>
      <c r="G28" s="88">
        <f t="shared" si="4"/>
        <v>0</v>
      </c>
      <c r="H28" s="104">
        <f>PREÇOS!H29</f>
        <v>8.9880000000000013</v>
      </c>
      <c r="I28" s="103">
        <f t="shared" si="2"/>
        <v>1.5224413679999997</v>
      </c>
      <c r="J28" s="103">
        <f t="shared" si="3"/>
        <v>1.5224413679999997</v>
      </c>
    </row>
    <row r="29" spans="1:11" x14ac:dyDescent="0.3">
      <c r="A29" s="106" t="s">
        <v>132</v>
      </c>
      <c r="B29" s="114">
        <v>7.0000000000000007E-2</v>
      </c>
      <c r="C29" s="114">
        <v>0.2</v>
      </c>
      <c r="D29" s="108"/>
      <c r="E29" s="108"/>
      <c r="F29" s="108"/>
      <c r="G29" s="108"/>
      <c r="H29" s="44">
        <f>PREÇOS!H30</f>
        <v>8.5047741935483874</v>
      </c>
      <c r="I29" s="41">
        <f t="shared" si="2"/>
        <v>0</v>
      </c>
      <c r="J29" s="41">
        <f t="shared" si="3"/>
        <v>0</v>
      </c>
    </row>
    <row r="30" spans="1:11" x14ac:dyDescent="0.3">
      <c r="A30" t="s">
        <v>133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0F1F-1B27-4A9E-9BAE-087574B26674}">
  <dimension ref="A1:J30"/>
  <sheetViews>
    <sheetView showGridLines="0" topLeftCell="A2" zoomScale="91" zoomScaleNormal="91" workbookViewId="0">
      <selection activeCell="I19" sqref="I19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06" t="s">
        <v>106</v>
      </c>
      <c r="B2" s="114">
        <v>7.0000000000000007E-2</v>
      </c>
      <c r="C2" s="114">
        <v>0.17</v>
      </c>
      <c r="D2" s="108"/>
      <c r="E2" s="108"/>
      <c r="F2" s="108"/>
      <c r="G2" s="108"/>
      <c r="H2" s="7">
        <f>PREÇOS!G3</f>
        <v>7.05</v>
      </c>
      <c r="I2" s="82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3">
      <c r="A3" s="106" t="s">
        <v>107</v>
      </c>
      <c r="B3" s="114">
        <v>7.0000000000000007E-2</v>
      </c>
      <c r="C3" s="114">
        <v>0.2</v>
      </c>
      <c r="D3" s="108"/>
      <c r="E3" s="108"/>
      <c r="F3" s="108">
        <v>0.71</v>
      </c>
      <c r="G3" s="108"/>
      <c r="H3" s="7">
        <f>PREÇOS!G4</f>
        <v>7.05</v>
      </c>
      <c r="I3" s="82">
        <f>IF(F3=0,,H3*(1+F3)*C3-(H3*B3))</f>
        <v>1.9176000000000002</v>
      </c>
      <c r="J3" s="4">
        <f t="shared" si="1"/>
        <v>1.9176000000000002</v>
      </c>
    </row>
    <row r="4" spans="1:10" x14ac:dyDescent="0.3">
      <c r="A4" s="106" t="s">
        <v>108</v>
      </c>
      <c r="B4" s="114">
        <v>7.0000000000000007E-2</v>
      </c>
      <c r="C4" s="114">
        <v>0.2</v>
      </c>
      <c r="D4" s="108"/>
      <c r="E4" s="108"/>
      <c r="F4" s="108">
        <v>0.55379999999999996</v>
      </c>
      <c r="G4" s="108"/>
      <c r="H4" s="7">
        <f>PREÇOS!G5</f>
        <v>7.05</v>
      </c>
      <c r="I4" s="82">
        <f>IF(F4=0,,H4*(1+F4)*C4-(H4*B4))</f>
        <v>1.6973579999999999</v>
      </c>
      <c r="J4" s="4">
        <f t="shared" si="1"/>
        <v>1.6973579999999999</v>
      </c>
    </row>
    <row r="5" spans="1:10" x14ac:dyDescent="0.3">
      <c r="A5" s="106" t="s">
        <v>109</v>
      </c>
      <c r="B5" s="114">
        <v>7.0000000000000007E-2</v>
      </c>
      <c r="C5" s="114">
        <v>0.18</v>
      </c>
      <c r="D5" s="108"/>
      <c r="E5" s="108"/>
      <c r="F5" s="108"/>
      <c r="G5" s="108"/>
      <c r="H5" s="7">
        <f>PREÇOS!G6</f>
        <v>7.05</v>
      </c>
      <c r="I5" s="82">
        <f t="shared" si="0"/>
        <v>0</v>
      </c>
      <c r="J5" s="4">
        <f t="shared" si="1"/>
        <v>0</v>
      </c>
    </row>
    <row r="6" spans="1:10" x14ac:dyDescent="0.3">
      <c r="A6" s="106" t="s">
        <v>110</v>
      </c>
      <c r="B6" s="114">
        <v>7.0000000000000007E-2</v>
      </c>
      <c r="C6" s="114">
        <v>0.19</v>
      </c>
      <c r="D6" s="108"/>
      <c r="E6" s="108"/>
      <c r="F6" s="108"/>
      <c r="G6" s="108"/>
      <c r="H6" s="7">
        <f>PREÇOS!G7</f>
        <v>7.05</v>
      </c>
      <c r="I6" s="82">
        <f t="shared" si="0"/>
        <v>0</v>
      </c>
      <c r="J6" s="4">
        <f t="shared" si="1"/>
        <v>0</v>
      </c>
    </row>
    <row r="7" spans="1:10" x14ac:dyDescent="0.3">
      <c r="A7" s="106" t="s">
        <v>111</v>
      </c>
      <c r="B7" s="114">
        <v>7.0000000000000007E-2</v>
      </c>
      <c r="C7" s="114">
        <v>0.2</v>
      </c>
      <c r="D7" s="108"/>
      <c r="E7" s="108"/>
      <c r="F7" s="108"/>
      <c r="G7" s="108"/>
      <c r="H7" s="7">
        <f>PREÇOS!G8</f>
        <v>7.05</v>
      </c>
      <c r="I7" s="82">
        <f t="shared" si="0"/>
        <v>0</v>
      </c>
      <c r="J7" s="4">
        <f t="shared" si="1"/>
        <v>0</v>
      </c>
    </row>
    <row r="8" spans="1:10" x14ac:dyDescent="0.3">
      <c r="A8" s="106" t="s">
        <v>112</v>
      </c>
      <c r="B8" s="114">
        <v>7.0000000000000007E-2</v>
      </c>
      <c r="C8" s="114">
        <v>0.18</v>
      </c>
      <c r="D8" s="108"/>
      <c r="E8" s="108"/>
      <c r="F8" s="108"/>
      <c r="G8" s="108"/>
      <c r="H8" s="7">
        <f>PREÇOS!G9</f>
        <v>7.05</v>
      </c>
      <c r="I8" s="82">
        <f t="shared" si="0"/>
        <v>0</v>
      </c>
      <c r="J8" s="4">
        <f t="shared" si="1"/>
        <v>0</v>
      </c>
    </row>
    <row r="9" spans="1:10" x14ac:dyDescent="0.3">
      <c r="A9" s="106" t="s">
        <v>113</v>
      </c>
      <c r="B9" s="114">
        <v>7.0000000000000007E-2</v>
      </c>
      <c r="C9" s="114">
        <v>0.17</v>
      </c>
      <c r="D9" s="108"/>
      <c r="E9" s="108"/>
      <c r="F9" s="108"/>
      <c r="G9" s="108"/>
      <c r="H9" s="7">
        <f>PREÇOS!G10</f>
        <v>7.05</v>
      </c>
      <c r="I9" s="82">
        <f t="shared" si="0"/>
        <v>0</v>
      </c>
      <c r="J9" s="4">
        <f t="shared" si="1"/>
        <v>0</v>
      </c>
    </row>
    <row r="10" spans="1:10" x14ac:dyDescent="0.3">
      <c r="A10" s="106" t="s">
        <v>114</v>
      </c>
      <c r="B10" s="114">
        <v>7.0000000000000007E-2</v>
      </c>
      <c r="C10" s="114">
        <v>0.17</v>
      </c>
      <c r="D10" s="108"/>
      <c r="E10" s="108"/>
      <c r="F10" s="108"/>
      <c r="G10" s="108"/>
      <c r="H10" s="7">
        <f>PREÇOS!G11</f>
        <v>7.05</v>
      </c>
      <c r="I10" s="82">
        <f t="shared" si="0"/>
        <v>0</v>
      </c>
      <c r="J10" s="4">
        <f t="shared" si="1"/>
        <v>0</v>
      </c>
    </row>
    <row r="11" spans="1:10" x14ac:dyDescent="0.3">
      <c r="A11" s="106" t="s">
        <v>115</v>
      </c>
      <c r="B11" s="114">
        <v>7.0000000000000007E-2</v>
      </c>
      <c r="C11" s="114">
        <v>0.2</v>
      </c>
      <c r="D11" s="108"/>
      <c r="E11" s="108"/>
      <c r="F11" s="108"/>
      <c r="G11" s="108"/>
      <c r="H11" s="7">
        <f>PREÇOS!G12</f>
        <v>7.05</v>
      </c>
      <c r="I11" s="82">
        <f t="shared" si="0"/>
        <v>0</v>
      </c>
      <c r="J11" s="4">
        <f t="shared" si="1"/>
        <v>0</v>
      </c>
    </row>
    <row r="12" spans="1:10" x14ac:dyDescent="0.3">
      <c r="A12" s="106" t="s">
        <v>116</v>
      </c>
      <c r="B12" s="114">
        <v>0.12</v>
      </c>
      <c r="C12" s="114">
        <v>0.18</v>
      </c>
      <c r="D12" s="108"/>
      <c r="E12" s="108"/>
      <c r="F12" s="108">
        <v>0.44879999999999998</v>
      </c>
      <c r="G12" s="108"/>
      <c r="H12" s="84">
        <f>PREÇOS!G13</f>
        <v>7.5</v>
      </c>
      <c r="I12" s="85">
        <f t="shared" si="0"/>
        <v>1.0558799999999999</v>
      </c>
      <c r="J12" s="86">
        <f t="shared" si="1"/>
        <v>1.0558799999999999</v>
      </c>
    </row>
    <row r="13" spans="1:10" x14ac:dyDescent="0.3">
      <c r="A13" s="106" t="s">
        <v>117</v>
      </c>
      <c r="B13" s="114">
        <v>7.0000000000000007E-2</v>
      </c>
      <c r="C13" s="114">
        <v>0.17</v>
      </c>
      <c r="D13" s="108"/>
      <c r="E13" s="108"/>
      <c r="F13" s="108"/>
      <c r="G13" s="108"/>
      <c r="H13" s="7">
        <f>PREÇOS!G14</f>
        <v>7.05</v>
      </c>
      <c r="I13" s="82">
        <f t="shared" si="0"/>
        <v>0</v>
      </c>
      <c r="J13" s="4">
        <f t="shared" si="1"/>
        <v>0</v>
      </c>
    </row>
    <row r="14" spans="1:10" x14ac:dyDescent="0.3">
      <c r="A14" s="106" t="s">
        <v>118</v>
      </c>
      <c r="B14" s="114">
        <v>7.0000000000000007E-2</v>
      </c>
      <c r="C14" s="114">
        <v>0.17</v>
      </c>
      <c r="D14" s="108"/>
      <c r="E14" s="108"/>
      <c r="F14" s="108">
        <v>0.45519999999999999</v>
      </c>
      <c r="G14" s="108"/>
      <c r="H14" s="7">
        <f>PREÇOS!G15</f>
        <v>7.05</v>
      </c>
      <c r="I14" s="82">
        <f t="shared" si="0"/>
        <v>1.2505572</v>
      </c>
      <c r="J14" s="4">
        <f t="shared" si="1"/>
        <v>1.2505572</v>
      </c>
    </row>
    <row r="15" spans="1:10" x14ac:dyDescent="0.3">
      <c r="A15" s="106" t="s">
        <v>119</v>
      </c>
      <c r="B15" s="114">
        <v>7.0000000000000007E-2</v>
      </c>
      <c r="C15" s="114">
        <v>0.19</v>
      </c>
      <c r="D15" s="108"/>
      <c r="E15" s="108"/>
      <c r="F15" s="108"/>
      <c r="G15" s="108"/>
      <c r="H15" s="7">
        <f>PREÇOS!G16</f>
        <v>7.05</v>
      </c>
      <c r="I15" s="82">
        <f t="shared" si="0"/>
        <v>0</v>
      </c>
      <c r="J15" s="4">
        <f t="shared" si="1"/>
        <v>0</v>
      </c>
    </row>
    <row r="16" spans="1:10" x14ac:dyDescent="0.3">
      <c r="A16" s="106" t="s">
        <v>120</v>
      </c>
      <c r="B16" s="114">
        <v>7.0000000000000007E-2</v>
      </c>
      <c r="C16" s="114">
        <v>0.18</v>
      </c>
      <c r="D16" s="108"/>
      <c r="E16" s="108"/>
      <c r="F16" s="108"/>
      <c r="G16" s="108"/>
      <c r="H16" s="7">
        <f>PREÇOS!G17</f>
        <v>7.05</v>
      </c>
      <c r="I16" s="82">
        <f t="shared" si="0"/>
        <v>0</v>
      </c>
      <c r="J16" s="4">
        <f t="shared" si="1"/>
        <v>0</v>
      </c>
    </row>
    <row r="17" spans="1:10" x14ac:dyDescent="0.3">
      <c r="A17" s="106" t="s">
        <v>121</v>
      </c>
      <c r="B17" s="114">
        <v>7.0000000000000007E-2</v>
      </c>
      <c r="C17" s="114">
        <v>0.18</v>
      </c>
      <c r="D17" s="108"/>
      <c r="E17" s="108"/>
      <c r="F17" s="108"/>
      <c r="G17" s="108"/>
      <c r="H17" s="7">
        <f>PREÇOS!G18</f>
        <v>7.05</v>
      </c>
      <c r="I17" s="82">
        <f t="shared" si="0"/>
        <v>0</v>
      </c>
      <c r="J17" s="4">
        <f t="shared" si="1"/>
        <v>0</v>
      </c>
    </row>
    <row r="18" spans="1:10" x14ac:dyDescent="0.3">
      <c r="A18" s="106" t="s">
        <v>122</v>
      </c>
      <c r="B18" s="114">
        <v>7.0000000000000007E-2</v>
      </c>
      <c r="C18" s="114">
        <v>0.21</v>
      </c>
      <c r="D18" s="108"/>
      <c r="E18" s="108"/>
      <c r="F18" s="108"/>
      <c r="G18" s="108"/>
      <c r="H18" s="7">
        <f>PREÇOS!G19</f>
        <v>7.05</v>
      </c>
      <c r="I18" s="82">
        <f t="shared" si="0"/>
        <v>0</v>
      </c>
      <c r="J18" s="4">
        <f t="shared" si="1"/>
        <v>0</v>
      </c>
    </row>
    <row r="19" spans="1:10" x14ac:dyDescent="0.3">
      <c r="A19" s="106" t="s">
        <v>123</v>
      </c>
      <c r="B19" s="114">
        <v>0.12</v>
      </c>
      <c r="C19" s="114">
        <v>0.19500000000000001</v>
      </c>
      <c r="D19" s="108"/>
      <c r="E19" s="108"/>
      <c r="F19" s="108">
        <v>0.60799999999999998</v>
      </c>
      <c r="G19" s="108"/>
      <c r="H19" s="84">
        <f>PREÇOS!G20</f>
        <v>7.5</v>
      </c>
      <c r="I19" s="85">
        <f>IF(F19=0,,H19*(1+F19)*C19-(H19*B19))</f>
        <v>1.4517000000000002</v>
      </c>
      <c r="J19" s="86">
        <f t="shared" si="1"/>
        <v>1.4517000000000002</v>
      </c>
    </row>
    <row r="20" spans="1:10" x14ac:dyDescent="0.3">
      <c r="A20" s="106" t="s">
        <v>124</v>
      </c>
      <c r="B20" s="114">
        <v>0.12</v>
      </c>
      <c r="C20" s="114">
        <v>0.22</v>
      </c>
      <c r="D20" s="108"/>
      <c r="E20" s="108"/>
      <c r="F20" s="108">
        <v>0.54730000000000001</v>
      </c>
      <c r="G20" s="108"/>
      <c r="H20" s="84">
        <f>PREÇOS!G21</f>
        <v>7.5</v>
      </c>
      <c r="I20" s="85">
        <f t="shared" si="0"/>
        <v>1.6530450000000001</v>
      </c>
      <c r="J20" s="86">
        <f t="shared" si="1"/>
        <v>1.6530450000000001</v>
      </c>
    </row>
    <row r="21" spans="1:10" x14ac:dyDescent="0.3">
      <c r="A21" s="106" t="s">
        <v>125</v>
      </c>
      <c r="B21" s="114">
        <v>7.0000000000000007E-2</v>
      </c>
      <c r="C21" s="114">
        <v>0.2</v>
      </c>
      <c r="D21" s="108"/>
      <c r="E21" s="108"/>
      <c r="F21" s="108"/>
      <c r="G21" s="108"/>
      <c r="H21" s="7">
        <f>PREÇOS!G22</f>
        <v>7.05</v>
      </c>
      <c r="I21" s="82">
        <f t="shared" si="0"/>
        <v>0</v>
      </c>
      <c r="J21" s="4">
        <f t="shared" si="1"/>
        <v>0</v>
      </c>
    </row>
    <row r="22" spans="1:10" x14ac:dyDescent="0.3">
      <c r="A22" s="106" t="s">
        <v>126</v>
      </c>
      <c r="B22" s="114">
        <v>7.0000000000000007E-2</v>
      </c>
      <c r="C22" s="114">
        <v>0.17499999999999999</v>
      </c>
      <c r="D22" s="108"/>
      <c r="E22" s="108"/>
      <c r="F22" s="108"/>
      <c r="G22" s="108"/>
      <c r="H22" s="7">
        <f>PREÇOS!G23</f>
        <v>7.05</v>
      </c>
      <c r="I22" s="82">
        <f t="shared" si="0"/>
        <v>0</v>
      </c>
      <c r="J22" s="4">
        <f t="shared" si="1"/>
        <v>0</v>
      </c>
    </row>
    <row r="23" spans="1:10" x14ac:dyDescent="0.3">
      <c r="A23" s="106" t="s">
        <v>127</v>
      </c>
      <c r="B23" s="114">
        <v>7.0000000000000007E-2</v>
      </c>
      <c r="C23" s="114">
        <v>0.2</v>
      </c>
      <c r="D23" s="108"/>
      <c r="E23" s="108"/>
      <c r="F23" s="108"/>
      <c r="G23" s="108"/>
      <c r="H23" s="7">
        <f>PREÇOS!G24</f>
        <v>7.05</v>
      </c>
      <c r="I23" s="82">
        <f t="shared" si="0"/>
        <v>0</v>
      </c>
      <c r="J23" s="4">
        <f t="shared" si="1"/>
        <v>0</v>
      </c>
    </row>
    <row r="24" spans="1:10" x14ac:dyDescent="0.3">
      <c r="A24" s="106" t="s">
        <v>10</v>
      </c>
      <c r="B24" s="114">
        <v>0.12</v>
      </c>
      <c r="C24" s="114">
        <v>0.17</v>
      </c>
      <c r="D24" s="108"/>
      <c r="E24" s="108"/>
      <c r="F24" s="108"/>
      <c r="G24" s="108"/>
      <c r="H24" s="84">
        <f>PREÇOS!G25</f>
        <v>7.5</v>
      </c>
      <c r="I24" s="85">
        <f t="shared" si="0"/>
        <v>0</v>
      </c>
      <c r="J24" s="86">
        <f t="shared" si="1"/>
        <v>0</v>
      </c>
    </row>
    <row r="25" spans="1:10" x14ac:dyDescent="0.3">
      <c r="A25" s="106" t="s">
        <v>128</v>
      </c>
      <c r="B25" s="114">
        <v>0.12</v>
      </c>
      <c r="C25" s="114">
        <v>0.17</v>
      </c>
      <c r="D25" s="108"/>
      <c r="E25" s="108"/>
      <c r="F25" s="108"/>
      <c r="G25" s="108"/>
      <c r="H25" s="84">
        <f>PREÇOS!G26</f>
        <v>7.5</v>
      </c>
      <c r="I25" s="85">
        <f t="shared" si="0"/>
        <v>0</v>
      </c>
      <c r="J25" s="86">
        <f t="shared" si="1"/>
        <v>0</v>
      </c>
    </row>
    <row r="26" spans="1:10" x14ac:dyDescent="0.3">
      <c r="A26" s="106" t="s">
        <v>129</v>
      </c>
      <c r="B26" s="114">
        <v>7.0000000000000007E-2</v>
      </c>
      <c r="C26" s="114">
        <v>0.2</v>
      </c>
      <c r="D26" s="108"/>
      <c r="E26" s="108"/>
      <c r="F26" s="108"/>
      <c r="G26" s="108"/>
      <c r="H26" s="7">
        <f>PREÇOS!G27</f>
        <v>7.05</v>
      </c>
      <c r="I26" s="83">
        <f t="shared" si="0"/>
        <v>0</v>
      </c>
      <c r="J26" s="41">
        <f t="shared" si="1"/>
        <v>0</v>
      </c>
    </row>
    <row r="27" spans="1:10" x14ac:dyDescent="0.3">
      <c r="A27" s="106" t="s">
        <v>130</v>
      </c>
      <c r="B27" s="114">
        <v>0.12</v>
      </c>
      <c r="C27" s="114">
        <v>0.18</v>
      </c>
      <c r="D27" s="108"/>
      <c r="E27" s="108"/>
      <c r="F27" s="108">
        <v>0.46300000000000002</v>
      </c>
      <c r="G27" s="108"/>
      <c r="H27" s="84">
        <f>PREÇOS!G28</f>
        <v>7.5</v>
      </c>
      <c r="I27" s="85">
        <f t="shared" ref="I27:I30" si="2">IF(F27=0,,H27*(1+F27)*C27-(H27*B27))</f>
        <v>1.0750500000000001</v>
      </c>
      <c r="J27" s="86">
        <f t="shared" ref="J27:J30" si="3">IF(G27=0,IF(F27=0,,H27*(1+F27)*C27-(H27*B27)),H27*(1+G27)*C27-(H27*B27))</f>
        <v>1.0750500000000001</v>
      </c>
    </row>
    <row r="28" spans="1:10" x14ac:dyDescent="0.3">
      <c r="A28" s="109" t="s">
        <v>131</v>
      </c>
      <c r="B28" s="88">
        <f>B27</f>
        <v>0.12</v>
      </c>
      <c r="C28" s="88">
        <f t="shared" ref="C28:G28" si="4">C27</f>
        <v>0.18</v>
      </c>
      <c r="D28" s="87">
        <f t="shared" si="4"/>
        <v>0</v>
      </c>
      <c r="E28" s="87">
        <f t="shared" si="4"/>
        <v>0</v>
      </c>
      <c r="F28" s="87">
        <f t="shared" si="4"/>
        <v>0.46300000000000002</v>
      </c>
      <c r="G28" s="87">
        <f t="shared" si="4"/>
        <v>0</v>
      </c>
      <c r="H28" s="104">
        <f>PREÇOS!G29</f>
        <v>7.5</v>
      </c>
      <c r="I28" s="105">
        <f t="shared" si="2"/>
        <v>1.0750500000000001</v>
      </c>
      <c r="J28" s="103">
        <f t="shared" si="3"/>
        <v>1.0750500000000001</v>
      </c>
    </row>
    <row r="29" spans="1:10" x14ac:dyDescent="0.3">
      <c r="A29" s="106" t="s">
        <v>132</v>
      </c>
      <c r="B29" s="114">
        <v>7.0000000000000007E-2</v>
      </c>
      <c r="C29" s="114">
        <v>0.2</v>
      </c>
      <c r="D29" s="108"/>
      <c r="E29" s="108"/>
      <c r="F29" s="108"/>
      <c r="G29" s="108"/>
      <c r="H29" s="7">
        <f>PREÇOS!G30</f>
        <v>7.05</v>
      </c>
      <c r="I29" s="83">
        <f t="shared" si="2"/>
        <v>0</v>
      </c>
      <c r="J29" s="41">
        <f t="shared" si="3"/>
        <v>0</v>
      </c>
    </row>
    <row r="30" spans="1:10" x14ac:dyDescent="0.3">
      <c r="A30" s="3" t="s">
        <v>133</v>
      </c>
      <c r="H30" s="7">
        <f>PREÇOS!G31</f>
        <v>5.9</v>
      </c>
      <c r="I30" s="83">
        <f t="shared" si="2"/>
        <v>0</v>
      </c>
      <c r="J30" s="41">
        <f t="shared" si="3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3FE7-6C9A-46C4-8F76-D78E02536C19}">
  <sheetPr>
    <tabColor rgb="FF7030A0"/>
  </sheetPr>
  <dimension ref="A1:J30"/>
  <sheetViews>
    <sheetView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06" t="s">
        <v>106</v>
      </c>
      <c r="B2" s="114">
        <v>7.0000000000000007E-2</v>
      </c>
      <c r="C2" s="114">
        <v>0.17</v>
      </c>
      <c r="D2" s="108"/>
      <c r="E2" s="108"/>
      <c r="F2" s="108"/>
      <c r="G2" s="108"/>
      <c r="H2" s="7">
        <f>PREÇOS!J3</f>
        <v>6.4012903225806452</v>
      </c>
      <c r="I2" s="82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06" t="s">
        <v>107</v>
      </c>
      <c r="B3" s="114">
        <v>7.0000000000000007E-2</v>
      </c>
      <c r="C3" s="114">
        <v>0.2</v>
      </c>
      <c r="D3" s="108"/>
      <c r="E3" s="108"/>
      <c r="F3" s="108">
        <v>0.71</v>
      </c>
      <c r="G3" s="108"/>
      <c r="H3" s="7">
        <f>PREÇOS!J4</f>
        <v>6.4012903225806452</v>
      </c>
      <c r="I3" s="82">
        <f>IF(F3=0,,H3*(1+F3)*C3-(H3*B3))</f>
        <v>1.7411509677419355</v>
      </c>
      <c r="J3" s="4">
        <f t="shared" si="1"/>
        <v>1.7411509677419355</v>
      </c>
    </row>
    <row r="4" spans="1:10" x14ac:dyDescent="0.3">
      <c r="A4" s="106" t="s">
        <v>108</v>
      </c>
      <c r="B4" s="114">
        <v>7.0000000000000007E-2</v>
      </c>
      <c r="C4" s="114">
        <v>0.2</v>
      </c>
      <c r="D4" s="108"/>
      <c r="E4" s="108"/>
      <c r="F4" s="108">
        <v>0.55379999999999996</v>
      </c>
      <c r="G4" s="108"/>
      <c r="H4" s="7">
        <f>PREÇOS!J5</f>
        <v>6.4012903225806452</v>
      </c>
      <c r="I4" s="82">
        <f t="shared" si="0"/>
        <v>1.541174658064516</v>
      </c>
      <c r="J4" s="4">
        <f t="shared" si="1"/>
        <v>1.541174658064516</v>
      </c>
    </row>
    <row r="5" spans="1:10" x14ac:dyDescent="0.3">
      <c r="A5" s="106" t="s">
        <v>109</v>
      </c>
      <c r="B5" s="114">
        <v>7.0000000000000007E-2</v>
      </c>
      <c r="C5" s="114">
        <v>0.18</v>
      </c>
      <c r="D5" s="108"/>
      <c r="E5" s="108"/>
      <c r="F5" s="108"/>
      <c r="G5" s="108"/>
      <c r="H5" s="7">
        <f>PREÇOS!J6</f>
        <v>6.4012903225806452</v>
      </c>
      <c r="I5" s="82">
        <f t="shared" si="0"/>
        <v>0</v>
      </c>
      <c r="J5" s="4">
        <f t="shared" si="1"/>
        <v>0</v>
      </c>
    </row>
    <row r="6" spans="1:10" x14ac:dyDescent="0.3">
      <c r="A6" s="106" t="s">
        <v>110</v>
      </c>
      <c r="B6" s="114">
        <v>7.0000000000000007E-2</v>
      </c>
      <c r="C6" s="114">
        <v>0.19</v>
      </c>
      <c r="D6" s="108"/>
      <c r="E6" s="108"/>
      <c r="F6" s="108"/>
      <c r="G6" s="108"/>
      <c r="H6" s="7">
        <f>PREÇOS!J7</f>
        <v>6.4012903225806452</v>
      </c>
      <c r="I6" s="82">
        <f t="shared" si="0"/>
        <v>0</v>
      </c>
      <c r="J6" s="4">
        <f t="shared" si="1"/>
        <v>0</v>
      </c>
    </row>
    <row r="7" spans="1:10" x14ac:dyDescent="0.3">
      <c r="A7" s="106" t="s">
        <v>111</v>
      </c>
      <c r="B7" s="114">
        <v>7.0000000000000007E-2</v>
      </c>
      <c r="C7" s="114">
        <v>0.2</v>
      </c>
      <c r="D7" s="108"/>
      <c r="E7" s="108"/>
      <c r="F7" s="108"/>
      <c r="G7" s="108"/>
      <c r="H7" s="7">
        <f>PREÇOS!J8</f>
        <v>6.4012903225806452</v>
      </c>
      <c r="I7" s="82">
        <f t="shared" si="0"/>
        <v>0</v>
      </c>
      <c r="J7" s="4">
        <f t="shared" si="1"/>
        <v>0</v>
      </c>
    </row>
    <row r="8" spans="1:10" x14ac:dyDescent="0.3">
      <c r="A8" s="106" t="s">
        <v>112</v>
      </c>
      <c r="B8" s="114">
        <v>7.0000000000000007E-2</v>
      </c>
      <c r="C8" s="114">
        <v>0.18</v>
      </c>
      <c r="D8" s="108"/>
      <c r="E8" s="108"/>
      <c r="F8" s="108"/>
      <c r="G8" s="108"/>
      <c r="H8" s="7">
        <f>PREÇOS!J9</f>
        <v>6.4012903225806452</v>
      </c>
      <c r="I8" s="82">
        <f t="shared" si="0"/>
        <v>0</v>
      </c>
      <c r="J8" s="4">
        <f t="shared" si="1"/>
        <v>0</v>
      </c>
    </row>
    <row r="9" spans="1:10" x14ac:dyDescent="0.3">
      <c r="A9" s="106" t="s">
        <v>113</v>
      </c>
      <c r="B9" s="114">
        <v>7.0000000000000007E-2</v>
      </c>
      <c r="C9" s="114">
        <v>0.17</v>
      </c>
      <c r="D9" s="108"/>
      <c r="E9" s="108"/>
      <c r="F9" s="108"/>
      <c r="G9" s="108"/>
      <c r="H9" s="7">
        <f>PREÇOS!J10</f>
        <v>6.4012903225806452</v>
      </c>
      <c r="I9" s="82">
        <f t="shared" si="0"/>
        <v>0</v>
      </c>
      <c r="J9" s="4">
        <f t="shared" si="1"/>
        <v>0</v>
      </c>
    </row>
    <row r="10" spans="1:10" x14ac:dyDescent="0.3">
      <c r="A10" s="106" t="s">
        <v>114</v>
      </c>
      <c r="B10" s="114">
        <v>7.0000000000000007E-2</v>
      </c>
      <c r="C10" s="114">
        <v>0.17</v>
      </c>
      <c r="D10" s="108"/>
      <c r="E10" s="108"/>
      <c r="F10" s="108"/>
      <c r="G10" s="108"/>
      <c r="H10" s="7">
        <f>PREÇOS!J11</f>
        <v>6.4012903225806452</v>
      </c>
      <c r="I10" s="82">
        <f t="shared" si="0"/>
        <v>0</v>
      </c>
      <c r="J10" s="4">
        <f t="shared" si="1"/>
        <v>0</v>
      </c>
    </row>
    <row r="11" spans="1:10" x14ac:dyDescent="0.3">
      <c r="A11" s="106" t="s">
        <v>115</v>
      </c>
      <c r="B11" s="114">
        <v>7.0000000000000007E-2</v>
      </c>
      <c r="C11" s="114">
        <v>0.2</v>
      </c>
      <c r="D11" s="108"/>
      <c r="E11" s="108"/>
      <c r="F11" s="108"/>
      <c r="G11" s="108"/>
      <c r="H11" s="7">
        <f>PREÇOS!J12</f>
        <v>6.4012903225806452</v>
      </c>
      <c r="I11" s="82">
        <f t="shared" si="0"/>
        <v>0</v>
      </c>
      <c r="J11" s="4">
        <f t="shared" si="1"/>
        <v>0</v>
      </c>
    </row>
    <row r="12" spans="1:10" x14ac:dyDescent="0.3">
      <c r="A12" s="106" t="s">
        <v>116</v>
      </c>
      <c r="B12" s="114">
        <v>0.12</v>
      </c>
      <c r="C12" s="114">
        <v>0.18</v>
      </c>
      <c r="D12" s="108"/>
      <c r="E12" s="108"/>
      <c r="F12" s="108">
        <v>0.44879999999999998</v>
      </c>
      <c r="G12" s="108"/>
      <c r="H12" s="7">
        <f>PREÇOS!J13</f>
        <v>6.7650000000000006</v>
      </c>
      <c r="I12" s="85">
        <f t="shared" si="0"/>
        <v>0.95240375999999971</v>
      </c>
      <c r="J12" s="86">
        <f t="shared" si="1"/>
        <v>0.95240375999999971</v>
      </c>
    </row>
    <row r="13" spans="1:10" x14ac:dyDescent="0.3">
      <c r="A13" s="106" t="s">
        <v>117</v>
      </c>
      <c r="B13" s="114">
        <v>7.0000000000000007E-2</v>
      </c>
      <c r="C13" s="114">
        <v>0.17</v>
      </c>
      <c r="D13" s="108"/>
      <c r="E13" s="108"/>
      <c r="F13" s="108"/>
      <c r="G13" s="108"/>
      <c r="H13" s="7">
        <f>PREÇOS!J14</f>
        <v>6.4012903225806452</v>
      </c>
      <c r="I13" s="82">
        <f t="shared" si="0"/>
        <v>0</v>
      </c>
      <c r="J13" s="4">
        <f t="shared" si="1"/>
        <v>0</v>
      </c>
    </row>
    <row r="14" spans="1:10" x14ac:dyDescent="0.3">
      <c r="A14" s="106" t="s">
        <v>118</v>
      </c>
      <c r="B14" s="114">
        <v>7.0000000000000007E-2</v>
      </c>
      <c r="C14" s="114">
        <v>0.17</v>
      </c>
      <c r="D14" s="108"/>
      <c r="E14" s="108"/>
      <c r="F14" s="108">
        <v>0.45519999999999999</v>
      </c>
      <c r="G14" s="108"/>
      <c r="H14" s="7">
        <f>PREÇOS!J15</f>
        <v>6.4012903225806452</v>
      </c>
      <c r="I14" s="82">
        <f t="shared" si="0"/>
        <v>1.1354864825806454</v>
      </c>
      <c r="J14" s="4">
        <f t="shared" si="1"/>
        <v>1.1354864825806454</v>
      </c>
    </row>
    <row r="15" spans="1:10" x14ac:dyDescent="0.3">
      <c r="A15" s="106" t="s">
        <v>119</v>
      </c>
      <c r="B15" s="114">
        <v>7.0000000000000007E-2</v>
      </c>
      <c r="C15" s="114">
        <v>0.19</v>
      </c>
      <c r="D15" s="108"/>
      <c r="E15" s="108"/>
      <c r="F15" s="108"/>
      <c r="G15" s="108"/>
      <c r="H15" s="7">
        <f>PREÇOS!J16</f>
        <v>6.4012903225806452</v>
      </c>
      <c r="I15" s="82">
        <f t="shared" si="0"/>
        <v>0</v>
      </c>
      <c r="J15" s="4">
        <f t="shared" si="1"/>
        <v>0</v>
      </c>
    </row>
    <row r="16" spans="1:10" x14ac:dyDescent="0.3">
      <c r="A16" s="106" t="s">
        <v>120</v>
      </c>
      <c r="B16" s="114">
        <v>7.0000000000000007E-2</v>
      </c>
      <c r="C16" s="114">
        <v>0.18</v>
      </c>
      <c r="D16" s="108"/>
      <c r="E16" s="108"/>
      <c r="F16" s="108"/>
      <c r="G16" s="108"/>
      <c r="H16" s="7">
        <f>PREÇOS!J17</f>
        <v>6.4012903225806452</v>
      </c>
      <c r="I16" s="82">
        <f t="shared" si="0"/>
        <v>0</v>
      </c>
      <c r="J16" s="4">
        <f t="shared" si="1"/>
        <v>0</v>
      </c>
    </row>
    <row r="17" spans="1:10" x14ac:dyDescent="0.3">
      <c r="A17" s="106" t="s">
        <v>121</v>
      </c>
      <c r="B17" s="114">
        <v>7.0000000000000007E-2</v>
      </c>
      <c r="C17" s="114">
        <v>0.18</v>
      </c>
      <c r="D17" s="108"/>
      <c r="E17" s="108"/>
      <c r="F17" s="108"/>
      <c r="G17" s="108"/>
      <c r="H17" s="7">
        <f>PREÇOS!J18</f>
        <v>6.4012903225806452</v>
      </c>
      <c r="I17" s="82">
        <f t="shared" si="0"/>
        <v>0</v>
      </c>
      <c r="J17" s="4">
        <f t="shared" si="1"/>
        <v>0</v>
      </c>
    </row>
    <row r="18" spans="1:10" x14ac:dyDescent="0.3">
      <c r="A18" s="106" t="s">
        <v>122</v>
      </c>
      <c r="B18" s="114">
        <v>7.0000000000000007E-2</v>
      </c>
      <c r="C18" s="114">
        <v>0.21</v>
      </c>
      <c r="D18" s="108"/>
      <c r="E18" s="108"/>
      <c r="F18" s="108"/>
      <c r="G18" s="108"/>
      <c r="H18" s="7">
        <f>PREÇOS!J19</f>
        <v>6.4012903225806452</v>
      </c>
      <c r="I18" s="82">
        <f t="shared" si="0"/>
        <v>0</v>
      </c>
      <c r="J18" s="4">
        <f t="shared" si="1"/>
        <v>0</v>
      </c>
    </row>
    <row r="19" spans="1:10" x14ac:dyDescent="0.3">
      <c r="A19" s="106" t="s">
        <v>123</v>
      </c>
      <c r="B19" s="114">
        <v>0.12</v>
      </c>
      <c r="C19" s="114">
        <v>0.19500000000000001</v>
      </c>
      <c r="D19" s="108"/>
      <c r="E19" s="108"/>
      <c r="F19" s="108">
        <v>0.60799999999999998</v>
      </c>
      <c r="G19" s="108"/>
      <c r="H19" s="7">
        <f>PREÇOS!J20</f>
        <v>6.7650000000000006</v>
      </c>
      <c r="I19" s="85">
        <f>IF(F19=0,,H19*(1+F19)*C19-(H19*B19))</f>
        <v>1.3094334000000003</v>
      </c>
      <c r="J19" s="86">
        <f t="shared" si="1"/>
        <v>1.3094334000000003</v>
      </c>
    </row>
    <row r="20" spans="1:10" x14ac:dyDescent="0.3">
      <c r="A20" s="106" t="s">
        <v>124</v>
      </c>
      <c r="B20" s="114">
        <v>0.12</v>
      </c>
      <c r="C20" s="114">
        <v>0.22</v>
      </c>
      <c r="D20" s="108"/>
      <c r="E20" s="108"/>
      <c r="F20" s="108">
        <v>0.54730000000000001</v>
      </c>
      <c r="G20" s="108"/>
      <c r="H20" s="7">
        <f>PREÇOS!J21</f>
        <v>6.7650000000000006</v>
      </c>
      <c r="I20" s="85">
        <f t="shared" si="0"/>
        <v>1.4910465899999996</v>
      </c>
      <c r="J20" s="86">
        <f t="shared" si="1"/>
        <v>1.4910465899999996</v>
      </c>
    </row>
    <row r="21" spans="1:10" x14ac:dyDescent="0.3">
      <c r="A21" s="106" t="s">
        <v>125</v>
      </c>
      <c r="B21" s="114">
        <v>7.0000000000000007E-2</v>
      </c>
      <c r="C21" s="114">
        <v>0.2</v>
      </c>
      <c r="D21" s="108"/>
      <c r="E21" s="108"/>
      <c r="F21" s="108"/>
      <c r="G21" s="108"/>
      <c r="H21" s="7">
        <f>PREÇOS!J22</f>
        <v>6.4012903225806452</v>
      </c>
      <c r="I21" s="82">
        <f t="shared" si="0"/>
        <v>0</v>
      </c>
      <c r="J21" s="4">
        <f t="shared" si="1"/>
        <v>0</v>
      </c>
    </row>
    <row r="22" spans="1:10" x14ac:dyDescent="0.3">
      <c r="A22" s="106" t="s">
        <v>126</v>
      </c>
      <c r="B22" s="114">
        <v>7.0000000000000007E-2</v>
      </c>
      <c r="C22" s="114">
        <v>0.17499999999999999</v>
      </c>
      <c r="D22" s="108"/>
      <c r="E22" s="108"/>
      <c r="F22" s="108"/>
      <c r="G22" s="108"/>
      <c r="H22" s="7">
        <f>PREÇOS!J23</f>
        <v>6.4012903225806452</v>
      </c>
      <c r="I22" s="82">
        <f t="shared" si="0"/>
        <v>0</v>
      </c>
      <c r="J22" s="4">
        <f t="shared" si="1"/>
        <v>0</v>
      </c>
    </row>
    <row r="23" spans="1:10" x14ac:dyDescent="0.3">
      <c r="A23" s="106" t="s">
        <v>127</v>
      </c>
      <c r="B23" s="114">
        <v>7.0000000000000007E-2</v>
      </c>
      <c r="C23" s="114">
        <v>0.2</v>
      </c>
      <c r="D23" s="108"/>
      <c r="E23" s="108"/>
      <c r="F23" s="108"/>
      <c r="G23" s="108"/>
      <c r="H23" s="7">
        <f>PREÇOS!J24</f>
        <v>6.4012903225806452</v>
      </c>
      <c r="I23" s="82">
        <f t="shared" si="0"/>
        <v>0</v>
      </c>
      <c r="J23" s="4">
        <f t="shared" si="1"/>
        <v>0</v>
      </c>
    </row>
    <row r="24" spans="1:10" x14ac:dyDescent="0.3">
      <c r="A24" s="106" t="s">
        <v>10</v>
      </c>
      <c r="B24" s="114">
        <v>0.12</v>
      </c>
      <c r="C24" s="114">
        <v>0.17</v>
      </c>
      <c r="D24" s="108"/>
      <c r="E24" s="108"/>
      <c r="F24" s="108"/>
      <c r="G24" s="108"/>
      <c r="H24" s="7">
        <f>PREÇOS!J25</f>
        <v>6.7650000000000006</v>
      </c>
      <c r="I24" s="85">
        <f t="shared" si="0"/>
        <v>0</v>
      </c>
      <c r="J24" s="86">
        <f t="shared" si="1"/>
        <v>0</v>
      </c>
    </row>
    <row r="25" spans="1:10" x14ac:dyDescent="0.3">
      <c r="A25" s="106" t="s">
        <v>128</v>
      </c>
      <c r="B25" s="114">
        <v>0.12</v>
      </c>
      <c r="C25" s="114">
        <v>0.17</v>
      </c>
      <c r="D25" s="108"/>
      <c r="E25" s="108"/>
      <c r="F25" s="108"/>
      <c r="G25" s="108"/>
      <c r="H25" s="7">
        <f>PREÇOS!J26</f>
        <v>6.7650000000000006</v>
      </c>
      <c r="I25" s="85">
        <f t="shared" si="0"/>
        <v>0</v>
      </c>
      <c r="J25" s="86">
        <f t="shared" si="1"/>
        <v>0</v>
      </c>
    </row>
    <row r="26" spans="1:10" x14ac:dyDescent="0.3">
      <c r="A26" s="106" t="s">
        <v>129</v>
      </c>
      <c r="B26" s="114">
        <v>7.0000000000000007E-2</v>
      </c>
      <c r="C26" s="114">
        <v>0.2</v>
      </c>
      <c r="D26" s="108"/>
      <c r="E26" s="108"/>
      <c r="F26" s="108"/>
      <c r="G26" s="108"/>
      <c r="H26" s="7">
        <f>PREÇOS!J27</f>
        <v>6.4012903225806452</v>
      </c>
      <c r="I26" s="83">
        <f t="shared" si="0"/>
        <v>0</v>
      </c>
      <c r="J26" s="41">
        <f t="shared" si="1"/>
        <v>0</v>
      </c>
    </row>
    <row r="27" spans="1:10" x14ac:dyDescent="0.3">
      <c r="A27" s="106" t="s">
        <v>130</v>
      </c>
      <c r="B27" s="114">
        <v>0.12</v>
      </c>
      <c r="C27" s="114">
        <v>0.18</v>
      </c>
      <c r="D27" s="108"/>
      <c r="E27" s="108"/>
      <c r="F27" s="108">
        <v>0.46300000000000002</v>
      </c>
      <c r="G27" s="108"/>
      <c r="H27" s="7">
        <f>PREÇOS!J28</f>
        <v>6.7650000000000006</v>
      </c>
      <c r="I27" s="85">
        <f t="shared" si="0"/>
        <v>0.96969510000000025</v>
      </c>
      <c r="J27" s="86">
        <f t="shared" si="1"/>
        <v>0.96969510000000025</v>
      </c>
    </row>
    <row r="28" spans="1:10" x14ac:dyDescent="0.3">
      <c r="A28" s="109" t="s">
        <v>131</v>
      </c>
      <c r="B28" s="88">
        <f>B27</f>
        <v>0.12</v>
      </c>
      <c r="C28" s="88">
        <f t="shared" ref="C28:G28" si="2">C27</f>
        <v>0.18</v>
      </c>
      <c r="D28" s="87">
        <f t="shared" si="2"/>
        <v>0</v>
      </c>
      <c r="E28" s="87">
        <f t="shared" si="2"/>
        <v>0</v>
      </c>
      <c r="F28" s="87">
        <f t="shared" si="2"/>
        <v>0.46300000000000002</v>
      </c>
      <c r="G28" s="87">
        <f t="shared" si="2"/>
        <v>0</v>
      </c>
      <c r="H28" s="7">
        <f>PREÇOS!J29</f>
        <v>6.7650000000000006</v>
      </c>
      <c r="I28" s="105">
        <f t="shared" si="0"/>
        <v>0.96969510000000025</v>
      </c>
      <c r="J28" s="103">
        <f t="shared" si="1"/>
        <v>0.96969510000000025</v>
      </c>
    </row>
    <row r="29" spans="1:10" x14ac:dyDescent="0.3">
      <c r="A29" s="106" t="s">
        <v>132</v>
      </c>
      <c r="B29" s="114">
        <v>7.0000000000000007E-2</v>
      </c>
      <c r="C29" s="114">
        <v>0.2</v>
      </c>
      <c r="D29" s="108"/>
      <c r="E29" s="108"/>
      <c r="F29" s="108"/>
      <c r="G29" s="108"/>
      <c r="H29" s="7">
        <f>PREÇOS!J30</f>
        <v>6.4012903225806452</v>
      </c>
      <c r="I29" s="83">
        <f t="shared" si="0"/>
        <v>0</v>
      </c>
      <c r="J29" s="41">
        <f t="shared" si="1"/>
        <v>0</v>
      </c>
    </row>
    <row r="30" spans="1:10" x14ac:dyDescent="0.3">
      <c r="A30" s="3" t="s">
        <v>133</v>
      </c>
      <c r="H30" s="7">
        <f>PREÇOS!J31</f>
        <v>5.0410161290322577</v>
      </c>
      <c r="I30" s="83">
        <f t="shared" si="0"/>
        <v>0</v>
      </c>
      <c r="J30" s="41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69E2-17D8-45BB-8F59-9C1CA5A373E7}">
  <sheetPr>
    <tabColor rgb="FF7030A0"/>
  </sheetPr>
  <dimension ref="A1:J30"/>
  <sheetViews>
    <sheetView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06" t="s">
        <v>106</v>
      </c>
      <c r="B2" s="114">
        <v>7.0000000000000007E-2</v>
      </c>
      <c r="C2" s="114">
        <v>0.17</v>
      </c>
      <c r="D2" s="108"/>
      <c r="E2" s="108"/>
      <c r="F2" s="108"/>
      <c r="G2" s="108"/>
      <c r="H2" s="7">
        <f>PREÇOS!K3</f>
        <v>6.4012903225806452</v>
      </c>
      <c r="I2" s="82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06" t="s">
        <v>107</v>
      </c>
      <c r="B3" s="114">
        <v>7.0000000000000007E-2</v>
      </c>
      <c r="C3" s="114">
        <v>0.2</v>
      </c>
      <c r="D3" s="108"/>
      <c r="E3" s="108"/>
      <c r="F3" s="108">
        <v>0.71</v>
      </c>
      <c r="G3" s="108"/>
      <c r="H3" s="7">
        <f>PREÇOS!K4</f>
        <v>6.4012903225806452</v>
      </c>
      <c r="I3" s="82">
        <f>IF(F3=0,,H3*(1+F3)*C3-(H3*B3))</f>
        <v>1.7411509677419355</v>
      </c>
      <c r="J3" s="4">
        <f t="shared" si="1"/>
        <v>1.7411509677419355</v>
      </c>
    </row>
    <row r="4" spans="1:10" x14ac:dyDescent="0.3">
      <c r="A4" s="106" t="s">
        <v>108</v>
      </c>
      <c r="B4" s="114">
        <v>7.0000000000000007E-2</v>
      </c>
      <c r="C4" s="114">
        <v>0.2</v>
      </c>
      <c r="D4" s="108"/>
      <c r="E4" s="108"/>
      <c r="F4" s="108">
        <v>0.55379999999999996</v>
      </c>
      <c r="G4" s="108"/>
      <c r="H4" s="7">
        <f>PREÇOS!K5</f>
        <v>6.4012903225806452</v>
      </c>
      <c r="I4" s="82">
        <f t="shared" si="0"/>
        <v>1.541174658064516</v>
      </c>
      <c r="J4" s="4">
        <f t="shared" si="1"/>
        <v>1.541174658064516</v>
      </c>
    </row>
    <row r="5" spans="1:10" x14ac:dyDescent="0.3">
      <c r="A5" s="106" t="s">
        <v>109</v>
      </c>
      <c r="B5" s="114">
        <v>7.0000000000000007E-2</v>
      </c>
      <c r="C5" s="114">
        <v>0.18</v>
      </c>
      <c r="D5" s="108"/>
      <c r="E5" s="108"/>
      <c r="F5" s="108"/>
      <c r="G5" s="108"/>
      <c r="H5" s="7">
        <f>PREÇOS!K6</f>
        <v>6.4012903225806452</v>
      </c>
      <c r="I5" s="82">
        <f t="shared" si="0"/>
        <v>0</v>
      </c>
      <c r="J5" s="4">
        <f t="shared" si="1"/>
        <v>0</v>
      </c>
    </row>
    <row r="6" spans="1:10" x14ac:dyDescent="0.3">
      <c r="A6" s="106" t="s">
        <v>110</v>
      </c>
      <c r="B6" s="114">
        <v>7.0000000000000007E-2</v>
      </c>
      <c r="C6" s="114">
        <v>0.19</v>
      </c>
      <c r="D6" s="108"/>
      <c r="E6" s="108"/>
      <c r="F6" s="108"/>
      <c r="G6" s="108"/>
      <c r="H6" s="7">
        <f>PREÇOS!K7</f>
        <v>6.4012903225806452</v>
      </c>
      <c r="I6" s="82">
        <f t="shared" si="0"/>
        <v>0</v>
      </c>
      <c r="J6" s="4">
        <f t="shared" si="1"/>
        <v>0</v>
      </c>
    </row>
    <row r="7" spans="1:10" x14ac:dyDescent="0.3">
      <c r="A7" s="106" t="s">
        <v>111</v>
      </c>
      <c r="B7" s="114">
        <v>7.0000000000000007E-2</v>
      </c>
      <c r="C7" s="114">
        <v>0.2</v>
      </c>
      <c r="D7" s="108"/>
      <c r="E7" s="108"/>
      <c r="F7" s="108"/>
      <c r="G7" s="108"/>
      <c r="H7" s="7">
        <f>PREÇOS!K8</f>
        <v>6.4012903225806452</v>
      </c>
      <c r="I7" s="82">
        <f t="shared" si="0"/>
        <v>0</v>
      </c>
      <c r="J7" s="4">
        <f t="shared" si="1"/>
        <v>0</v>
      </c>
    </row>
    <row r="8" spans="1:10" x14ac:dyDescent="0.3">
      <c r="A8" s="106" t="s">
        <v>112</v>
      </c>
      <c r="B8" s="114">
        <v>7.0000000000000007E-2</v>
      </c>
      <c r="C8" s="114">
        <v>0.18</v>
      </c>
      <c r="D8" s="108"/>
      <c r="E8" s="108"/>
      <c r="F8" s="108"/>
      <c r="G8" s="108"/>
      <c r="H8" s="7">
        <f>PREÇOS!K9</f>
        <v>6.4012903225806452</v>
      </c>
      <c r="I8" s="82">
        <f t="shared" si="0"/>
        <v>0</v>
      </c>
      <c r="J8" s="4">
        <f t="shared" si="1"/>
        <v>0</v>
      </c>
    </row>
    <row r="9" spans="1:10" x14ac:dyDescent="0.3">
      <c r="A9" s="106" t="s">
        <v>113</v>
      </c>
      <c r="B9" s="114">
        <v>7.0000000000000007E-2</v>
      </c>
      <c r="C9" s="114">
        <v>0.17</v>
      </c>
      <c r="D9" s="108"/>
      <c r="E9" s="108"/>
      <c r="F9" s="108"/>
      <c r="G9" s="108"/>
      <c r="H9" s="7">
        <f>PREÇOS!K10</f>
        <v>6.4012903225806452</v>
      </c>
      <c r="I9" s="82">
        <f t="shared" si="0"/>
        <v>0</v>
      </c>
      <c r="J9" s="4">
        <f t="shared" si="1"/>
        <v>0</v>
      </c>
    </row>
    <row r="10" spans="1:10" x14ac:dyDescent="0.3">
      <c r="A10" s="106" t="s">
        <v>114</v>
      </c>
      <c r="B10" s="114">
        <v>7.0000000000000007E-2</v>
      </c>
      <c r="C10" s="114">
        <v>0.17</v>
      </c>
      <c r="D10" s="108"/>
      <c r="E10" s="108"/>
      <c r="F10" s="108"/>
      <c r="G10" s="108"/>
      <c r="H10" s="7">
        <f>PREÇOS!K11</f>
        <v>6.4012903225806452</v>
      </c>
      <c r="I10" s="82">
        <f t="shared" si="0"/>
        <v>0</v>
      </c>
      <c r="J10" s="4">
        <f t="shared" si="1"/>
        <v>0</v>
      </c>
    </row>
    <row r="11" spans="1:10" x14ac:dyDescent="0.3">
      <c r="A11" s="106" t="s">
        <v>115</v>
      </c>
      <c r="B11" s="114">
        <v>7.0000000000000007E-2</v>
      </c>
      <c r="C11" s="114">
        <v>0.2</v>
      </c>
      <c r="D11" s="108"/>
      <c r="E11" s="108"/>
      <c r="F11" s="108"/>
      <c r="G11" s="108"/>
      <c r="H11" s="7">
        <f>PREÇOS!K12</f>
        <v>6.4012903225806452</v>
      </c>
      <c r="I11" s="82">
        <f t="shared" si="0"/>
        <v>0</v>
      </c>
      <c r="J11" s="4">
        <f t="shared" si="1"/>
        <v>0</v>
      </c>
    </row>
    <row r="12" spans="1:10" x14ac:dyDescent="0.3">
      <c r="A12" s="106" t="s">
        <v>116</v>
      </c>
      <c r="B12" s="114">
        <v>0.12</v>
      </c>
      <c r="C12" s="114">
        <v>0.18</v>
      </c>
      <c r="D12" s="108"/>
      <c r="E12" s="108"/>
      <c r="F12" s="108">
        <v>0.44879999999999998</v>
      </c>
      <c r="G12" s="108"/>
      <c r="H12" s="7">
        <f>PREÇOS!K13</f>
        <v>6.7650000000000006</v>
      </c>
      <c r="I12" s="85">
        <f t="shared" si="0"/>
        <v>0.95240375999999971</v>
      </c>
      <c r="J12" s="86">
        <f t="shared" si="1"/>
        <v>0.95240375999999971</v>
      </c>
    </row>
    <row r="13" spans="1:10" x14ac:dyDescent="0.3">
      <c r="A13" s="106" t="s">
        <v>117</v>
      </c>
      <c r="B13" s="114">
        <v>7.0000000000000007E-2</v>
      </c>
      <c r="C13" s="114">
        <v>0.17</v>
      </c>
      <c r="D13" s="108"/>
      <c r="E13" s="108"/>
      <c r="F13" s="108"/>
      <c r="G13" s="108"/>
      <c r="H13" s="7">
        <f>PREÇOS!K14</f>
        <v>6.4012903225806452</v>
      </c>
      <c r="I13" s="82">
        <f t="shared" si="0"/>
        <v>0</v>
      </c>
      <c r="J13" s="4">
        <f t="shared" si="1"/>
        <v>0</v>
      </c>
    </row>
    <row r="14" spans="1:10" x14ac:dyDescent="0.3">
      <c r="A14" s="106" t="s">
        <v>118</v>
      </c>
      <c r="B14" s="114">
        <v>7.0000000000000007E-2</v>
      </c>
      <c r="C14" s="114">
        <v>0.17</v>
      </c>
      <c r="D14" s="108"/>
      <c r="E14" s="108"/>
      <c r="F14" s="108">
        <v>0.45519999999999999</v>
      </c>
      <c r="G14" s="108"/>
      <c r="H14" s="7">
        <f>PREÇOS!K15</f>
        <v>6.4012903225806452</v>
      </c>
      <c r="I14" s="82">
        <f t="shared" si="0"/>
        <v>1.1354864825806454</v>
      </c>
      <c r="J14" s="4">
        <f t="shared" si="1"/>
        <v>1.1354864825806454</v>
      </c>
    </row>
    <row r="15" spans="1:10" x14ac:dyDescent="0.3">
      <c r="A15" s="106" t="s">
        <v>119</v>
      </c>
      <c r="B15" s="114">
        <v>7.0000000000000007E-2</v>
      </c>
      <c r="C15" s="114">
        <v>0.19</v>
      </c>
      <c r="D15" s="108"/>
      <c r="E15" s="108"/>
      <c r="F15" s="108"/>
      <c r="G15" s="108"/>
      <c r="H15" s="7">
        <f>PREÇOS!K16</f>
        <v>6.4012903225806452</v>
      </c>
      <c r="I15" s="82">
        <f t="shared" si="0"/>
        <v>0</v>
      </c>
      <c r="J15" s="4">
        <f t="shared" si="1"/>
        <v>0</v>
      </c>
    </row>
    <row r="16" spans="1:10" x14ac:dyDescent="0.3">
      <c r="A16" s="106" t="s">
        <v>120</v>
      </c>
      <c r="B16" s="114">
        <v>7.0000000000000007E-2</v>
      </c>
      <c r="C16" s="114">
        <v>0.18</v>
      </c>
      <c r="D16" s="108"/>
      <c r="E16" s="108"/>
      <c r="F16" s="108"/>
      <c r="G16" s="108"/>
      <c r="H16" s="7">
        <f>PREÇOS!K17</f>
        <v>6.4012903225806452</v>
      </c>
      <c r="I16" s="82">
        <f t="shared" si="0"/>
        <v>0</v>
      </c>
      <c r="J16" s="4">
        <f t="shared" si="1"/>
        <v>0</v>
      </c>
    </row>
    <row r="17" spans="1:10" x14ac:dyDescent="0.3">
      <c r="A17" s="106" t="s">
        <v>121</v>
      </c>
      <c r="B17" s="114">
        <v>7.0000000000000007E-2</v>
      </c>
      <c r="C17" s="114">
        <v>0.18</v>
      </c>
      <c r="D17" s="108"/>
      <c r="E17" s="108"/>
      <c r="F17" s="108"/>
      <c r="G17" s="108"/>
      <c r="H17" s="7">
        <f>PREÇOS!K18</f>
        <v>6.4012903225806452</v>
      </c>
      <c r="I17" s="82">
        <f t="shared" si="0"/>
        <v>0</v>
      </c>
      <c r="J17" s="4">
        <f t="shared" si="1"/>
        <v>0</v>
      </c>
    </row>
    <row r="18" spans="1:10" x14ac:dyDescent="0.3">
      <c r="A18" s="106" t="s">
        <v>122</v>
      </c>
      <c r="B18" s="114">
        <v>7.0000000000000007E-2</v>
      </c>
      <c r="C18" s="114">
        <v>0.21</v>
      </c>
      <c r="D18" s="108"/>
      <c r="E18" s="108"/>
      <c r="F18" s="108"/>
      <c r="G18" s="108"/>
      <c r="H18" s="7">
        <f>PREÇOS!K19</f>
        <v>6.4012903225806452</v>
      </c>
      <c r="I18" s="82">
        <f t="shared" si="0"/>
        <v>0</v>
      </c>
      <c r="J18" s="4">
        <f t="shared" si="1"/>
        <v>0</v>
      </c>
    </row>
    <row r="19" spans="1:10" x14ac:dyDescent="0.3">
      <c r="A19" s="106" t="s">
        <v>123</v>
      </c>
      <c r="B19" s="114">
        <v>0.12</v>
      </c>
      <c r="C19" s="114">
        <v>0.19500000000000001</v>
      </c>
      <c r="D19" s="108"/>
      <c r="E19" s="108"/>
      <c r="F19" s="108">
        <v>0.60799999999999998</v>
      </c>
      <c r="G19" s="108"/>
      <c r="H19" s="7">
        <f>PREÇOS!K20</f>
        <v>6.7650000000000006</v>
      </c>
      <c r="I19" s="85">
        <f>IF(F19=0,,H19*(1+F19)*C19-(H19*B19))</f>
        <v>1.3094334000000003</v>
      </c>
      <c r="J19" s="86">
        <f t="shared" si="1"/>
        <v>1.3094334000000003</v>
      </c>
    </row>
    <row r="20" spans="1:10" x14ac:dyDescent="0.3">
      <c r="A20" s="106" t="s">
        <v>124</v>
      </c>
      <c r="B20" s="114">
        <v>0.12</v>
      </c>
      <c r="C20" s="114">
        <v>0.22</v>
      </c>
      <c r="D20" s="108"/>
      <c r="E20" s="108"/>
      <c r="F20" s="108">
        <v>0.54730000000000001</v>
      </c>
      <c r="G20" s="108"/>
      <c r="H20" s="7">
        <f>PREÇOS!K21</f>
        <v>6.7650000000000006</v>
      </c>
      <c r="I20" s="85">
        <f t="shared" si="0"/>
        <v>1.4910465899999996</v>
      </c>
      <c r="J20" s="86">
        <f t="shared" si="1"/>
        <v>1.4910465899999996</v>
      </c>
    </row>
    <row r="21" spans="1:10" x14ac:dyDescent="0.3">
      <c r="A21" s="106" t="s">
        <v>125</v>
      </c>
      <c r="B21" s="114">
        <v>7.0000000000000007E-2</v>
      </c>
      <c r="C21" s="114">
        <v>0.2</v>
      </c>
      <c r="D21" s="108"/>
      <c r="E21" s="108"/>
      <c r="F21" s="108"/>
      <c r="G21" s="108"/>
      <c r="H21" s="7">
        <f>PREÇOS!K22</f>
        <v>6.4012903225806452</v>
      </c>
      <c r="I21" s="82">
        <f t="shared" si="0"/>
        <v>0</v>
      </c>
      <c r="J21" s="4">
        <f t="shared" si="1"/>
        <v>0</v>
      </c>
    </row>
    <row r="22" spans="1:10" x14ac:dyDescent="0.3">
      <c r="A22" s="106" t="s">
        <v>126</v>
      </c>
      <c r="B22" s="114">
        <v>7.0000000000000007E-2</v>
      </c>
      <c r="C22" s="114">
        <v>0.17499999999999999</v>
      </c>
      <c r="D22" s="108"/>
      <c r="E22" s="108"/>
      <c r="F22" s="108"/>
      <c r="G22" s="108"/>
      <c r="H22" s="7">
        <f>PREÇOS!K23</f>
        <v>6.4012903225806452</v>
      </c>
      <c r="I22" s="82">
        <f t="shared" si="0"/>
        <v>0</v>
      </c>
      <c r="J22" s="4">
        <f t="shared" si="1"/>
        <v>0</v>
      </c>
    </row>
    <row r="23" spans="1:10" x14ac:dyDescent="0.3">
      <c r="A23" s="106" t="s">
        <v>127</v>
      </c>
      <c r="B23" s="114">
        <v>7.0000000000000007E-2</v>
      </c>
      <c r="C23" s="114">
        <v>0.2</v>
      </c>
      <c r="D23" s="108"/>
      <c r="E23" s="108"/>
      <c r="F23" s="108"/>
      <c r="G23" s="108"/>
      <c r="H23" s="7">
        <f>PREÇOS!K24</f>
        <v>6.4012903225806452</v>
      </c>
      <c r="I23" s="82">
        <f t="shared" si="0"/>
        <v>0</v>
      </c>
      <c r="J23" s="4">
        <f t="shared" si="1"/>
        <v>0</v>
      </c>
    </row>
    <row r="24" spans="1:10" x14ac:dyDescent="0.3">
      <c r="A24" s="106" t="s">
        <v>10</v>
      </c>
      <c r="B24" s="114">
        <v>0.12</v>
      </c>
      <c r="C24" s="114">
        <v>0.17</v>
      </c>
      <c r="D24" s="108"/>
      <c r="E24" s="108"/>
      <c r="F24" s="108"/>
      <c r="G24" s="108"/>
      <c r="H24" s="7">
        <f>PREÇOS!K25</f>
        <v>6.7650000000000006</v>
      </c>
      <c r="I24" s="85">
        <f t="shared" si="0"/>
        <v>0</v>
      </c>
      <c r="J24" s="86">
        <f t="shared" si="1"/>
        <v>0</v>
      </c>
    </row>
    <row r="25" spans="1:10" x14ac:dyDescent="0.3">
      <c r="A25" s="106" t="s">
        <v>128</v>
      </c>
      <c r="B25" s="114">
        <v>0.12</v>
      </c>
      <c r="C25" s="114">
        <v>0.17</v>
      </c>
      <c r="D25" s="108"/>
      <c r="E25" s="108"/>
      <c r="F25" s="108"/>
      <c r="G25" s="108"/>
      <c r="H25" s="7">
        <f>PREÇOS!K26</f>
        <v>6.7650000000000006</v>
      </c>
      <c r="I25" s="85">
        <f t="shared" si="0"/>
        <v>0</v>
      </c>
      <c r="J25" s="86">
        <f t="shared" si="1"/>
        <v>0</v>
      </c>
    </row>
    <row r="26" spans="1:10" x14ac:dyDescent="0.3">
      <c r="A26" s="106" t="s">
        <v>129</v>
      </c>
      <c r="B26" s="114">
        <v>7.0000000000000007E-2</v>
      </c>
      <c r="C26" s="114">
        <v>0.2</v>
      </c>
      <c r="D26" s="108"/>
      <c r="E26" s="108"/>
      <c r="F26" s="108"/>
      <c r="G26" s="108"/>
      <c r="H26" s="7">
        <f>PREÇOS!K27</f>
        <v>6.4012903225806452</v>
      </c>
      <c r="I26" s="83">
        <f t="shared" si="0"/>
        <v>0</v>
      </c>
      <c r="J26" s="41">
        <f t="shared" si="1"/>
        <v>0</v>
      </c>
    </row>
    <row r="27" spans="1:10" x14ac:dyDescent="0.3">
      <c r="A27" s="106" t="s">
        <v>130</v>
      </c>
      <c r="B27" s="114">
        <v>0.12</v>
      </c>
      <c r="C27" s="114">
        <v>0.18</v>
      </c>
      <c r="D27" s="108"/>
      <c r="E27" s="108"/>
      <c r="F27" s="108">
        <v>0.46300000000000002</v>
      </c>
      <c r="G27" s="108"/>
      <c r="H27" s="7">
        <f>PREÇOS!K28</f>
        <v>6.7650000000000006</v>
      </c>
      <c r="I27" s="85">
        <f t="shared" si="0"/>
        <v>0.96969510000000025</v>
      </c>
      <c r="J27" s="86">
        <f t="shared" si="1"/>
        <v>0.96969510000000025</v>
      </c>
    </row>
    <row r="28" spans="1:10" x14ac:dyDescent="0.3">
      <c r="A28" s="109" t="s">
        <v>131</v>
      </c>
      <c r="B28" s="88">
        <f>B27</f>
        <v>0.12</v>
      </c>
      <c r="C28" s="88">
        <f t="shared" ref="C28:G28" si="2">C27</f>
        <v>0.18</v>
      </c>
      <c r="D28" s="87">
        <f t="shared" si="2"/>
        <v>0</v>
      </c>
      <c r="E28" s="87">
        <f t="shared" si="2"/>
        <v>0</v>
      </c>
      <c r="F28" s="87">
        <f t="shared" si="2"/>
        <v>0.46300000000000002</v>
      </c>
      <c r="G28" s="87">
        <f t="shared" si="2"/>
        <v>0</v>
      </c>
      <c r="H28" s="7">
        <f>PREÇOS!K29</f>
        <v>6.7650000000000006</v>
      </c>
      <c r="I28" s="105">
        <f t="shared" si="0"/>
        <v>0.96969510000000025</v>
      </c>
      <c r="J28" s="103">
        <f t="shared" si="1"/>
        <v>0.96969510000000025</v>
      </c>
    </row>
    <row r="29" spans="1:10" x14ac:dyDescent="0.3">
      <c r="A29" s="106" t="s">
        <v>132</v>
      </c>
      <c r="B29" s="114">
        <v>7.0000000000000007E-2</v>
      </c>
      <c r="C29" s="114">
        <v>0.2</v>
      </c>
      <c r="D29" s="108"/>
      <c r="E29" s="108"/>
      <c r="F29" s="108"/>
      <c r="G29" s="108"/>
      <c r="H29" s="7">
        <f>PREÇOS!K30</f>
        <v>6.4012903225806452</v>
      </c>
      <c r="I29" s="83">
        <f t="shared" si="0"/>
        <v>0</v>
      </c>
      <c r="J29" s="41">
        <f t="shared" si="1"/>
        <v>0</v>
      </c>
    </row>
    <row r="30" spans="1:10" x14ac:dyDescent="0.3">
      <c r="A30" s="3" t="s">
        <v>133</v>
      </c>
      <c r="H30" s="7">
        <f>PREÇOS!K31</f>
        <v>5.0410161290322577</v>
      </c>
      <c r="I30" s="83">
        <f t="shared" si="0"/>
        <v>0</v>
      </c>
      <c r="J30" s="41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B859-02A6-40FA-8C25-05EBC9CFD9CB}">
  <sheetPr>
    <tabColor rgb="FF7030A0"/>
  </sheetPr>
  <dimension ref="A1:J30"/>
  <sheetViews>
    <sheetView workbookViewId="0">
      <selection activeCell="J12" sqref="J12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06" t="s">
        <v>106</v>
      </c>
      <c r="B2" s="114">
        <v>7.0000000000000007E-2</v>
      </c>
      <c r="C2" s="114">
        <v>0.17</v>
      </c>
      <c r="D2" s="108"/>
      <c r="E2" s="108"/>
      <c r="F2" s="108"/>
      <c r="G2" s="108"/>
      <c r="H2" s="7">
        <f>PREÇOS!L3</f>
        <v>15.318812903225806</v>
      </c>
      <c r="I2" s="82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06" t="s">
        <v>107</v>
      </c>
      <c r="B3" s="114">
        <v>7.0000000000000007E-2</v>
      </c>
      <c r="C3" s="114">
        <v>0.2</v>
      </c>
      <c r="D3" s="108"/>
      <c r="E3" s="108"/>
      <c r="F3" s="108">
        <v>0.71</v>
      </c>
      <c r="G3" s="108"/>
      <c r="H3" s="7">
        <f>PREÇOS!L4</f>
        <v>15.318812903225806</v>
      </c>
      <c r="I3" s="82">
        <f>IF(F3=0,,H3*(1+F3)*C3-(H3*B3))</f>
        <v>4.1667171096774194</v>
      </c>
      <c r="J3" s="4">
        <f t="shared" si="1"/>
        <v>4.1667171096774194</v>
      </c>
    </row>
    <row r="4" spans="1:10" x14ac:dyDescent="0.3">
      <c r="A4" s="106" t="s">
        <v>108</v>
      </c>
      <c r="B4" s="114">
        <v>7.0000000000000007E-2</v>
      </c>
      <c r="C4" s="114">
        <v>0.2</v>
      </c>
      <c r="D4" s="108"/>
      <c r="E4" s="108"/>
      <c r="F4" s="108">
        <v>0.55379999999999996</v>
      </c>
      <c r="G4" s="108"/>
      <c r="H4" s="7">
        <f>PREÇOS!L5</f>
        <v>15.318812903225806</v>
      </c>
      <c r="I4" s="82">
        <f t="shared" si="0"/>
        <v>3.688157394580645</v>
      </c>
      <c r="J4" s="4">
        <f t="shared" si="1"/>
        <v>3.688157394580645</v>
      </c>
    </row>
    <row r="5" spans="1:10" x14ac:dyDescent="0.3">
      <c r="A5" s="106" t="s">
        <v>109</v>
      </c>
      <c r="B5" s="114">
        <v>7.0000000000000007E-2</v>
      </c>
      <c r="C5" s="114">
        <v>0.18</v>
      </c>
      <c r="D5" s="108"/>
      <c r="E5" s="108"/>
      <c r="F5" s="108"/>
      <c r="G5" s="108"/>
      <c r="H5" s="7">
        <f>PREÇOS!L6</f>
        <v>15.318812903225806</v>
      </c>
      <c r="I5" s="82">
        <f t="shared" si="0"/>
        <v>0</v>
      </c>
      <c r="J5" s="4">
        <f t="shared" si="1"/>
        <v>0</v>
      </c>
    </row>
    <row r="6" spans="1:10" x14ac:dyDescent="0.3">
      <c r="A6" s="106" t="s">
        <v>110</v>
      </c>
      <c r="B6" s="114">
        <v>7.0000000000000007E-2</v>
      </c>
      <c r="C6" s="114">
        <v>0.19</v>
      </c>
      <c r="D6" s="108"/>
      <c r="E6" s="108"/>
      <c r="F6" s="108"/>
      <c r="G6" s="108"/>
      <c r="H6" s="7">
        <f>PREÇOS!L7</f>
        <v>15.318812903225806</v>
      </c>
      <c r="I6" s="82">
        <f t="shared" si="0"/>
        <v>0</v>
      </c>
      <c r="J6" s="4">
        <f t="shared" si="1"/>
        <v>0</v>
      </c>
    </row>
    <row r="7" spans="1:10" x14ac:dyDescent="0.3">
      <c r="A7" s="106" t="s">
        <v>111</v>
      </c>
      <c r="B7" s="114">
        <v>7.0000000000000007E-2</v>
      </c>
      <c r="C7" s="114">
        <v>0.2</v>
      </c>
      <c r="D7" s="108"/>
      <c r="E7" s="108"/>
      <c r="F7" s="108"/>
      <c r="G7" s="108"/>
      <c r="H7" s="7">
        <f>PREÇOS!L8</f>
        <v>15.318812903225806</v>
      </c>
      <c r="I7" s="82">
        <f t="shared" si="0"/>
        <v>0</v>
      </c>
      <c r="J7" s="4">
        <f t="shared" si="1"/>
        <v>0</v>
      </c>
    </row>
    <row r="8" spans="1:10" x14ac:dyDescent="0.3">
      <c r="A8" s="106" t="s">
        <v>112</v>
      </c>
      <c r="B8" s="114">
        <v>7.0000000000000007E-2</v>
      </c>
      <c r="C8" s="114">
        <v>0.18</v>
      </c>
      <c r="D8" s="108"/>
      <c r="E8" s="108"/>
      <c r="F8" s="108"/>
      <c r="G8" s="108"/>
      <c r="H8" s="7">
        <f>PREÇOS!L9</f>
        <v>15.318812903225806</v>
      </c>
      <c r="I8" s="82">
        <f t="shared" si="0"/>
        <v>0</v>
      </c>
      <c r="J8" s="4">
        <f t="shared" si="1"/>
        <v>0</v>
      </c>
    </row>
    <row r="9" spans="1:10" x14ac:dyDescent="0.3">
      <c r="A9" s="106" t="s">
        <v>113</v>
      </c>
      <c r="B9" s="114">
        <v>7.0000000000000007E-2</v>
      </c>
      <c r="C9" s="114">
        <v>0.17</v>
      </c>
      <c r="D9" s="108"/>
      <c r="E9" s="108"/>
      <c r="F9" s="108"/>
      <c r="G9" s="108"/>
      <c r="H9" s="7">
        <f>PREÇOS!L10</f>
        <v>15.318812903225806</v>
      </c>
      <c r="I9" s="82">
        <f t="shared" si="0"/>
        <v>0</v>
      </c>
      <c r="J9" s="4">
        <f t="shared" si="1"/>
        <v>0</v>
      </c>
    </row>
    <row r="10" spans="1:10" x14ac:dyDescent="0.3">
      <c r="A10" s="106" t="s">
        <v>114</v>
      </c>
      <c r="B10" s="114">
        <v>7.0000000000000007E-2</v>
      </c>
      <c r="C10" s="114">
        <v>0.17</v>
      </c>
      <c r="D10" s="108"/>
      <c r="E10" s="108"/>
      <c r="F10" s="108"/>
      <c r="G10" s="108"/>
      <c r="H10" s="7">
        <f>PREÇOS!L11</f>
        <v>15.318812903225806</v>
      </c>
      <c r="I10" s="82">
        <f t="shared" si="0"/>
        <v>0</v>
      </c>
      <c r="J10" s="4">
        <f t="shared" si="1"/>
        <v>0</v>
      </c>
    </row>
    <row r="11" spans="1:10" x14ac:dyDescent="0.3">
      <c r="A11" s="106" t="s">
        <v>115</v>
      </c>
      <c r="B11" s="114">
        <v>7.0000000000000007E-2</v>
      </c>
      <c r="C11" s="114">
        <v>0.2</v>
      </c>
      <c r="D11" s="108"/>
      <c r="E11" s="108"/>
      <c r="F11" s="108"/>
      <c r="G11" s="108"/>
      <c r="H11" s="7">
        <f>PREÇOS!L12</f>
        <v>15.318812903225806</v>
      </c>
      <c r="I11" s="82">
        <f t="shared" si="0"/>
        <v>0</v>
      </c>
      <c r="J11" s="4">
        <f t="shared" si="1"/>
        <v>0</v>
      </c>
    </row>
    <row r="12" spans="1:10" x14ac:dyDescent="0.3">
      <c r="A12" s="106" t="s">
        <v>116</v>
      </c>
      <c r="B12" s="114">
        <v>0.12</v>
      </c>
      <c r="C12" s="114">
        <v>0.18</v>
      </c>
      <c r="D12" s="108"/>
      <c r="E12" s="108"/>
      <c r="F12" s="108">
        <v>0.44879999999999998</v>
      </c>
      <c r="G12" s="108"/>
      <c r="H12" s="7">
        <f>PREÇOS!L13</f>
        <v>16.1892</v>
      </c>
      <c r="I12" s="85">
        <f t="shared" si="0"/>
        <v>2.2791803327999993</v>
      </c>
      <c r="J12" s="86">
        <f t="shared" si="1"/>
        <v>2.2791803327999993</v>
      </c>
    </row>
    <row r="13" spans="1:10" x14ac:dyDescent="0.3">
      <c r="A13" s="106" t="s">
        <v>117</v>
      </c>
      <c r="B13" s="114">
        <v>7.0000000000000007E-2</v>
      </c>
      <c r="C13" s="114">
        <v>0.17</v>
      </c>
      <c r="D13" s="108"/>
      <c r="E13" s="108"/>
      <c r="F13" s="108"/>
      <c r="G13" s="108"/>
      <c r="H13" s="7">
        <f>PREÇOS!L14</f>
        <v>15.318812903225806</v>
      </c>
      <c r="I13" s="82">
        <f t="shared" si="0"/>
        <v>0</v>
      </c>
      <c r="J13" s="4">
        <f t="shared" si="1"/>
        <v>0</v>
      </c>
    </row>
    <row r="14" spans="1:10" x14ac:dyDescent="0.3">
      <c r="A14" s="106" t="s">
        <v>118</v>
      </c>
      <c r="B14" s="114">
        <v>7.0000000000000007E-2</v>
      </c>
      <c r="C14" s="114">
        <v>0.17</v>
      </c>
      <c r="D14" s="108"/>
      <c r="E14" s="108"/>
      <c r="F14" s="108">
        <v>0.45519999999999999</v>
      </c>
      <c r="G14" s="108"/>
      <c r="H14" s="7">
        <f>PREÇOS!L15</f>
        <v>15.318812903225806</v>
      </c>
      <c r="I14" s="82">
        <f t="shared" si="0"/>
        <v>2.7173123080258064</v>
      </c>
      <c r="J14" s="4">
        <f t="shared" si="1"/>
        <v>2.7173123080258064</v>
      </c>
    </row>
    <row r="15" spans="1:10" x14ac:dyDescent="0.3">
      <c r="A15" s="106" t="s">
        <v>119</v>
      </c>
      <c r="B15" s="114">
        <v>7.0000000000000007E-2</v>
      </c>
      <c r="C15" s="114">
        <v>0.19</v>
      </c>
      <c r="D15" s="108"/>
      <c r="E15" s="108"/>
      <c r="F15" s="108"/>
      <c r="G15" s="108"/>
      <c r="H15" s="7">
        <f>PREÇOS!L16</f>
        <v>15.318812903225806</v>
      </c>
      <c r="I15" s="82">
        <f t="shared" si="0"/>
        <v>0</v>
      </c>
      <c r="J15" s="4">
        <f t="shared" si="1"/>
        <v>0</v>
      </c>
    </row>
    <row r="16" spans="1:10" x14ac:dyDescent="0.3">
      <c r="A16" s="106" t="s">
        <v>120</v>
      </c>
      <c r="B16" s="114">
        <v>7.0000000000000007E-2</v>
      </c>
      <c r="C16" s="114">
        <v>0.18</v>
      </c>
      <c r="D16" s="108"/>
      <c r="E16" s="108"/>
      <c r="F16" s="108"/>
      <c r="G16" s="108"/>
      <c r="H16" s="7">
        <f>PREÇOS!L17</f>
        <v>15.318812903225806</v>
      </c>
      <c r="I16" s="82">
        <f t="shared" si="0"/>
        <v>0</v>
      </c>
      <c r="J16" s="4">
        <f t="shared" si="1"/>
        <v>0</v>
      </c>
    </row>
    <row r="17" spans="1:10" x14ac:dyDescent="0.3">
      <c r="A17" s="106" t="s">
        <v>121</v>
      </c>
      <c r="B17" s="114">
        <v>7.0000000000000007E-2</v>
      </c>
      <c r="C17" s="114">
        <v>0.18</v>
      </c>
      <c r="D17" s="108"/>
      <c r="E17" s="108"/>
      <c r="F17" s="108"/>
      <c r="G17" s="108"/>
      <c r="H17" s="7">
        <f>PREÇOS!L18</f>
        <v>15.318812903225806</v>
      </c>
      <c r="I17" s="82">
        <f t="shared" si="0"/>
        <v>0</v>
      </c>
      <c r="J17" s="4">
        <f t="shared" si="1"/>
        <v>0</v>
      </c>
    </row>
    <row r="18" spans="1:10" x14ac:dyDescent="0.3">
      <c r="A18" s="106" t="s">
        <v>122</v>
      </c>
      <c r="B18" s="114">
        <v>7.0000000000000007E-2</v>
      </c>
      <c r="C18" s="114">
        <v>0.21</v>
      </c>
      <c r="D18" s="108"/>
      <c r="E18" s="108"/>
      <c r="F18" s="108"/>
      <c r="G18" s="108"/>
      <c r="H18" s="7">
        <f>PREÇOS!L19</f>
        <v>15.318812903225806</v>
      </c>
      <c r="I18" s="82">
        <f t="shared" si="0"/>
        <v>0</v>
      </c>
      <c r="J18" s="4">
        <f t="shared" si="1"/>
        <v>0</v>
      </c>
    </row>
    <row r="19" spans="1:10" x14ac:dyDescent="0.3">
      <c r="A19" s="106" t="s">
        <v>123</v>
      </c>
      <c r="B19" s="114">
        <v>0.12</v>
      </c>
      <c r="C19" s="114">
        <v>0.19500000000000001</v>
      </c>
      <c r="D19" s="108"/>
      <c r="E19" s="108"/>
      <c r="F19" s="108">
        <v>0.60799999999999998</v>
      </c>
      <c r="G19" s="108"/>
      <c r="H19" s="7">
        <f>PREÇOS!L20</f>
        <v>16.1892</v>
      </c>
      <c r="I19" s="85">
        <f>IF(F19=0,,H19*(1+F19)*C19-(H19*B19))</f>
        <v>3.1335815520000008</v>
      </c>
      <c r="J19" s="86">
        <f t="shared" si="1"/>
        <v>3.1335815520000008</v>
      </c>
    </row>
    <row r="20" spans="1:10" x14ac:dyDescent="0.3">
      <c r="A20" s="106" t="s">
        <v>124</v>
      </c>
      <c r="B20" s="114">
        <v>0.12</v>
      </c>
      <c r="C20" s="114">
        <v>0.22</v>
      </c>
      <c r="D20" s="108"/>
      <c r="E20" s="108"/>
      <c r="F20" s="108">
        <v>0.54730000000000001</v>
      </c>
      <c r="G20" s="108"/>
      <c r="H20" s="7">
        <f>PREÇOS!L21</f>
        <v>16.1892</v>
      </c>
      <c r="I20" s="85">
        <f t="shared" si="0"/>
        <v>3.5681968151999994</v>
      </c>
      <c r="J20" s="86">
        <f t="shared" si="1"/>
        <v>3.5681968151999994</v>
      </c>
    </row>
    <row r="21" spans="1:10" x14ac:dyDescent="0.3">
      <c r="A21" s="106" t="s">
        <v>125</v>
      </c>
      <c r="B21" s="114">
        <v>7.0000000000000007E-2</v>
      </c>
      <c r="C21" s="114">
        <v>0.2</v>
      </c>
      <c r="D21" s="108"/>
      <c r="E21" s="108"/>
      <c r="F21" s="108"/>
      <c r="G21" s="108"/>
      <c r="H21" s="7">
        <f>PREÇOS!L22</f>
        <v>15.318812903225806</v>
      </c>
      <c r="I21" s="82">
        <f t="shared" si="0"/>
        <v>0</v>
      </c>
      <c r="J21" s="4">
        <f t="shared" si="1"/>
        <v>0</v>
      </c>
    </row>
    <row r="22" spans="1:10" x14ac:dyDescent="0.3">
      <c r="A22" s="106" t="s">
        <v>126</v>
      </c>
      <c r="B22" s="114">
        <v>7.0000000000000007E-2</v>
      </c>
      <c r="C22" s="114">
        <v>0.17499999999999999</v>
      </c>
      <c r="D22" s="108"/>
      <c r="E22" s="108"/>
      <c r="F22" s="108"/>
      <c r="G22" s="108"/>
      <c r="H22" s="7">
        <f>PREÇOS!L23</f>
        <v>15.318812903225806</v>
      </c>
      <c r="I22" s="82">
        <f t="shared" si="0"/>
        <v>0</v>
      </c>
      <c r="J22" s="4">
        <f t="shared" si="1"/>
        <v>0</v>
      </c>
    </row>
    <row r="23" spans="1:10" x14ac:dyDescent="0.3">
      <c r="A23" s="106" t="s">
        <v>127</v>
      </c>
      <c r="B23" s="114">
        <v>7.0000000000000007E-2</v>
      </c>
      <c r="C23" s="114">
        <v>0.2</v>
      </c>
      <c r="D23" s="108"/>
      <c r="E23" s="108"/>
      <c r="F23" s="108"/>
      <c r="G23" s="108"/>
      <c r="H23" s="7">
        <f>PREÇOS!L24</f>
        <v>15.318812903225806</v>
      </c>
      <c r="I23" s="82">
        <f t="shared" si="0"/>
        <v>0</v>
      </c>
      <c r="J23" s="4">
        <f t="shared" si="1"/>
        <v>0</v>
      </c>
    </row>
    <row r="24" spans="1:10" x14ac:dyDescent="0.3">
      <c r="A24" s="106" t="s">
        <v>10</v>
      </c>
      <c r="B24" s="114">
        <v>0.12</v>
      </c>
      <c r="C24" s="114">
        <v>0.17</v>
      </c>
      <c r="D24" s="108"/>
      <c r="E24" s="108"/>
      <c r="F24" s="108"/>
      <c r="G24" s="108"/>
      <c r="H24" s="7">
        <f>PREÇOS!L25</f>
        <v>16.1892</v>
      </c>
      <c r="I24" s="85">
        <f t="shared" si="0"/>
        <v>0</v>
      </c>
      <c r="J24" s="86">
        <f t="shared" si="1"/>
        <v>0</v>
      </c>
    </row>
    <row r="25" spans="1:10" x14ac:dyDescent="0.3">
      <c r="A25" s="106" t="s">
        <v>128</v>
      </c>
      <c r="B25" s="114">
        <v>0.12</v>
      </c>
      <c r="C25" s="114">
        <v>0.17</v>
      </c>
      <c r="D25" s="108"/>
      <c r="E25" s="108"/>
      <c r="F25" s="108"/>
      <c r="G25" s="108"/>
      <c r="H25" s="7">
        <f>PREÇOS!L26</f>
        <v>16.1892</v>
      </c>
      <c r="I25" s="85">
        <f t="shared" si="0"/>
        <v>0</v>
      </c>
      <c r="J25" s="86">
        <f t="shared" si="1"/>
        <v>0</v>
      </c>
    </row>
    <row r="26" spans="1:10" x14ac:dyDescent="0.3">
      <c r="A26" s="106" t="s">
        <v>129</v>
      </c>
      <c r="B26" s="114">
        <v>7.0000000000000007E-2</v>
      </c>
      <c r="C26" s="114">
        <v>0.2</v>
      </c>
      <c r="D26" s="108"/>
      <c r="E26" s="108"/>
      <c r="F26" s="108"/>
      <c r="G26" s="108"/>
      <c r="H26" s="7">
        <f>PREÇOS!L27</f>
        <v>15.318812903225806</v>
      </c>
      <c r="I26" s="83">
        <f t="shared" si="0"/>
        <v>0</v>
      </c>
      <c r="J26" s="41">
        <f t="shared" si="1"/>
        <v>0</v>
      </c>
    </row>
    <row r="27" spans="1:10" x14ac:dyDescent="0.3">
      <c r="A27" s="106" t="s">
        <v>130</v>
      </c>
      <c r="B27" s="114">
        <v>0.12</v>
      </c>
      <c r="C27" s="114">
        <v>0.18</v>
      </c>
      <c r="D27" s="108"/>
      <c r="E27" s="108"/>
      <c r="F27" s="108">
        <v>0.46300000000000002</v>
      </c>
      <c r="G27" s="108"/>
      <c r="H27" s="7">
        <f>PREÇOS!L28</f>
        <v>16.1892</v>
      </c>
      <c r="I27" s="85">
        <f t="shared" si="0"/>
        <v>2.3205599279999998</v>
      </c>
      <c r="J27" s="86">
        <f t="shared" si="1"/>
        <v>2.3205599279999998</v>
      </c>
    </row>
    <row r="28" spans="1:10" x14ac:dyDescent="0.3">
      <c r="A28" s="109" t="s">
        <v>131</v>
      </c>
      <c r="B28" s="88">
        <f>B27</f>
        <v>0.12</v>
      </c>
      <c r="C28" s="88">
        <f t="shared" ref="C28:G28" si="2">C27</f>
        <v>0.18</v>
      </c>
      <c r="D28" s="87">
        <f t="shared" si="2"/>
        <v>0</v>
      </c>
      <c r="E28" s="87">
        <f t="shared" si="2"/>
        <v>0</v>
      </c>
      <c r="F28" s="87">
        <f t="shared" si="2"/>
        <v>0.46300000000000002</v>
      </c>
      <c r="G28" s="87">
        <f t="shared" si="2"/>
        <v>0</v>
      </c>
      <c r="H28" s="7">
        <f>PREÇOS!L29</f>
        <v>16.1892</v>
      </c>
      <c r="I28" s="105">
        <f t="shared" si="0"/>
        <v>2.3205599279999998</v>
      </c>
      <c r="J28" s="103">
        <f t="shared" si="1"/>
        <v>2.3205599279999998</v>
      </c>
    </row>
    <row r="29" spans="1:10" x14ac:dyDescent="0.3">
      <c r="A29" s="106" t="s">
        <v>132</v>
      </c>
      <c r="B29" s="114">
        <v>7.0000000000000007E-2</v>
      </c>
      <c r="C29" s="114">
        <v>0.2</v>
      </c>
      <c r="D29" s="108"/>
      <c r="E29" s="108"/>
      <c r="F29" s="108"/>
      <c r="G29" s="108"/>
      <c r="H29" s="7">
        <f>PREÇOS!L30</f>
        <v>15.318812903225806</v>
      </c>
      <c r="I29" s="83">
        <f t="shared" si="0"/>
        <v>0</v>
      </c>
      <c r="J29" s="41">
        <f t="shared" si="1"/>
        <v>0</v>
      </c>
    </row>
    <row r="30" spans="1:10" x14ac:dyDescent="0.3">
      <c r="A30" s="3" t="s">
        <v>133</v>
      </c>
      <c r="H30" s="7">
        <f>PREÇOS!L31</f>
        <v>12.063565161290322</v>
      </c>
      <c r="I30" s="83">
        <f t="shared" si="0"/>
        <v>0</v>
      </c>
      <c r="J30" s="41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3146-667F-4F2F-B1E6-91DE90FDE379}">
  <dimension ref="A1:K30"/>
  <sheetViews>
    <sheetView showGridLines="0" zoomScale="91" zoomScaleNormal="91" workbookViewId="0">
      <pane xSplit="3" ySplit="1" topLeftCell="D14" activePane="bottomRight" state="frozen"/>
      <selection activeCell="F36" sqref="F36"/>
      <selection pane="topRight" activeCell="F36" sqref="F36"/>
      <selection pane="bottomLeft" activeCell="F36" sqref="F36"/>
      <selection pane="bottomRight" activeCell="F36" sqref="F36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6.88671875" bestFit="1" customWidth="1"/>
    <col min="6" max="6" width="20.5546875" bestFit="1" customWidth="1"/>
    <col min="7" max="7" width="21.5546875" bestFit="1" customWidth="1"/>
    <col min="8" max="8" width="8.5546875" bestFit="1" customWidth="1"/>
    <col min="9" max="9" width="12.5546875" bestFit="1" customWidth="1"/>
    <col min="10" max="10" width="13.5546875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06" t="s">
        <v>106</v>
      </c>
      <c r="B2" s="114">
        <v>7.0000000000000007E-2</v>
      </c>
      <c r="C2" s="114">
        <v>0.19</v>
      </c>
      <c r="D2" s="108"/>
      <c r="E2" s="108"/>
      <c r="F2" s="108"/>
      <c r="G2" s="108"/>
      <c r="H2" s="44">
        <f>PREÇOS!P3</f>
        <v>4.731182795698925</v>
      </c>
      <c r="I2" s="41">
        <f t="shared" ref="I2:I29" si="0">IF(F2=0,,H2*(1+F2)*C2-(H2*B2))</f>
        <v>0</v>
      </c>
      <c r="J2" s="41">
        <f t="shared" ref="J2:J29" si="1">IF(G2=0,IF(F2=0,,H2*(1+F2)*C2-(H2*B2)),H2*(1+G2)*C2-(H2*B2))</f>
        <v>0</v>
      </c>
    </row>
    <row r="3" spans="1:10" x14ac:dyDescent="0.3">
      <c r="A3" s="109" t="s">
        <v>107</v>
      </c>
      <c r="B3" s="88">
        <v>7.0000000000000007E-2</v>
      </c>
      <c r="C3" s="88">
        <v>0.2</v>
      </c>
      <c r="D3" s="87"/>
      <c r="E3" s="87"/>
      <c r="F3" s="87">
        <v>0.51129999999999998</v>
      </c>
      <c r="G3" s="87"/>
      <c r="H3" s="44">
        <f>PREÇOS!P4</f>
        <v>4.731182795698925</v>
      </c>
      <c r="I3" s="41">
        <f>IF(F3=0,,H3*(1+F3)*C3-(H3*B3))</f>
        <v>1.0988645161290322</v>
      </c>
      <c r="J3" s="41">
        <f t="shared" si="1"/>
        <v>1.0988645161290322</v>
      </c>
    </row>
    <row r="4" spans="1:10" x14ac:dyDescent="0.3">
      <c r="A4" s="106" t="s">
        <v>108</v>
      </c>
      <c r="B4" s="114">
        <v>7.0000000000000007E-2</v>
      </c>
      <c r="C4" s="114">
        <v>0.2</v>
      </c>
      <c r="D4" s="108"/>
      <c r="E4" s="108"/>
      <c r="F4" s="108"/>
      <c r="G4" s="108"/>
      <c r="H4" s="44">
        <f>PREÇOS!P5</f>
        <v>4.731182795698925</v>
      </c>
      <c r="I4" s="41">
        <f t="shared" si="0"/>
        <v>0</v>
      </c>
      <c r="J4" s="41">
        <f t="shared" si="1"/>
        <v>0</v>
      </c>
    </row>
    <row r="5" spans="1:10" x14ac:dyDescent="0.3">
      <c r="A5" s="109" t="s">
        <v>109</v>
      </c>
      <c r="B5" s="88">
        <v>7.0000000000000007E-2</v>
      </c>
      <c r="C5" s="88">
        <v>0.18</v>
      </c>
      <c r="D5" s="87"/>
      <c r="E5" s="87"/>
      <c r="F5" s="87">
        <v>0.51980000000000004</v>
      </c>
      <c r="G5" s="87"/>
      <c r="H5" s="44">
        <f>PREÇOS!P6</f>
        <v>4.731182795698925</v>
      </c>
      <c r="I5" s="41">
        <f t="shared" si="0"/>
        <v>0.96309849462365582</v>
      </c>
      <c r="J5" s="41">
        <f t="shared" si="1"/>
        <v>0.96309849462365582</v>
      </c>
    </row>
    <row r="6" spans="1:10" x14ac:dyDescent="0.3">
      <c r="A6" s="106" t="s">
        <v>110</v>
      </c>
      <c r="B6" s="114">
        <v>7.0000000000000007E-2</v>
      </c>
      <c r="C6" s="114">
        <v>0.19</v>
      </c>
      <c r="D6" s="108"/>
      <c r="E6" s="108"/>
      <c r="F6" s="108"/>
      <c r="G6" s="108"/>
      <c r="H6" s="44">
        <f>PREÇOS!P7</f>
        <v>4.731182795698925</v>
      </c>
      <c r="I6" s="41">
        <f t="shared" si="0"/>
        <v>0</v>
      </c>
      <c r="J6" s="41">
        <f t="shared" si="1"/>
        <v>0</v>
      </c>
    </row>
    <row r="7" spans="1:10" x14ac:dyDescent="0.3">
      <c r="A7" s="106" t="s">
        <v>111</v>
      </c>
      <c r="B7" s="114">
        <v>7.0000000000000007E-2</v>
      </c>
      <c r="C7" s="114">
        <v>0.2</v>
      </c>
      <c r="D7" s="108"/>
      <c r="E7" s="108"/>
      <c r="F7" s="108"/>
      <c r="G7" s="108"/>
      <c r="H7" s="44">
        <f>PREÇOS!P8</f>
        <v>4.731182795698925</v>
      </c>
      <c r="I7" s="41">
        <f t="shared" si="0"/>
        <v>0</v>
      </c>
      <c r="J7" s="41">
        <f t="shared" si="1"/>
        <v>0</v>
      </c>
    </row>
    <row r="8" spans="1:10" x14ac:dyDescent="0.3">
      <c r="A8" s="106" t="s">
        <v>112</v>
      </c>
      <c r="B8" s="114">
        <v>7.0000000000000007E-2</v>
      </c>
      <c r="C8" s="114">
        <v>0.18</v>
      </c>
      <c r="D8" s="108"/>
      <c r="E8" s="108"/>
      <c r="F8" s="108"/>
      <c r="G8" s="108"/>
      <c r="H8" s="44">
        <f>PREÇOS!P9</f>
        <v>4.731182795698925</v>
      </c>
      <c r="I8" s="41">
        <f t="shared" si="0"/>
        <v>0</v>
      </c>
      <c r="J8" s="41">
        <f t="shared" si="1"/>
        <v>0</v>
      </c>
    </row>
    <row r="9" spans="1:10" x14ac:dyDescent="0.3">
      <c r="A9" s="106" t="s">
        <v>113</v>
      </c>
      <c r="B9" s="114">
        <v>7.0000000000000007E-2</v>
      </c>
      <c r="C9" s="114">
        <v>0.17</v>
      </c>
      <c r="D9" s="108"/>
      <c r="E9" s="108"/>
      <c r="F9" s="108"/>
      <c r="G9" s="108"/>
      <c r="H9" s="44">
        <f>PREÇOS!P10</f>
        <v>4.731182795698925</v>
      </c>
      <c r="I9" s="41">
        <f t="shared" si="0"/>
        <v>0</v>
      </c>
      <c r="J9" s="41">
        <f t="shared" si="1"/>
        <v>0</v>
      </c>
    </row>
    <row r="10" spans="1:10" x14ac:dyDescent="0.3">
      <c r="A10" s="106" t="s">
        <v>114</v>
      </c>
      <c r="B10" s="114">
        <v>7.0000000000000007E-2</v>
      </c>
      <c r="C10" s="114">
        <v>0.17</v>
      </c>
      <c r="D10" s="108"/>
      <c r="E10" s="108"/>
      <c r="F10" s="108"/>
      <c r="G10" s="108"/>
      <c r="H10" s="44">
        <f>PREÇOS!P11</f>
        <v>4.731182795698925</v>
      </c>
      <c r="I10" s="41">
        <f t="shared" si="0"/>
        <v>0</v>
      </c>
      <c r="J10" s="41">
        <f t="shared" si="1"/>
        <v>0</v>
      </c>
    </row>
    <row r="11" spans="1:10" x14ac:dyDescent="0.3">
      <c r="A11" s="106" t="s">
        <v>115</v>
      </c>
      <c r="B11" s="114">
        <v>7.0000000000000007E-2</v>
      </c>
      <c r="C11" s="114">
        <v>0.2</v>
      </c>
      <c r="D11" s="108"/>
      <c r="E11" s="108"/>
      <c r="F11" s="108"/>
      <c r="G11" s="108"/>
      <c r="H11" s="44">
        <f>PREÇOS!P12</f>
        <v>4.731182795698925</v>
      </c>
      <c r="I11" s="41">
        <f t="shared" si="0"/>
        <v>0</v>
      </c>
      <c r="J11" s="41">
        <f t="shared" si="1"/>
        <v>0</v>
      </c>
    </row>
    <row r="12" spans="1:10" x14ac:dyDescent="0.3">
      <c r="A12" s="109" t="s">
        <v>116</v>
      </c>
      <c r="B12" s="88">
        <v>0.12</v>
      </c>
      <c r="C12" s="88">
        <v>0.12</v>
      </c>
      <c r="D12" s="87"/>
      <c r="E12" s="87"/>
      <c r="F12" s="87">
        <v>0.25</v>
      </c>
      <c r="G12" s="87"/>
      <c r="H12" s="84">
        <f>PREÇOS!P13</f>
        <v>5</v>
      </c>
      <c r="I12" s="86">
        <f t="shared" si="0"/>
        <v>0.15000000000000002</v>
      </c>
      <c r="J12" s="86">
        <f t="shared" si="1"/>
        <v>0.15000000000000002</v>
      </c>
    </row>
    <row r="13" spans="1:10" x14ac:dyDescent="0.3">
      <c r="A13" s="106" t="s">
        <v>117</v>
      </c>
      <c r="B13" s="114">
        <v>7.0000000000000007E-2</v>
      </c>
      <c r="C13" s="114">
        <v>0.17</v>
      </c>
      <c r="D13" s="108"/>
      <c r="E13" s="108"/>
      <c r="F13" s="108"/>
      <c r="G13" s="108"/>
      <c r="H13" s="44">
        <f>PREÇOS!P14</f>
        <v>4.731182795698925</v>
      </c>
      <c r="I13" s="41">
        <f t="shared" si="0"/>
        <v>0</v>
      </c>
      <c r="J13" s="41">
        <f t="shared" si="1"/>
        <v>0</v>
      </c>
    </row>
    <row r="14" spans="1:10" x14ac:dyDescent="0.3">
      <c r="A14" s="109" t="s">
        <v>118</v>
      </c>
      <c r="B14" s="88">
        <v>7.0000000000000007E-2</v>
      </c>
      <c r="C14" s="88">
        <v>0.17</v>
      </c>
      <c r="D14" s="87"/>
      <c r="E14" s="87"/>
      <c r="F14" s="87">
        <v>0.39779999999999999</v>
      </c>
      <c r="G14" s="87"/>
      <c r="H14" s="44">
        <f>PREÇOS!P15</f>
        <v>4.731182795698925</v>
      </c>
      <c r="I14" s="41">
        <f t="shared" si="0"/>
        <v>0.79306924731182793</v>
      </c>
      <c r="J14" s="41">
        <f t="shared" si="1"/>
        <v>0.79306924731182793</v>
      </c>
    </row>
    <row r="15" spans="1:10" x14ac:dyDescent="0.3">
      <c r="A15" s="106" t="s">
        <v>119</v>
      </c>
      <c r="B15" s="114">
        <v>7.0000000000000007E-2</v>
      </c>
      <c r="C15" s="114">
        <v>0.19</v>
      </c>
      <c r="D15" s="108"/>
      <c r="E15" s="108"/>
      <c r="F15" s="108"/>
      <c r="G15" s="108"/>
      <c r="H15" s="44">
        <f>PREÇOS!P16</f>
        <v>4.731182795698925</v>
      </c>
      <c r="I15" s="41">
        <f t="shared" si="0"/>
        <v>0</v>
      </c>
      <c r="J15" s="41">
        <f t="shared" si="1"/>
        <v>0</v>
      </c>
    </row>
    <row r="16" spans="1:10" x14ac:dyDescent="0.3">
      <c r="A16" s="106" t="s">
        <v>120</v>
      </c>
      <c r="B16" s="114">
        <v>7.0000000000000007E-2</v>
      </c>
      <c r="C16" s="114">
        <v>0.18</v>
      </c>
      <c r="D16" s="108"/>
      <c r="E16" s="108"/>
      <c r="F16" s="108"/>
      <c r="G16" s="108"/>
      <c r="H16" s="44">
        <f>PREÇOS!P17</f>
        <v>4.731182795698925</v>
      </c>
      <c r="I16" s="41">
        <f t="shared" si="0"/>
        <v>0</v>
      </c>
      <c r="J16" s="41">
        <f t="shared" si="1"/>
        <v>0</v>
      </c>
    </row>
    <row r="17" spans="1:11" x14ac:dyDescent="0.3">
      <c r="A17" s="106" t="s">
        <v>121</v>
      </c>
      <c r="B17" s="114">
        <v>7.0000000000000007E-2</v>
      </c>
      <c r="C17" s="114">
        <v>0.18</v>
      </c>
      <c r="D17" s="108"/>
      <c r="E17" s="108"/>
      <c r="F17" s="108"/>
      <c r="G17" s="108"/>
      <c r="H17" s="44">
        <f>PREÇOS!P18</f>
        <v>4.731182795698925</v>
      </c>
      <c r="I17" s="41">
        <f t="shared" si="0"/>
        <v>0</v>
      </c>
      <c r="J17" s="41">
        <f t="shared" si="1"/>
        <v>0</v>
      </c>
    </row>
    <row r="18" spans="1:11" x14ac:dyDescent="0.3">
      <c r="A18" s="106" t="s">
        <v>122</v>
      </c>
      <c r="B18" s="114">
        <v>7.0000000000000007E-2</v>
      </c>
      <c r="C18" s="114">
        <v>0.21</v>
      </c>
      <c r="D18" s="108"/>
      <c r="E18" s="108"/>
      <c r="F18" s="108"/>
      <c r="G18" s="108"/>
      <c r="H18" s="44">
        <f>PREÇOS!P19</f>
        <v>4.731182795698925</v>
      </c>
      <c r="I18" s="41">
        <f t="shared" si="0"/>
        <v>0</v>
      </c>
      <c r="J18" s="41">
        <f t="shared" si="1"/>
        <v>0</v>
      </c>
    </row>
    <row r="19" spans="1:11" x14ac:dyDescent="0.3">
      <c r="A19" s="106" t="s">
        <v>123</v>
      </c>
      <c r="B19" s="114">
        <v>0.12</v>
      </c>
      <c r="C19" s="114">
        <v>0.12</v>
      </c>
      <c r="D19" s="108"/>
      <c r="E19" s="108"/>
      <c r="F19" s="108"/>
      <c r="G19" s="108"/>
      <c r="H19" s="84">
        <f>PREÇOS!P20</f>
        <v>5</v>
      </c>
      <c r="I19" s="86">
        <f t="shared" si="0"/>
        <v>0</v>
      </c>
      <c r="J19" s="86">
        <f t="shared" si="1"/>
        <v>0</v>
      </c>
    </row>
    <row r="20" spans="1:11" x14ac:dyDescent="0.3">
      <c r="A20" s="109" t="s">
        <v>124</v>
      </c>
      <c r="B20" s="88">
        <v>0.12</v>
      </c>
      <c r="C20" s="88">
        <v>0.22</v>
      </c>
      <c r="D20" s="87"/>
      <c r="E20" s="87"/>
      <c r="F20" s="87">
        <v>0.52529999999999999</v>
      </c>
      <c r="G20" s="87"/>
      <c r="H20" s="84">
        <f>PREÇOS!P21</f>
        <v>5</v>
      </c>
      <c r="I20" s="86">
        <f t="shared" si="0"/>
        <v>1.0778300000000001</v>
      </c>
      <c r="J20" s="86">
        <f t="shared" si="1"/>
        <v>1.0778300000000001</v>
      </c>
    </row>
    <row r="21" spans="1:11" x14ac:dyDescent="0.3">
      <c r="A21" s="106" t="s">
        <v>125</v>
      </c>
      <c r="B21" s="114">
        <v>7.0000000000000007E-2</v>
      </c>
      <c r="C21" s="114">
        <v>0.2</v>
      </c>
      <c r="D21" s="108"/>
      <c r="E21" s="108"/>
      <c r="F21" s="108"/>
      <c r="G21" s="108"/>
      <c r="H21" s="44">
        <f>PREÇOS!P22</f>
        <v>4.731182795698925</v>
      </c>
      <c r="I21" s="41">
        <f t="shared" si="0"/>
        <v>0</v>
      </c>
      <c r="J21" s="41">
        <f t="shared" si="1"/>
        <v>0</v>
      </c>
    </row>
    <row r="22" spans="1:11" x14ac:dyDescent="0.3">
      <c r="A22" s="106" t="s">
        <v>126</v>
      </c>
      <c r="B22" s="114">
        <v>7.0000000000000007E-2</v>
      </c>
      <c r="C22" s="114">
        <v>0.17499999999999999</v>
      </c>
      <c r="D22" s="108"/>
      <c r="E22" s="108"/>
      <c r="F22" s="108"/>
      <c r="G22" s="108"/>
      <c r="H22" s="44">
        <f>PREÇOS!P23</f>
        <v>4.731182795698925</v>
      </c>
      <c r="I22" s="41">
        <f t="shared" si="0"/>
        <v>0</v>
      </c>
      <c r="J22" s="41">
        <f t="shared" si="1"/>
        <v>0</v>
      </c>
    </row>
    <row r="23" spans="1:11" x14ac:dyDescent="0.3">
      <c r="A23" s="106" t="s">
        <v>127</v>
      </c>
      <c r="B23" s="114">
        <v>7.0000000000000007E-2</v>
      </c>
      <c r="C23" s="114">
        <v>0.2</v>
      </c>
      <c r="D23" s="108"/>
      <c r="E23" s="108"/>
      <c r="F23" s="108"/>
      <c r="G23" s="108"/>
      <c r="H23" s="44">
        <f>PREÇOS!P24</f>
        <v>4.731182795698925</v>
      </c>
      <c r="I23" s="41">
        <f t="shared" si="0"/>
        <v>0</v>
      </c>
      <c r="J23" s="41">
        <f t="shared" si="1"/>
        <v>0</v>
      </c>
    </row>
    <row r="24" spans="1:11" x14ac:dyDescent="0.3">
      <c r="A24" s="106" t="s">
        <v>10</v>
      </c>
      <c r="B24" s="114">
        <v>0.12</v>
      </c>
      <c r="C24" s="114">
        <v>0.17</v>
      </c>
      <c r="D24" s="108"/>
      <c r="E24" s="108"/>
      <c r="F24" s="108"/>
      <c r="G24" s="108"/>
      <c r="H24" s="84">
        <f>PREÇOS!P25</f>
        <v>5</v>
      </c>
      <c r="I24" s="86">
        <f t="shared" si="0"/>
        <v>0</v>
      </c>
      <c r="J24" s="86">
        <f t="shared" si="1"/>
        <v>0</v>
      </c>
    </row>
    <row r="25" spans="1:11" x14ac:dyDescent="0.3">
      <c r="A25" s="106" t="s">
        <v>128</v>
      </c>
      <c r="B25" s="114">
        <v>0.12</v>
      </c>
      <c r="C25" s="114">
        <v>0.17</v>
      </c>
      <c r="D25" s="108"/>
      <c r="E25" s="108"/>
      <c r="F25" s="108"/>
      <c r="G25" s="108"/>
      <c r="H25" s="84">
        <f>PREÇOS!P26</f>
        <v>5</v>
      </c>
      <c r="I25" s="86">
        <f t="shared" si="0"/>
        <v>0</v>
      </c>
      <c r="J25" s="86">
        <f t="shared" si="1"/>
        <v>0</v>
      </c>
    </row>
    <row r="26" spans="1:11" x14ac:dyDescent="0.3">
      <c r="A26" s="106" t="s">
        <v>129</v>
      </c>
      <c r="B26" s="114">
        <v>7.0000000000000007E-2</v>
      </c>
      <c r="C26" s="114">
        <v>0.2</v>
      </c>
      <c r="D26" s="108"/>
      <c r="E26" s="108"/>
      <c r="F26" s="108"/>
      <c r="G26" s="108"/>
      <c r="H26" s="44">
        <f>PREÇOS!P27</f>
        <v>4.731182795698925</v>
      </c>
      <c r="I26" s="41">
        <f t="shared" si="0"/>
        <v>0</v>
      </c>
      <c r="J26" s="41">
        <f t="shared" si="1"/>
        <v>0</v>
      </c>
    </row>
    <row r="27" spans="1:11" x14ac:dyDescent="0.3">
      <c r="A27" s="109" t="s">
        <v>130</v>
      </c>
      <c r="B27" s="88">
        <v>0.12</v>
      </c>
      <c r="C27" s="88">
        <v>0.18</v>
      </c>
      <c r="D27" s="87">
        <v>0.60770000000000002</v>
      </c>
      <c r="E27" s="87"/>
      <c r="F27" s="87">
        <v>0.60770000000000002</v>
      </c>
      <c r="G27" s="87"/>
      <c r="H27" s="84">
        <f>PREÇOS!P28</f>
        <v>5</v>
      </c>
      <c r="I27" s="86">
        <f t="shared" si="0"/>
        <v>0.84692999999999985</v>
      </c>
      <c r="J27" s="86">
        <f t="shared" si="1"/>
        <v>0.84692999999999985</v>
      </c>
      <c r="K27" s="148">
        <f>J27/H27</f>
        <v>0.16938599999999998</v>
      </c>
    </row>
    <row r="28" spans="1:11" x14ac:dyDescent="0.3">
      <c r="A28" s="109" t="s">
        <v>131</v>
      </c>
      <c r="B28" s="88">
        <f>B27</f>
        <v>0.12</v>
      </c>
      <c r="C28" s="88">
        <f t="shared" ref="C28:G28" si="2">C27</f>
        <v>0.18</v>
      </c>
      <c r="D28" s="87">
        <v>0.60770000000000002</v>
      </c>
      <c r="E28" s="87"/>
      <c r="F28" s="87">
        <v>0.60770000000000002</v>
      </c>
      <c r="G28" s="88">
        <f t="shared" si="2"/>
        <v>0</v>
      </c>
      <c r="H28" s="104">
        <f>PREÇOS!P29</f>
        <v>5</v>
      </c>
      <c r="I28" s="103">
        <f t="shared" si="0"/>
        <v>0.84692999999999985</v>
      </c>
      <c r="J28" s="103">
        <f t="shared" si="1"/>
        <v>0.84692999999999985</v>
      </c>
    </row>
    <row r="29" spans="1:11" x14ac:dyDescent="0.3">
      <c r="A29" s="106" t="s">
        <v>132</v>
      </c>
      <c r="B29" s="114">
        <v>7.0000000000000007E-2</v>
      </c>
      <c r="C29" s="114">
        <v>0.2</v>
      </c>
      <c r="D29" s="108"/>
      <c r="E29" s="108"/>
      <c r="F29" s="108"/>
      <c r="G29" s="108"/>
      <c r="H29" s="44">
        <f>PREÇOS!P30</f>
        <v>4.731182795698925</v>
      </c>
      <c r="I29" s="41">
        <f t="shared" si="0"/>
        <v>0</v>
      </c>
      <c r="J29" s="41">
        <f t="shared" si="1"/>
        <v>0</v>
      </c>
    </row>
    <row r="30" spans="1:11" x14ac:dyDescent="0.3">
      <c r="A30" t="s">
        <v>133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69CE-893E-4979-A1B6-EDB3CE57E52A}">
  <sheetPr codeName="Planilha6"/>
  <dimension ref="A1:V39"/>
  <sheetViews>
    <sheetView zoomScale="60" zoomScaleNormal="60" workbookViewId="0">
      <selection activeCell="B20" sqref="B20"/>
    </sheetView>
  </sheetViews>
  <sheetFormatPr defaultColWidth="8.77734375" defaultRowHeight="14.4" x14ac:dyDescent="0.3"/>
  <cols>
    <col min="1" max="1" width="18.44140625" style="160" customWidth="1"/>
    <col min="2" max="22" width="16.44140625" style="160" customWidth="1"/>
    <col min="23" max="16384" width="8.77734375" style="160"/>
  </cols>
  <sheetData>
    <row r="1" spans="1:22" ht="15.6" x14ac:dyDescent="0.3">
      <c r="A1" s="159"/>
      <c r="B1" s="158"/>
      <c r="C1" s="177"/>
      <c r="D1" s="150"/>
      <c r="E1" s="150"/>
      <c r="F1" s="150"/>
      <c r="G1" s="150"/>
      <c r="H1" s="150"/>
      <c r="I1" s="150">
        <v>1.1000000000000001</v>
      </c>
      <c r="J1" s="150"/>
      <c r="K1" s="150"/>
      <c r="L1" s="150"/>
      <c r="M1" s="150"/>
      <c r="N1" s="150">
        <v>1.05</v>
      </c>
      <c r="O1" s="150"/>
    </row>
    <row r="2" spans="1:22" s="171" customFormat="1" ht="46.8" x14ac:dyDescent="0.3">
      <c r="A2" s="121" t="s">
        <v>96</v>
      </c>
      <c r="B2" s="121" t="s">
        <v>135</v>
      </c>
      <c r="C2" s="180" t="s">
        <v>136</v>
      </c>
      <c r="D2" s="121" t="s">
        <v>137</v>
      </c>
      <c r="E2" s="180" t="s">
        <v>138</v>
      </c>
      <c r="F2" s="180" t="s">
        <v>139</v>
      </c>
      <c r="G2" s="156" t="s">
        <v>140</v>
      </c>
      <c r="H2" s="180" t="s">
        <v>141</v>
      </c>
      <c r="I2" s="121" t="s">
        <v>142</v>
      </c>
      <c r="J2" s="180" t="s">
        <v>143</v>
      </c>
      <c r="K2" s="180" t="s">
        <v>144</v>
      </c>
      <c r="L2" s="180" t="s">
        <v>145</v>
      </c>
      <c r="M2" s="121" t="s">
        <v>146</v>
      </c>
      <c r="N2" s="180" t="s">
        <v>147</v>
      </c>
      <c r="O2" s="180" t="s">
        <v>150</v>
      </c>
      <c r="P2" s="180" t="s">
        <v>151</v>
      </c>
      <c r="Q2" s="180" t="s">
        <v>152</v>
      </c>
      <c r="R2" s="180" t="s">
        <v>153</v>
      </c>
      <c r="S2" s="121" t="s">
        <v>154</v>
      </c>
      <c r="T2" s="121" t="s">
        <v>155</v>
      </c>
      <c r="U2" s="121" t="s">
        <v>156</v>
      </c>
      <c r="V2" s="121" t="s">
        <v>157</v>
      </c>
    </row>
    <row r="3" spans="1:22" x14ac:dyDescent="0.3">
      <c r="A3" s="161" t="s">
        <v>106</v>
      </c>
      <c r="B3" s="163">
        <f t="shared" ref="B3:Q21" si="0">B$26</f>
        <v>6.24</v>
      </c>
      <c r="C3" s="151">
        <f t="shared" ref="C3:R12" si="1">C$26*0.88/0.93</f>
        <v>3.7198451612903223</v>
      </c>
      <c r="D3" s="163">
        <f t="shared" si="0"/>
        <v>13.348800000000001</v>
      </c>
      <c r="E3" s="151">
        <f t="shared" si="1"/>
        <v>8.1556129032258067</v>
      </c>
      <c r="F3" s="151">
        <f t="shared" si="1"/>
        <v>11.723870967741934</v>
      </c>
      <c r="G3" s="172">
        <v>7.05</v>
      </c>
      <c r="H3" s="151">
        <f t="shared" si="1"/>
        <v>8.5047741935483874</v>
      </c>
      <c r="I3" s="163">
        <f t="shared" ref="I3:L19" si="2">I$26</f>
        <v>8.9</v>
      </c>
      <c r="J3" s="151">
        <f t="shared" si="1"/>
        <v>6.4012903225806452</v>
      </c>
      <c r="K3" s="151">
        <f t="shared" si="1"/>
        <v>6.4012903225806452</v>
      </c>
      <c r="L3" s="151">
        <f t="shared" si="1"/>
        <v>15.318812903225806</v>
      </c>
      <c r="M3" s="163">
        <f t="shared" ref="M3:M19" si="3">M$26</f>
        <v>6.24</v>
      </c>
      <c r="N3" s="151">
        <f t="shared" si="1"/>
        <v>12.244301075268817</v>
      </c>
      <c r="O3" s="151">
        <f t="shared" si="1"/>
        <v>4.8258064516129027</v>
      </c>
      <c r="P3" s="151">
        <f t="shared" si="1"/>
        <v>4.731182795698925</v>
      </c>
      <c r="Q3" s="151">
        <f t="shared" si="1"/>
        <v>3.1225806451612899</v>
      </c>
      <c r="R3" s="151">
        <f t="shared" si="1"/>
        <v>3.7470967741935479</v>
      </c>
      <c r="S3" s="163">
        <f>S$26</f>
        <v>17</v>
      </c>
      <c r="T3" s="163">
        <f t="shared" ref="T3:V19" si="4">T$26</f>
        <v>15</v>
      </c>
      <c r="U3" s="163">
        <f t="shared" si="4"/>
        <v>19</v>
      </c>
      <c r="V3" s="163">
        <f t="shared" si="4"/>
        <v>28.29</v>
      </c>
    </row>
    <row r="4" spans="1:22" x14ac:dyDescent="0.3">
      <c r="A4" s="161" t="s">
        <v>107</v>
      </c>
      <c r="B4" s="163">
        <f t="shared" si="0"/>
        <v>6.24</v>
      </c>
      <c r="C4" s="151">
        <f t="shared" si="1"/>
        <v>3.7198451612903223</v>
      </c>
      <c r="D4" s="163">
        <f t="shared" si="0"/>
        <v>13.348800000000001</v>
      </c>
      <c r="E4" s="151">
        <f t="shared" si="1"/>
        <v>8.1556129032258067</v>
      </c>
      <c r="F4" s="151">
        <f t="shared" si="1"/>
        <v>11.723870967741934</v>
      </c>
      <c r="G4" s="172">
        <v>7.05</v>
      </c>
      <c r="H4" s="151">
        <f t="shared" si="1"/>
        <v>8.5047741935483874</v>
      </c>
      <c r="I4" s="163">
        <f t="shared" si="2"/>
        <v>8.9</v>
      </c>
      <c r="J4" s="151">
        <f t="shared" si="1"/>
        <v>6.4012903225806452</v>
      </c>
      <c r="K4" s="151">
        <f t="shared" si="1"/>
        <v>6.4012903225806452</v>
      </c>
      <c r="L4" s="151">
        <f t="shared" si="1"/>
        <v>15.318812903225806</v>
      </c>
      <c r="M4" s="163">
        <f t="shared" si="3"/>
        <v>6.24</v>
      </c>
      <c r="N4" s="151">
        <f t="shared" si="1"/>
        <v>12.244301075268817</v>
      </c>
      <c r="O4" s="151">
        <f t="shared" si="1"/>
        <v>4.8258064516129027</v>
      </c>
      <c r="P4" s="151">
        <f t="shared" si="1"/>
        <v>4.731182795698925</v>
      </c>
      <c r="Q4" s="151">
        <f t="shared" si="1"/>
        <v>3.1225806451612899</v>
      </c>
      <c r="R4" s="151">
        <f t="shared" si="1"/>
        <v>3.7470967741935479</v>
      </c>
      <c r="S4" s="163">
        <f t="shared" ref="S4:S19" si="5">S$26</f>
        <v>17</v>
      </c>
      <c r="T4" s="163">
        <f t="shared" si="4"/>
        <v>15</v>
      </c>
      <c r="U4" s="163">
        <f t="shared" si="4"/>
        <v>19</v>
      </c>
      <c r="V4" s="163">
        <f t="shared" si="4"/>
        <v>28.29</v>
      </c>
    </row>
    <row r="5" spans="1:22" x14ac:dyDescent="0.3">
      <c r="A5" s="161" t="s">
        <v>108</v>
      </c>
      <c r="B5" s="163">
        <f t="shared" si="0"/>
        <v>6.24</v>
      </c>
      <c r="C5" s="151">
        <f t="shared" si="1"/>
        <v>3.7198451612903223</v>
      </c>
      <c r="D5" s="163">
        <f t="shared" si="0"/>
        <v>13.348800000000001</v>
      </c>
      <c r="E5" s="151">
        <f t="shared" si="1"/>
        <v>8.1556129032258067</v>
      </c>
      <c r="F5" s="151">
        <f t="shared" si="1"/>
        <v>11.723870967741934</v>
      </c>
      <c r="G5" s="172">
        <v>7.05</v>
      </c>
      <c r="H5" s="151">
        <f t="shared" si="1"/>
        <v>8.5047741935483874</v>
      </c>
      <c r="I5" s="163">
        <f t="shared" si="2"/>
        <v>8.9</v>
      </c>
      <c r="J5" s="151">
        <f t="shared" si="1"/>
        <v>6.4012903225806452</v>
      </c>
      <c r="K5" s="151">
        <f t="shared" si="1"/>
        <v>6.4012903225806452</v>
      </c>
      <c r="L5" s="151">
        <f t="shared" si="1"/>
        <v>15.318812903225806</v>
      </c>
      <c r="M5" s="163">
        <f t="shared" si="3"/>
        <v>6.24</v>
      </c>
      <c r="N5" s="151">
        <f t="shared" si="1"/>
        <v>12.244301075268817</v>
      </c>
      <c r="O5" s="151">
        <f t="shared" si="1"/>
        <v>4.8258064516129027</v>
      </c>
      <c r="P5" s="151">
        <f t="shared" si="1"/>
        <v>4.731182795698925</v>
      </c>
      <c r="Q5" s="151">
        <f t="shared" si="1"/>
        <v>3.1225806451612899</v>
      </c>
      <c r="R5" s="151">
        <f t="shared" si="1"/>
        <v>3.7470967741935479</v>
      </c>
      <c r="S5" s="163">
        <f t="shared" si="5"/>
        <v>17</v>
      </c>
      <c r="T5" s="163">
        <f t="shared" si="4"/>
        <v>15</v>
      </c>
      <c r="U5" s="163">
        <f t="shared" si="4"/>
        <v>19</v>
      </c>
      <c r="V5" s="163">
        <f t="shared" si="4"/>
        <v>28.29</v>
      </c>
    </row>
    <row r="6" spans="1:22" x14ac:dyDescent="0.3">
      <c r="A6" s="161" t="s">
        <v>109</v>
      </c>
      <c r="B6" s="163">
        <f t="shared" si="0"/>
        <v>6.24</v>
      </c>
      <c r="C6" s="151">
        <f t="shared" si="1"/>
        <v>3.7198451612903223</v>
      </c>
      <c r="D6" s="163">
        <f t="shared" si="0"/>
        <v>13.348800000000001</v>
      </c>
      <c r="E6" s="151">
        <f t="shared" si="1"/>
        <v>8.1556129032258067</v>
      </c>
      <c r="F6" s="151">
        <f t="shared" si="1"/>
        <v>11.723870967741934</v>
      </c>
      <c r="G6" s="172">
        <v>7.05</v>
      </c>
      <c r="H6" s="151">
        <f t="shared" si="1"/>
        <v>8.5047741935483874</v>
      </c>
      <c r="I6" s="163">
        <f t="shared" si="2"/>
        <v>8.9</v>
      </c>
      <c r="J6" s="151">
        <f t="shared" si="1"/>
        <v>6.4012903225806452</v>
      </c>
      <c r="K6" s="151">
        <f t="shared" si="1"/>
        <v>6.4012903225806452</v>
      </c>
      <c r="L6" s="151">
        <f t="shared" si="1"/>
        <v>15.318812903225806</v>
      </c>
      <c r="M6" s="163">
        <f t="shared" si="3"/>
        <v>6.24</v>
      </c>
      <c r="N6" s="151">
        <f t="shared" si="1"/>
        <v>12.244301075268817</v>
      </c>
      <c r="O6" s="151">
        <f t="shared" si="1"/>
        <v>4.8258064516129027</v>
      </c>
      <c r="P6" s="151">
        <f t="shared" si="1"/>
        <v>4.731182795698925</v>
      </c>
      <c r="Q6" s="151">
        <f t="shared" si="1"/>
        <v>3.1225806451612899</v>
      </c>
      <c r="R6" s="151">
        <f t="shared" si="1"/>
        <v>3.7470967741935479</v>
      </c>
      <c r="S6" s="163">
        <f t="shared" si="5"/>
        <v>17</v>
      </c>
      <c r="T6" s="163">
        <f t="shared" si="4"/>
        <v>15</v>
      </c>
      <c r="U6" s="163">
        <f t="shared" si="4"/>
        <v>19</v>
      </c>
      <c r="V6" s="163">
        <f t="shared" si="4"/>
        <v>28.29</v>
      </c>
    </row>
    <row r="7" spans="1:22" x14ac:dyDescent="0.3">
      <c r="A7" s="161" t="s">
        <v>110</v>
      </c>
      <c r="B7" s="163">
        <f t="shared" si="0"/>
        <v>6.24</v>
      </c>
      <c r="C7" s="151">
        <f t="shared" si="1"/>
        <v>3.7198451612903223</v>
      </c>
      <c r="D7" s="163">
        <f t="shared" si="0"/>
        <v>13.348800000000001</v>
      </c>
      <c r="E7" s="151">
        <f t="shared" si="1"/>
        <v>8.1556129032258067</v>
      </c>
      <c r="F7" s="151">
        <f t="shared" si="1"/>
        <v>11.723870967741934</v>
      </c>
      <c r="G7" s="172">
        <v>7.05</v>
      </c>
      <c r="H7" s="151">
        <f t="shared" si="1"/>
        <v>8.5047741935483874</v>
      </c>
      <c r="I7" s="163">
        <f t="shared" si="2"/>
        <v>8.9</v>
      </c>
      <c r="J7" s="151">
        <f t="shared" si="1"/>
        <v>6.4012903225806452</v>
      </c>
      <c r="K7" s="151">
        <f t="shared" si="1"/>
        <v>6.4012903225806452</v>
      </c>
      <c r="L7" s="151">
        <f t="shared" si="1"/>
        <v>15.318812903225806</v>
      </c>
      <c r="M7" s="163">
        <f t="shared" si="3"/>
        <v>6.24</v>
      </c>
      <c r="N7" s="151">
        <f t="shared" si="1"/>
        <v>12.244301075268817</v>
      </c>
      <c r="O7" s="151">
        <f t="shared" si="1"/>
        <v>4.8258064516129027</v>
      </c>
      <c r="P7" s="151">
        <f t="shared" si="1"/>
        <v>4.731182795698925</v>
      </c>
      <c r="Q7" s="151">
        <f t="shared" si="1"/>
        <v>3.1225806451612899</v>
      </c>
      <c r="R7" s="151">
        <f t="shared" si="1"/>
        <v>3.7470967741935479</v>
      </c>
      <c r="S7" s="163">
        <f t="shared" si="5"/>
        <v>17</v>
      </c>
      <c r="T7" s="163">
        <f t="shared" si="4"/>
        <v>15</v>
      </c>
      <c r="U7" s="163">
        <f t="shared" si="4"/>
        <v>19</v>
      </c>
      <c r="V7" s="163">
        <f t="shared" si="4"/>
        <v>28.29</v>
      </c>
    </row>
    <row r="8" spans="1:22" x14ac:dyDescent="0.3">
      <c r="A8" s="161" t="s">
        <v>111</v>
      </c>
      <c r="B8" s="163">
        <f t="shared" si="0"/>
        <v>6.24</v>
      </c>
      <c r="C8" s="151">
        <f t="shared" si="1"/>
        <v>3.7198451612903223</v>
      </c>
      <c r="D8" s="163">
        <f t="shared" si="0"/>
        <v>13.348800000000001</v>
      </c>
      <c r="E8" s="151">
        <f t="shared" si="1"/>
        <v>8.1556129032258067</v>
      </c>
      <c r="F8" s="151">
        <f t="shared" si="1"/>
        <v>11.723870967741934</v>
      </c>
      <c r="G8" s="172">
        <v>7.05</v>
      </c>
      <c r="H8" s="151">
        <f t="shared" si="1"/>
        <v>8.5047741935483874</v>
      </c>
      <c r="I8" s="163">
        <f t="shared" si="2"/>
        <v>8.9</v>
      </c>
      <c r="J8" s="151">
        <f t="shared" si="1"/>
        <v>6.4012903225806452</v>
      </c>
      <c r="K8" s="151">
        <f t="shared" si="1"/>
        <v>6.4012903225806452</v>
      </c>
      <c r="L8" s="151">
        <f t="shared" si="1"/>
        <v>15.318812903225806</v>
      </c>
      <c r="M8" s="163">
        <f t="shared" si="3"/>
        <v>6.24</v>
      </c>
      <c r="N8" s="151">
        <f t="shared" si="1"/>
        <v>12.244301075268817</v>
      </c>
      <c r="O8" s="151">
        <f t="shared" si="1"/>
        <v>4.8258064516129027</v>
      </c>
      <c r="P8" s="151">
        <f t="shared" si="1"/>
        <v>4.731182795698925</v>
      </c>
      <c r="Q8" s="151">
        <f t="shared" si="1"/>
        <v>3.1225806451612899</v>
      </c>
      <c r="R8" s="151">
        <f t="shared" si="1"/>
        <v>3.7470967741935479</v>
      </c>
      <c r="S8" s="163">
        <f t="shared" si="5"/>
        <v>17</v>
      </c>
      <c r="T8" s="163">
        <f t="shared" si="4"/>
        <v>15</v>
      </c>
      <c r="U8" s="163">
        <f t="shared" si="4"/>
        <v>19</v>
      </c>
      <c r="V8" s="163">
        <f t="shared" si="4"/>
        <v>28.29</v>
      </c>
    </row>
    <row r="9" spans="1:22" x14ac:dyDescent="0.3">
      <c r="A9" s="161" t="s">
        <v>112</v>
      </c>
      <c r="B9" s="163">
        <f t="shared" si="0"/>
        <v>6.24</v>
      </c>
      <c r="C9" s="151">
        <f t="shared" si="1"/>
        <v>3.7198451612903223</v>
      </c>
      <c r="D9" s="163">
        <f t="shared" si="0"/>
        <v>13.348800000000001</v>
      </c>
      <c r="E9" s="151">
        <f t="shared" si="1"/>
        <v>8.1556129032258067</v>
      </c>
      <c r="F9" s="151">
        <f t="shared" si="1"/>
        <v>11.723870967741934</v>
      </c>
      <c r="G9" s="172">
        <v>7.05</v>
      </c>
      <c r="H9" s="151">
        <f t="shared" si="1"/>
        <v>8.5047741935483874</v>
      </c>
      <c r="I9" s="163">
        <f t="shared" si="2"/>
        <v>8.9</v>
      </c>
      <c r="J9" s="151">
        <f t="shared" si="1"/>
        <v>6.4012903225806452</v>
      </c>
      <c r="K9" s="151">
        <f t="shared" si="1"/>
        <v>6.4012903225806452</v>
      </c>
      <c r="L9" s="151">
        <f t="shared" si="1"/>
        <v>15.318812903225806</v>
      </c>
      <c r="M9" s="163">
        <f t="shared" si="3"/>
        <v>6.24</v>
      </c>
      <c r="N9" s="151">
        <f t="shared" si="1"/>
        <v>12.244301075268817</v>
      </c>
      <c r="O9" s="151">
        <f t="shared" si="1"/>
        <v>4.8258064516129027</v>
      </c>
      <c r="P9" s="151">
        <f t="shared" si="1"/>
        <v>4.731182795698925</v>
      </c>
      <c r="Q9" s="151">
        <f t="shared" si="1"/>
        <v>3.1225806451612899</v>
      </c>
      <c r="R9" s="151">
        <f t="shared" si="1"/>
        <v>3.7470967741935479</v>
      </c>
      <c r="S9" s="163">
        <f t="shared" si="5"/>
        <v>17</v>
      </c>
      <c r="T9" s="163">
        <f t="shared" si="4"/>
        <v>15</v>
      </c>
      <c r="U9" s="163">
        <f t="shared" si="4"/>
        <v>19</v>
      </c>
      <c r="V9" s="163">
        <f t="shared" si="4"/>
        <v>28.29</v>
      </c>
    </row>
    <row r="10" spans="1:22" x14ac:dyDescent="0.3">
      <c r="A10" s="164" t="s">
        <v>113</v>
      </c>
      <c r="B10" s="163">
        <f t="shared" si="0"/>
        <v>6.24</v>
      </c>
      <c r="C10" s="151">
        <f t="shared" si="1"/>
        <v>3.7198451612903223</v>
      </c>
      <c r="D10" s="163">
        <f t="shared" si="0"/>
        <v>13.348800000000001</v>
      </c>
      <c r="E10" s="151">
        <f t="shared" si="1"/>
        <v>8.1556129032258067</v>
      </c>
      <c r="F10" s="151">
        <f t="shared" si="1"/>
        <v>11.723870967741934</v>
      </c>
      <c r="G10" s="172">
        <v>7.05</v>
      </c>
      <c r="H10" s="151">
        <f t="shared" si="1"/>
        <v>8.5047741935483874</v>
      </c>
      <c r="I10" s="163">
        <f t="shared" si="2"/>
        <v>8.9</v>
      </c>
      <c r="J10" s="151">
        <f t="shared" si="1"/>
        <v>6.4012903225806452</v>
      </c>
      <c r="K10" s="151">
        <f t="shared" si="1"/>
        <v>6.4012903225806452</v>
      </c>
      <c r="L10" s="151">
        <f t="shared" si="1"/>
        <v>15.318812903225806</v>
      </c>
      <c r="M10" s="163">
        <f t="shared" si="3"/>
        <v>6.24</v>
      </c>
      <c r="N10" s="151">
        <f t="shared" si="1"/>
        <v>12.244301075268817</v>
      </c>
      <c r="O10" s="151">
        <f t="shared" si="1"/>
        <v>4.8258064516129027</v>
      </c>
      <c r="P10" s="151">
        <f t="shared" si="1"/>
        <v>4.731182795698925</v>
      </c>
      <c r="Q10" s="151">
        <f t="shared" si="1"/>
        <v>3.1225806451612899</v>
      </c>
      <c r="R10" s="151">
        <f t="shared" si="1"/>
        <v>3.7470967741935479</v>
      </c>
      <c r="S10" s="163">
        <f t="shared" si="5"/>
        <v>17</v>
      </c>
      <c r="T10" s="163">
        <f t="shared" si="4"/>
        <v>15</v>
      </c>
      <c r="U10" s="163">
        <f t="shared" si="4"/>
        <v>19</v>
      </c>
      <c r="V10" s="163">
        <f t="shared" si="4"/>
        <v>28.29</v>
      </c>
    </row>
    <row r="11" spans="1:22" x14ac:dyDescent="0.3">
      <c r="A11" s="161" t="s">
        <v>114</v>
      </c>
      <c r="B11" s="163">
        <f t="shared" si="0"/>
        <v>6.24</v>
      </c>
      <c r="C11" s="151">
        <f t="shared" si="1"/>
        <v>3.7198451612903223</v>
      </c>
      <c r="D11" s="163">
        <f t="shared" si="0"/>
        <v>13.348800000000001</v>
      </c>
      <c r="E11" s="151">
        <f t="shared" si="1"/>
        <v>8.1556129032258067</v>
      </c>
      <c r="F11" s="151">
        <f t="shared" si="1"/>
        <v>11.723870967741934</v>
      </c>
      <c r="G11" s="172">
        <v>7.05</v>
      </c>
      <c r="H11" s="151">
        <f t="shared" si="1"/>
        <v>8.5047741935483874</v>
      </c>
      <c r="I11" s="163">
        <f t="shared" si="2"/>
        <v>8.9</v>
      </c>
      <c r="J11" s="151">
        <f t="shared" si="1"/>
        <v>6.4012903225806452</v>
      </c>
      <c r="K11" s="151">
        <f t="shared" si="1"/>
        <v>6.4012903225806452</v>
      </c>
      <c r="L11" s="151">
        <f t="shared" si="1"/>
        <v>15.318812903225806</v>
      </c>
      <c r="M11" s="163">
        <f t="shared" si="3"/>
        <v>6.24</v>
      </c>
      <c r="N11" s="151">
        <f t="shared" si="1"/>
        <v>12.244301075268817</v>
      </c>
      <c r="O11" s="151">
        <f t="shared" si="1"/>
        <v>4.8258064516129027</v>
      </c>
      <c r="P11" s="151">
        <f t="shared" si="1"/>
        <v>4.731182795698925</v>
      </c>
      <c r="Q11" s="151">
        <f t="shared" si="1"/>
        <v>3.1225806451612899</v>
      </c>
      <c r="R11" s="151">
        <f t="shared" si="1"/>
        <v>3.7470967741935479</v>
      </c>
      <c r="S11" s="163">
        <f t="shared" si="5"/>
        <v>17</v>
      </c>
      <c r="T11" s="163">
        <f t="shared" si="4"/>
        <v>15</v>
      </c>
      <c r="U11" s="163">
        <f t="shared" si="4"/>
        <v>19</v>
      </c>
      <c r="V11" s="163">
        <f t="shared" si="4"/>
        <v>28.29</v>
      </c>
    </row>
    <row r="12" spans="1:22" x14ac:dyDescent="0.3">
      <c r="A12" s="161" t="s">
        <v>115</v>
      </c>
      <c r="B12" s="163">
        <f t="shared" si="0"/>
        <v>6.24</v>
      </c>
      <c r="C12" s="151">
        <f t="shared" si="1"/>
        <v>3.7198451612903223</v>
      </c>
      <c r="D12" s="163">
        <f t="shared" si="0"/>
        <v>13.348800000000001</v>
      </c>
      <c r="E12" s="151">
        <f t="shared" si="1"/>
        <v>8.1556129032258067</v>
      </c>
      <c r="F12" s="151">
        <f t="shared" si="1"/>
        <v>11.723870967741934</v>
      </c>
      <c r="G12" s="172">
        <v>7.05</v>
      </c>
      <c r="H12" s="151">
        <f t="shared" si="1"/>
        <v>8.5047741935483874</v>
      </c>
      <c r="I12" s="163">
        <f t="shared" si="2"/>
        <v>8.9</v>
      </c>
      <c r="J12" s="151">
        <f t="shared" si="1"/>
        <v>6.4012903225806452</v>
      </c>
      <c r="K12" s="151">
        <f t="shared" si="1"/>
        <v>6.4012903225806452</v>
      </c>
      <c r="L12" s="151">
        <f t="shared" si="1"/>
        <v>15.318812903225806</v>
      </c>
      <c r="M12" s="163">
        <f t="shared" si="3"/>
        <v>6.24</v>
      </c>
      <c r="N12" s="151">
        <f t="shared" si="1"/>
        <v>12.244301075268817</v>
      </c>
      <c r="O12" s="151">
        <f t="shared" si="1"/>
        <v>4.8258064516129027</v>
      </c>
      <c r="P12" s="151">
        <f t="shared" si="1"/>
        <v>4.731182795698925</v>
      </c>
      <c r="Q12" s="151">
        <f t="shared" si="1"/>
        <v>3.1225806451612899</v>
      </c>
      <c r="R12" s="151">
        <f t="shared" si="1"/>
        <v>3.7470967741935479</v>
      </c>
      <c r="S12" s="163">
        <f t="shared" si="5"/>
        <v>17</v>
      </c>
      <c r="T12" s="163">
        <f t="shared" si="4"/>
        <v>15</v>
      </c>
      <c r="U12" s="163">
        <f t="shared" si="4"/>
        <v>19</v>
      </c>
      <c r="V12" s="163">
        <f t="shared" si="4"/>
        <v>28.29</v>
      </c>
    </row>
    <row r="13" spans="1:22" x14ac:dyDescent="0.3">
      <c r="A13" s="179" t="s">
        <v>116</v>
      </c>
      <c r="B13" s="163">
        <f t="shared" si="0"/>
        <v>6.24</v>
      </c>
      <c r="C13" s="178">
        <f>C$26</f>
        <v>3.9312</v>
      </c>
      <c r="D13" s="163">
        <f t="shared" si="0"/>
        <v>13.348800000000001</v>
      </c>
      <c r="E13" s="178">
        <f t="shared" si="0"/>
        <v>8.6189999999999998</v>
      </c>
      <c r="F13" s="178">
        <f t="shared" si="0"/>
        <v>12.39</v>
      </c>
      <c r="G13" s="175">
        <v>7.5</v>
      </c>
      <c r="H13" s="178">
        <f t="shared" si="0"/>
        <v>8.9880000000000013</v>
      </c>
      <c r="I13" s="163">
        <f t="shared" si="2"/>
        <v>8.9</v>
      </c>
      <c r="J13" s="178">
        <f t="shared" si="2"/>
        <v>6.7650000000000006</v>
      </c>
      <c r="K13" s="178">
        <f t="shared" si="2"/>
        <v>6.7650000000000006</v>
      </c>
      <c r="L13" s="178">
        <f t="shared" si="2"/>
        <v>16.1892</v>
      </c>
      <c r="M13" s="163">
        <f t="shared" si="3"/>
        <v>6.24</v>
      </c>
      <c r="N13" s="178">
        <f t="shared" si="0"/>
        <v>12.94</v>
      </c>
      <c r="O13" s="178">
        <f t="shared" si="0"/>
        <v>5.0999999999999996</v>
      </c>
      <c r="P13" s="178">
        <f t="shared" si="0"/>
        <v>5</v>
      </c>
      <c r="Q13" s="178">
        <f t="shared" si="0"/>
        <v>3.3</v>
      </c>
      <c r="R13" s="178">
        <f t="shared" ref="R13" si="6">R$26</f>
        <v>3.96</v>
      </c>
      <c r="S13" s="163">
        <f t="shared" si="5"/>
        <v>17</v>
      </c>
      <c r="T13" s="163">
        <f t="shared" si="4"/>
        <v>15</v>
      </c>
      <c r="U13" s="163">
        <f t="shared" si="4"/>
        <v>19</v>
      </c>
      <c r="V13" s="163">
        <f t="shared" si="4"/>
        <v>28.29</v>
      </c>
    </row>
    <row r="14" spans="1:22" x14ac:dyDescent="0.3">
      <c r="A14" s="161" t="s">
        <v>117</v>
      </c>
      <c r="B14" s="163">
        <f t="shared" si="0"/>
        <v>6.24</v>
      </c>
      <c r="C14" s="151">
        <f t="shared" ref="C14:R19" si="7">C$26*0.88/0.93</f>
        <v>3.7198451612903223</v>
      </c>
      <c r="D14" s="163">
        <f t="shared" si="0"/>
        <v>13.348800000000001</v>
      </c>
      <c r="E14" s="151">
        <f t="shared" si="7"/>
        <v>8.1556129032258067</v>
      </c>
      <c r="F14" s="151">
        <f t="shared" si="7"/>
        <v>11.723870967741934</v>
      </c>
      <c r="G14" s="172">
        <v>7.05</v>
      </c>
      <c r="H14" s="151">
        <f t="shared" si="7"/>
        <v>8.5047741935483874</v>
      </c>
      <c r="I14" s="163">
        <f t="shared" si="2"/>
        <v>8.9</v>
      </c>
      <c r="J14" s="151">
        <f t="shared" si="7"/>
        <v>6.4012903225806452</v>
      </c>
      <c r="K14" s="151">
        <f t="shared" si="7"/>
        <v>6.4012903225806452</v>
      </c>
      <c r="L14" s="151">
        <f t="shared" si="7"/>
        <v>15.318812903225806</v>
      </c>
      <c r="M14" s="163">
        <f t="shared" si="3"/>
        <v>6.24</v>
      </c>
      <c r="N14" s="151">
        <f t="shared" si="7"/>
        <v>12.244301075268817</v>
      </c>
      <c r="O14" s="151">
        <f t="shared" si="7"/>
        <v>4.8258064516129027</v>
      </c>
      <c r="P14" s="151">
        <f t="shared" si="7"/>
        <v>4.731182795698925</v>
      </c>
      <c r="Q14" s="151">
        <f t="shared" si="7"/>
        <v>3.1225806451612899</v>
      </c>
      <c r="R14" s="151">
        <f t="shared" si="7"/>
        <v>3.7470967741935479</v>
      </c>
      <c r="S14" s="163">
        <f t="shared" si="5"/>
        <v>17</v>
      </c>
      <c r="T14" s="163">
        <f t="shared" si="4"/>
        <v>15</v>
      </c>
      <c r="U14" s="163">
        <f t="shared" si="4"/>
        <v>19</v>
      </c>
      <c r="V14" s="163">
        <f t="shared" si="4"/>
        <v>28.29</v>
      </c>
    </row>
    <row r="15" spans="1:22" x14ac:dyDescent="0.3">
      <c r="A15" s="161" t="s">
        <v>118</v>
      </c>
      <c r="B15" s="163">
        <f t="shared" si="0"/>
        <v>6.24</v>
      </c>
      <c r="C15" s="151">
        <f t="shared" si="7"/>
        <v>3.7198451612903223</v>
      </c>
      <c r="D15" s="163">
        <f t="shared" si="0"/>
        <v>13.348800000000001</v>
      </c>
      <c r="E15" s="151">
        <f t="shared" si="7"/>
        <v>8.1556129032258067</v>
      </c>
      <c r="F15" s="151">
        <f t="shared" si="7"/>
        <v>11.723870967741934</v>
      </c>
      <c r="G15" s="172">
        <v>7.05</v>
      </c>
      <c r="H15" s="151">
        <f t="shared" si="7"/>
        <v>8.5047741935483874</v>
      </c>
      <c r="I15" s="163">
        <f t="shared" si="2"/>
        <v>8.9</v>
      </c>
      <c r="J15" s="151">
        <f t="shared" si="7"/>
        <v>6.4012903225806452</v>
      </c>
      <c r="K15" s="151">
        <f t="shared" si="7"/>
        <v>6.4012903225806452</v>
      </c>
      <c r="L15" s="151">
        <f t="shared" si="7"/>
        <v>15.318812903225806</v>
      </c>
      <c r="M15" s="163">
        <f t="shared" si="3"/>
        <v>6.24</v>
      </c>
      <c r="N15" s="151">
        <f t="shared" si="7"/>
        <v>12.244301075268817</v>
      </c>
      <c r="O15" s="151">
        <f t="shared" si="7"/>
        <v>4.8258064516129027</v>
      </c>
      <c r="P15" s="151">
        <f t="shared" si="7"/>
        <v>4.731182795698925</v>
      </c>
      <c r="Q15" s="151">
        <f t="shared" si="7"/>
        <v>3.1225806451612899</v>
      </c>
      <c r="R15" s="151">
        <f t="shared" si="7"/>
        <v>3.7470967741935479</v>
      </c>
      <c r="S15" s="163">
        <f t="shared" si="5"/>
        <v>17</v>
      </c>
      <c r="T15" s="163">
        <f t="shared" si="4"/>
        <v>15</v>
      </c>
      <c r="U15" s="163">
        <f t="shared" si="4"/>
        <v>19</v>
      </c>
      <c r="V15" s="163">
        <f t="shared" si="4"/>
        <v>28.29</v>
      </c>
    </row>
    <row r="16" spans="1:22" x14ac:dyDescent="0.3">
      <c r="A16" s="161" t="s">
        <v>119</v>
      </c>
      <c r="B16" s="163">
        <f t="shared" si="0"/>
        <v>6.24</v>
      </c>
      <c r="C16" s="151">
        <f t="shared" si="7"/>
        <v>3.7198451612903223</v>
      </c>
      <c r="D16" s="163">
        <f t="shared" si="0"/>
        <v>13.348800000000001</v>
      </c>
      <c r="E16" s="151">
        <f t="shared" si="7"/>
        <v>8.1556129032258067</v>
      </c>
      <c r="F16" s="151">
        <f t="shared" si="7"/>
        <v>11.723870967741934</v>
      </c>
      <c r="G16" s="172">
        <v>7.05</v>
      </c>
      <c r="H16" s="151">
        <f t="shared" si="7"/>
        <v>8.5047741935483874</v>
      </c>
      <c r="I16" s="163">
        <f t="shared" si="2"/>
        <v>8.9</v>
      </c>
      <c r="J16" s="151">
        <f t="shared" si="7"/>
        <v>6.4012903225806452</v>
      </c>
      <c r="K16" s="151">
        <f t="shared" si="7"/>
        <v>6.4012903225806452</v>
      </c>
      <c r="L16" s="151">
        <f t="shared" si="7"/>
        <v>15.318812903225806</v>
      </c>
      <c r="M16" s="163">
        <f t="shared" si="3"/>
        <v>6.24</v>
      </c>
      <c r="N16" s="151">
        <f t="shared" si="7"/>
        <v>12.244301075268817</v>
      </c>
      <c r="O16" s="151">
        <f t="shared" si="7"/>
        <v>4.8258064516129027</v>
      </c>
      <c r="P16" s="151">
        <f t="shared" si="7"/>
        <v>4.731182795698925</v>
      </c>
      <c r="Q16" s="151">
        <f t="shared" si="7"/>
        <v>3.1225806451612899</v>
      </c>
      <c r="R16" s="151">
        <f t="shared" si="7"/>
        <v>3.7470967741935479</v>
      </c>
      <c r="S16" s="163">
        <f t="shared" si="5"/>
        <v>17</v>
      </c>
      <c r="T16" s="163">
        <f t="shared" si="4"/>
        <v>15</v>
      </c>
      <c r="U16" s="163">
        <f t="shared" si="4"/>
        <v>19</v>
      </c>
      <c r="V16" s="163">
        <f t="shared" si="4"/>
        <v>28.29</v>
      </c>
    </row>
    <row r="17" spans="1:22" x14ac:dyDescent="0.3">
      <c r="A17" s="161" t="s">
        <v>120</v>
      </c>
      <c r="B17" s="163">
        <f t="shared" si="0"/>
        <v>6.24</v>
      </c>
      <c r="C17" s="151">
        <f t="shared" si="7"/>
        <v>3.7198451612903223</v>
      </c>
      <c r="D17" s="163">
        <f t="shared" si="0"/>
        <v>13.348800000000001</v>
      </c>
      <c r="E17" s="151">
        <f t="shared" si="7"/>
        <v>8.1556129032258067</v>
      </c>
      <c r="F17" s="151">
        <f t="shared" si="7"/>
        <v>11.723870967741934</v>
      </c>
      <c r="G17" s="172">
        <v>7.05</v>
      </c>
      <c r="H17" s="151">
        <f t="shared" si="7"/>
        <v>8.5047741935483874</v>
      </c>
      <c r="I17" s="163">
        <f t="shared" si="2"/>
        <v>8.9</v>
      </c>
      <c r="J17" s="151">
        <f t="shared" si="7"/>
        <v>6.4012903225806452</v>
      </c>
      <c r="K17" s="151">
        <f t="shared" si="7"/>
        <v>6.4012903225806452</v>
      </c>
      <c r="L17" s="151">
        <f t="shared" si="7"/>
        <v>15.318812903225806</v>
      </c>
      <c r="M17" s="163">
        <f t="shared" si="3"/>
        <v>6.24</v>
      </c>
      <c r="N17" s="151">
        <f t="shared" si="7"/>
        <v>12.244301075268817</v>
      </c>
      <c r="O17" s="151">
        <f t="shared" si="7"/>
        <v>4.8258064516129027</v>
      </c>
      <c r="P17" s="151">
        <f t="shared" si="7"/>
        <v>4.731182795698925</v>
      </c>
      <c r="Q17" s="151">
        <f t="shared" si="7"/>
        <v>3.1225806451612899</v>
      </c>
      <c r="R17" s="151">
        <f t="shared" si="7"/>
        <v>3.7470967741935479</v>
      </c>
      <c r="S17" s="163">
        <f t="shared" si="5"/>
        <v>17</v>
      </c>
      <c r="T17" s="163">
        <f t="shared" si="4"/>
        <v>15</v>
      </c>
      <c r="U17" s="163">
        <f t="shared" si="4"/>
        <v>19</v>
      </c>
      <c r="V17" s="163">
        <f t="shared" si="4"/>
        <v>28.29</v>
      </c>
    </row>
    <row r="18" spans="1:22" x14ac:dyDescent="0.3">
      <c r="A18" s="161" t="s">
        <v>121</v>
      </c>
      <c r="B18" s="163">
        <f t="shared" si="0"/>
        <v>6.24</v>
      </c>
      <c r="C18" s="151">
        <f t="shared" si="7"/>
        <v>3.7198451612903223</v>
      </c>
      <c r="D18" s="163">
        <f t="shared" si="0"/>
        <v>13.348800000000001</v>
      </c>
      <c r="E18" s="151">
        <f t="shared" si="7"/>
        <v>8.1556129032258067</v>
      </c>
      <c r="F18" s="151">
        <f t="shared" si="7"/>
        <v>11.723870967741934</v>
      </c>
      <c r="G18" s="172">
        <v>7.05</v>
      </c>
      <c r="H18" s="151">
        <f t="shared" si="7"/>
        <v>8.5047741935483874</v>
      </c>
      <c r="I18" s="163">
        <f t="shared" si="2"/>
        <v>8.9</v>
      </c>
      <c r="J18" s="151">
        <f t="shared" si="7"/>
        <v>6.4012903225806452</v>
      </c>
      <c r="K18" s="151">
        <f t="shared" si="7"/>
        <v>6.4012903225806452</v>
      </c>
      <c r="L18" s="151">
        <f t="shared" si="7"/>
        <v>15.318812903225806</v>
      </c>
      <c r="M18" s="163">
        <f t="shared" si="3"/>
        <v>6.24</v>
      </c>
      <c r="N18" s="151">
        <f t="shared" si="7"/>
        <v>12.244301075268817</v>
      </c>
      <c r="O18" s="151">
        <f t="shared" si="7"/>
        <v>4.8258064516129027</v>
      </c>
      <c r="P18" s="151">
        <f t="shared" si="7"/>
        <v>4.731182795698925</v>
      </c>
      <c r="Q18" s="151">
        <f t="shared" si="7"/>
        <v>3.1225806451612899</v>
      </c>
      <c r="R18" s="151">
        <f t="shared" si="7"/>
        <v>3.7470967741935479</v>
      </c>
      <c r="S18" s="163">
        <f t="shared" si="5"/>
        <v>17</v>
      </c>
      <c r="T18" s="163">
        <f t="shared" si="4"/>
        <v>15</v>
      </c>
      <c r="U18" s="163">
        <f t="shared" si="4"/>
        <v>19</v>
      </c>
      <c r="V18" s="163">
        <f t="shared" si="4"/>
        <v>28.29</v>
      </c>
    </row>
    <row r="19" spans="1:22" x14ac:dyDescent="0.3">
      <c r="A19" s="161" t="s">
        <v>122</v>
      </c>
      <c r="B19" s="163">
        <f t="shared" si="0"/>
        <v>6.24</v>
      </c>
      <c r="C19" s="151">
        <f t="shared" si="7"/>
        <v>3.7198451612903223</v>
      </c>
      <c r="D19" s="163">
        <f t="shared" si="0"/>
        <v>13.348800000000001</v>
      </c>
      <c r="E19" s="151">
        <f t="shared" si="7"/>
        <v>8.1556129032258067</v>
      </c>
      <c r="F19" s="151">
        <f t="shared" si="7"/>
        <v>11.723870967741934</v>
      </c>
      <c r="G19" s="172">
        <v>7.05</v>
      </c>
      <c r="H19" s="151">
        <f t="shared" si="7"/>
        <v>8.5047741935483874</v>
      </c>
      <c r="I19" s="163">
        <f t="shared" si="2"/>
        <v>8.9</v>
      </c>
      <c r="J19" s="151">
        <f t="shared" si="7"/>
        <v>6.4012903225806452</v>
      </c>
      <c r="K19" s="151">
        <f t="shared" si="7"/>
        <v>6.4012903225806452</v>
      </c>
      <c r="L19" s="151">
        <f t="shared" si="7"/>
        <v>15.318812903225806</v>
      </c>
      <c r="M19" s="163">
        <f t="shared" si="3"/>
        <v>6.24</v>
      </c>
      <c r="N19" s="151">
        <f t="shared" si="7"/>
        <v>12.244301075268817</v>
      </c>
      <c r="O19" s="151">
        <f t="shared" si="7"/>
        <v>4.8258064516129027</v>
      </c>
      <c r="P19" s="151">
        <f t="shared" si="7"/>
        <v>4.731182795698925</v>
      </c>
      <c r="Q19" s="151">
        <f t="shared" si="7"/>
        <v>3.1225806451612899</v>
      </c>
      <c r="R19" s="151">
        <f t="shared" si="7"/>
        <v>3.7470967741935479</v>
      </c>
      <c r="S19" s="163">
        <f t="shared" si="5"/>
        <v>17</v>
      </c>
      <c r="T19" s="163">
        <f t="shared" si="4"/>
        <v>15</v>
      </c>
      <c r="U19" s="163">
        <f t="shared" si="4"/>
        <v>19</v>
      </c>
      <c r="V19" s="163">
        <f t="shared" si="4"/>
        <v>28.29</v>
      </c>
    </row>
    <row r="20" spans="1:22" x14ac:dyDescent="0.3">
      <c r="A20" s="161" t="s">
        <v>123</v>
      </c>
      <c r="B20" s="154">
        <f>B26*0.96/0.88</f>
        <v>6.8072727272727276</v>
      </c>
      <c r="C20" s="178">
        <f>C$26</f>
        <v>3.9312</v>
      </c>
      <c r="D20" s="154">
        <f>D26*0.96/0.88</f>
        <v>14.562327272727272</v>
      </c>
      <c r="E20" s="178">
        <f>E$26</f>
        <v>8.6189999999999998</v>
      </c>
      <c r="F20" s="178">
        <f>F$26</f>
        <v>12.39</v>
      </c>
      <c r="G20" s="175">
        <v>7.5</v>
      </c>
      <c r="H20" s="178">
        <f t="shared" ref="H20:R30" si="8">H$26</f>
        <v>8.9880000000000013</v>
      </c>
      <c r="I20" s="154">
        <f>I26*0.96/0.88</f>
        <v>9.709090909090909</v>
      </c>
      <c r="J20" s="178">
        <f t="shared" ref="J20:L20" si="9">J$26</f>
        <v>6.7650000000000006</v>
      </c>
      <c r="K20" s="178">
        <f t="shared" si="9"/>
        <v>6.7650000000000006</v>
      </c>
      <c r="L20" s="178">
        <f t="shared" si="9"/>
        <v>16.1892</v>
      </c>
      <c r="M20" s="154">
        <f>M26*0.96/0.88</f>
        <v>6.8072727272727276</v>
      </c>
      <c r="N20" s="178">
        <f t="shared" ref="N20:V25" si="10">N$26</f>
        <v>12.94</v>
      </c>
      <c r="O20" s="178">
        <f t="shared" si="10"/>
        <v>5.0999999999999996</v>
      </c>
      <c r="P20" s="178">
        <f t="shared" si="10"/>
        <v>5</v>
      </c>
      <c r="Q20" s="178">
        <f t="shared" si="10"/>
        <v>3.3</v>
      </c>
      <c r="R20" s="178">
        <f t="shared" si="10"/>
        <v>3.96</v>
      </c>
      <c r="S20" s="154">
        <f>S26*0.96/0.88</f>
        <v>18.545454545454547</v>
      </c>
      <c r="T20" s="154">
        <f>T26*0.96/0.88</f>
        <v>16.363636363636363</v>
      </c>
      <c r="U20" s="154">
        <f>U26*0.96/0.88</f>
        <v>20.727272727272727</v>
      </c>
      <c r="V20" s="154">
        <f>V26*0.96/0.88</f>
        <v>30.86181818181818</v>
      </c>
    </row>
    <row r="21" spans="1:22" x14ac:dyDescent="0.3">
      <c r="A21" s="179" t="s">
        <v>124</v>
      </c>
      <c r="B21" s="163">
        <f t="shared" ref="B21:B25" si="11">B$26</f>
        <v>6.24</v>
      </c>
      <c r="C21" s="178">
        <f>C$26</f>
        <v>3.9312</v>
      </c>
      <c r="D21" s="163">
        <f t="shared" si="0"/>
        <v>13.348800000000001</v>
      </c>
      <c r="E21" s="178">
        <f t="shared" si="0"/>
        <v>8.6189999999999998</v>
      </c>
      <c r="F21" s="178">
        <f t="shared" si="0"/>
        <v>12.39</v>
      </c>
      <c r="G21" s="175">
        <v>7.5</v>
      </c>
      <c r="H21" s="178">
        <f t="shared" si="8"/>
        <v>8.9880000000000013</v>
      </c>
      <c r="I21" s="163">
        <f t="shared" si="8"/>
        <v>8.9</v>
      </c>
      <c r="J21" s="178">
        <f t="shared" si="8"/>
        <v>6.7650000000000006</v>
      </c>
      <c r="K21" s="178">
        <f t="shared" si="8"/>
        <v>6.7650000000000006</v>
      </c>
      <c r="L21" s="178">
        <f t="shared" si="8"/>
        <v>16.1892</v>
      </c>
      <c r="M21" s="163">
        <f t="shared" si="8"/>
        <v>6.24</v>
      </c>
      <c r="N21" s="178">
        <f t="shared" si="10"/>
        <v>12.94</v>
      </c>
      <c r="O21" s="178">
        <f t="shared" si="10"/>
        <v>5.0999999999999996</v>
      </c>
      <c r="P21" s="178">
        <f t="shared" si="10"/>
        <v>5</v>
      </c>
      <c r="Q21" s="178">
        <f t="shared" si="10"/>
        <v>3.3</v>
      </c>
      <c r="R21" s="178">
        <f t="shared" si="10"/>
        <v>3.96</v>
      </c>
      <c r="S21" s="163">
        <f t="shared" si="10"/>
        <v>17</v>
      </c>
      <c r="T21" s="163">
        <f t="shared" si="10"/>
        <v>15</v>
      </c>
      <c r="U21" s="163">
        <f t="shared" si="10"/>
        <v>19</v>
      </c>
      <c r="V21" s="163">
        <f t="shared" si="10"/>
        <v>28.29</v>
      </c>
    </row>
    <row r="22" spans="1:22" x14ac:dyDescent="0.3">
      <c r="A22" s="161" t="s">
        <v>125</v>
      </c>
      <c r="B22" s="163">
        <f t="shared" si="11"/>
        <v>6.24</v>
      </c>
      <c r="C22" s="151">
        <f t="shared" ref="C22:R24" si="12">C$26*0.88/0.93</f>
        <v>3.7198451612903223</v>
      </c>
      <c r="D22" s="163">
        <f t="shared" ref="D22:F25" si="13">D$26</f>
        <v>13.348800000000001</v>
      </c>
      <c r="E22" s="151">
        <f t="shared" si="12"/>
        <v>8.1556129032258067</v>
      </c>
      <c r="F22" s="151">
        <f t="shared" si="12"/>
        <v>11.723870967741934</v>
      </c>
      <c r="G22" s="172">
        <v>7.05</v>
      </c>
      <c r="H22" s="151">
        <f t="shared" si="12"/>
        <v>8.5047741935483874</v>
      </c>
      <c r="I22" s="163">
        <f t="shared" si="8"/>
        <v>8.9</v>
      </c>
      <c r="J22" s="151">
        <f t="shared" si="12"/>
        <v>6.4012903225806452</v>
      </c>
      <c r="K22" s="151">
        <f t="shared" si="12"/>
        <v>6.4012903225806452</v>
      </c>
      <c r="L22" s="151">
        <f t="shared" si="12"/>
        <v>15.318812903225806</v>
      </c>
      <c r="M22" s="163">
        <f t="shared" si="8"/>
        <v>6.24</v>
      </c>
      <c r="N22" s="151">
        <f t="shared" si="12"/>
        <v>12.244301075268817</v>
      </c>
      <c r="O22" s="151">
        <f t="shared" si="12"/>
        <v>4.8258064516129027</v>
      </c>
      <c r="P22" s="151">
        <f t="shared" si="12"/>
        <v>4.731182795698925</v>
      </c>
      <c r="Q22" s="151">
        <f t="shared" si="12"/>
        <v>3.1225806451612899</v>
      </c>
      <c r="R22" s="151">
        <f t="shared" si="12"/>
        <v>3.7470967741935479</v>
      </c>
      <c r="S22" s="163">
        <f t="shared" si="10"/>
        <v>17</v>
      </c>
      <c r="T22" s="163">
        <f t="shared" si="10"/>
        <v>15</v>
      </c>
      <c r="U22" s="163">
        <f t="shared" si="10"/>
        <v>19</v>
      </c>
      <c r="V22" s="163">
        <f t="shared" si="10"/>
        <v>28.29</v>
      </c>
    </row>
    <row r="23" spans="1:22" x14ac:dyDescent="0.3">
      <c r="A23" s="161" t="s">
        <v>126</v>
      </c>
      <c r="B23" s="163">
        <f t="shared" si="11"/>
        <v>6.24</v>
      </c>
      <c r="C23" s="151">
        <f t="shared" si="12"/>
        <v>3.7198451612903223</v>
      </c>
      <c r="D23" s="163">
        <f t="shared" si="13"/>
        <v>13.348800000000001</v>
      </c>
      <c r="E23" s="151">
        <f t="shared" si="12"/>
        <v>8.1556129032258067</v>
      </c>
      <c r="F23" s="151">
        <f t="shared" si="12"/>
        <v>11.723870967741934</v>
      </c>
      <c r="G23" s="172">
        <v>7.05</v>
      </c>
      <c r="H23" s="151">
        <f t="shared" si="12"/>
        <v>8.5047741935483874</v>
      </c>
      <c r="I23" s="163">
        <f t="shared" si="8"/>
        <v>8.9</v>
      </c>
      <c r="J23" s="151">
        <f t="shared" si="12"/>
        <v>6.4012903225806452</v>
      </c>
      <c r="K23" s="151">
        <f t="shared" si="12"/>
        <v>6.4012903225806452</v>
      </c>
      <c r="L23" s="151">
        <f t="shared" si="12"/>
        <v>15.318812903225806</v>
      </c>
      <c r="M23" s="163">
        <f t="shared" si="8"/>
        <v>6.24</v>
      </c>
      <c r="N23" s="151">
        <f t="shared" si="12"/>
        <v>12.244301075268817</v>
      </c>
      <c r="O23" s="151">
        <f t="shared" si="12"/>
        <v>4.8258064516129027</v>
      </c>
      <c r="P23" s="151">
        <f t="shared" si="12"/>
        <v>4.731182795698925</v>
      </c>
      <c r="Q23" s="151">
        <f t="shared" si="12"/>
        <v>3.1225806451612899</v>
      </c>
      <c r="R23" s="151">
        <f t="shared" si="12"/>
        <v>3.7470967741935479</v>
      </c>
      <c r="S23" s="163">
        <f t="shared" si="10"/>
        <v>17</v>
      </c>
      <c r="T23" s="163">
        <f t="shared" si="10"/>
        <v>15</v>
      </c>
      <c r="U23" s="163">
        <f t="shared" si="10"/>
        <v>19</v>
      </c>
      <c r="V23" s="163">
        <f t="shared" si="10"/>
        <v>28.29</v>
      </c>
    </row>
    <row r="24" spans="1:22" x14ac:dyDescent="0.3">
      <c r="A24" s="161" t="s">
        <v>127</v>
      </c>
      <c r="B24" s="163">
        <f t="shared" si="11"/>
        <v>6.24</v>
      </c>
      <c r="C24" s="151">
        <f t="shared" si="12"/>
        <v>3.7198451612903223</v>
      </c>
      <c r="D24" s="163">
        <f t="shared" si="13"/>
        <v>13.348800000000001</v>
      </c>
      <c r="E24" s="151">
        <f t="shared" si="12"/>
        <v>8.1556129032258067</v>
      </c>
      <c r="F24" s="151">
        <f t="shared" si="12"/>
        <v>11.723870967741934</v>
      </c>
      <c r="G24" s="172">
        <v>7.05</v>
      </c>
      <c r="H24" s="151">
        <f t="shared" si="12"/>
        <v>8.5047741935483874</v>
      </c>
      <c r="I24" s="163">
        <f t="shared" si="8"/>
        <v>8.9</v>
      </c>
      <c r="J24" s="151">
        <f t="shared" si="12"/>
        <v>6.4012903225806452</v>
      </c>
      <c r="K24" s="151">
        <f t="shared" si="12"/>
        <v>6.4012903225806452</v>
      </c>
      <c r="L24" s="151">
        <f t="shared" si="12"/>
        <v>15.318812903225806</v>
      </c>
      <c r="M24" s="163">
        <f t="shared" si="8"/>
        <v>6.24</v>
      </c>
      <c r="N24" s="151">
        <f t="shared" si="12"/>
        <v>12.244301075268817</v>
      </c>
      <c r="O24" s="151">
        <f t="shared" si="12"/>
        <v>4.8258064516129027</v>
      </c>
      <c r="P24" s="151">
        <f t="shared" si="12"/>
        <v>4.731182795698925</v>
      </c>
      <c r="Q24" s="151">
        <f t="shared" si="12"/>
        <v>3.1225806451612899</v>
      </c>
      <c r="R24" s="151">
        <f t="shared" si="12"/>
        <v>3.7470967741935479</v>
      </c>
      <c r="S24" s="163">
        <f t="shared" si="10"/>
        <v>17</v>
      </c>
      <c r="T24" s="163">
        <f t="shared" si="10"/>
        <v>15</v>
      </c>
      <c r="U24" s="163">
        <f t="shared" si="10"/>
        <v>19</v>
      </c>
      <c r="V24" s="163">
        <f t="shared" si="10"/>
        <v>28.29</v>
      </c>
    </row>
    <row r="25" spans="1:22" x14ac:dyDescent="0.3">
      <c r="A25" s="179" t="s">
        <v>10</v>
      </c>
      <c r="B25" s="163">
        <f t="shared" si="11"/>
        <v>6.24</v>
      </c>
      <c r="C25" s="178">
        <f>C$26</f>
        <v>3.9312</v>
      </c>
      <c r="D25" s="163">
        <f t="shared" si="13"/>
        <v>13.348800000000001</v>
      </c>
      <c r="E25" s="178">
        <f t="shared" si="13"/>
        <v>8.6189999999999998</v>
      </c>
      <c r="F25" s="178">
        <f t="shared" si="13"/>
        <v>12.39</v>
      </c>
      <c r="G25" s="175">
        <v>7.5</v>
      </c>
      <c r="H25" s="178">
        <f t="shared" ref="H25" si="14">H$26</f>
        <v>8.9880000000000013</v>
      </c>
      <c r="I25" s="163">
        <f t="shared" si="8"/>
        <v>8.9</v>
      </c>
      <c r="J25" s="178">
        <f t="shared" si="8"/>
        <v>6.7650000000000006</v>
      </c>
      <c r="K25" s="178">
        <f t="shared" si="8"/>
        <v>6.7650000000000006</v>
      </c>
      <c r="L25" s="178">
        <f t="shared" si="8"/>
        <v>16.1892</v>
      </c>
      <c r="M25" s="163">
        <f t="shared" si="8"/>
        <v>6.24</v>
      </c>
      <c r="N25" s="178">
        <f t="shared" si="8"/>
        <v>12.94</v>
      </c>
      <c r="O25" s="178">
        <f t="shared" si="8"/>
        <v>5.0999999999999996</v>
      </c>
      <c r="P25" s="178">
        <f t="shared" si="8"/>
        <v>5</v>
      </c>
      <c r="Q25" s="178">
        <f t="shared" si="8"/>
        <v>3.3</v>
      </c>
      <c r="R25" s="178">
        <f t="shared" si="8"/>
        <v>3.96</v>
      </c>
      <c r="S25" s="163">
        <f t="shared" si="10"/>
        <v>17</v>
      </c>
      <c r="T25" s="163">
        <f t="shared" si="10"/>
        <v>15</v>
      </c>
      <c r="U25" s="163">
        <f t="shared" si="10"/>
        <v>19</v>
      </c>
      <c r="V25" s="163">
        <f t="shared" si="10"/>
        <v>28.29</v>
      </c>
    </row>
    <row r="26" spans="1:22" x14ac:dyDescent="0.3">
      <c r="A26" s="169" t="s">
        <v>128</v>
      </c>
      <c r="B26" s="153">
        <v>6.24</v>
      </c>
      <c r="C26" s="173">
        <f>3.78*1.04</f>
        <v>3.9312</v>
      </c>
      <c r="D26" s="153">
        <f>12.96*1.03</f>
        <v>13.348800000000001</v>
      </c>
      <c r="E26" s="173">
        <f>8.45*1.02</f>
        <v>8.6189999999999998</v>
      </c>
      <c r="F26" s="174">
        <f>11.8*1.05</f>
        <v>12.39</v>
      </c>
      <c r="G26" s="175">
        <v>7.5</v>
      </c>
      <c r="H26" s="174">
        <f>8.4*1.07</f>
        <v>8.9880000000000013</v>
      </c>
      <c r="I26" s="153">
        <v>8.9</v>
      </c>
      <c r="J26" s="174">
        <f>6.15*1.1</f>
        <v>6.7650000000000006</v>
      </c>
      <c r="K26" s="174">
        <f>6.15*1.1</f>
        <v>6.7650000000000006</v>
      </c>
      <c r="L26" s="174">
        <f>14.99*1.08</f>
        <v>16.1892</v>
      </c>
      <c r="M26" s="174">
        <v>6.24</v>
      </c>
      <c r="N26" s="170">
        <v>12.94</v>
      </c>
      <c r="O26" s="170">
        <v>5.0999999999999996</v>
      </c>
      <c r="P26" s="170">
        <v>5</v>
      </c>
      <c r="Q26" s="170">
        <v>3.3</v>
      </c>
      <c r="R26" s="170">
        <v>3.96</v>
      </c>
      <c r="S26" s="170">
        <v>17</v>
      </c>
      <c r="T26" s="170">
        <v>15</v>
      </c>
      <c r="U26" s="170">
        <v>19</v>
      </c>
      <c r="V26" s="170">
        <v>28.29</v>
      </c>
    </row>
    <row r="27" spans="1:22" x14ac:dyDescent="0.3">
      <c r="A27" s="161" t="s">
        <v>129</v>
      </c>
      <c r="B27" s="163">
        <f t="shared" ref="B27:C30" si="15">B$26</f>
        <v>6.24</v>
      </c>
      <c r="C27" s="151">
        <f>C$26*0.88/0.93</f>
        <v>3.7198451612903223</v>
      </c>
      <c r="D27" s="163">
        <f t="shared" ref="D27:E30" si="16">D$26</f>
        <v>13.348800000000001</v>
      </c>
      <c r="E27" s="151">
        <f>E$26*0.88/0.93</f>
        <v>8.1556129032258067</v>
      </c>
      <c r="F27" s="151">
        <f>F$26*0.88/0.93</f>
        <v>11.723870967741934</v>
      </c>
      <c r="G27" s="172">
        <v>7.05</v>
      </c>
      <c r="H27" s="151">
        <f>H$26*0.88/0.93</f>
        <v>8.5047741935483874</v>
      </c>
      <c r="I27" s="163">
        <f t="shared" si="8"/>
        <v>8.9</v>
      </c>
      <c r="J27" s="151">
        <f t="shared" ref="J27:L27" si="17">J$26*0.88/0.93</f>
        <v>6.4012903225806452</v>
      </c>
      <c r="K27" s="151">
        <f t="shared" si="17"/>
        <v>6.4012903225806452</v>
      </c>
      <c r="L27" s="151">
        <f t="shared" si="17"/>
        <v>15.318812903225806</v>
      </c>
      <c r="M27" s="163">
        <f t="shared" ref="M27:R30" si="18">M$26</f>
        <v>6.24</v>
      </c>
      <c r="N27" s="151">
        <f t="shared" ref="N27:R27" si="19">N$26*0.88/0.93</f>
        <v>12.244301075268817</v>
      </c>
      <c r="O27" s="151">
        <f t="shared" si="19"/>
        <v>4.8258064516129027</v>
      </c>
      <c r="P27" s="151">
        <f t="shared" si="19"/>
        <v>4.731182795698925</v>
      </c>
      <c r="Q27" s="151">
        <f t="shared" si="19"/>
        <v>3.1225806451612899</v>
      </c>
      <c r="R27" s="151">
        <f t="shared" si="19"/>
        <v>3.7470967741935479</v>
      </c>
      <c r="S27" s="163">
        <f t="shared" ref="S27:V30" si="20">S$26</f>
        <v>17</v>
      </c>
      <c r="T27" s="163">
        <f t="shared" si="20"/>
        <v>15</v>
      </c>
      <c r="U27" s="163">
        <f t="shared" si="20"/>
        <v>19</v>
      </c>
      <c r="V27" s="163">
        <f t="shared" si="20"/>
        <v>28.29</v>
      </c>
    </row>
    <row r="28" spans="1:22" x14ac:dyDescent="0.3">
      <c r="A28" s="179" t="s">
        <v>130</v>
      </c>
      <c r="B28" s="163">
        <f t="shared" si="15"/>
        <v>6.24</v>
      </c>
      <c r="C28" s="178">
        <f t="shared" si="15"/>
        <v>3.9312</v>
      </c>
      <c r="D28" s="163">
        <f t="shared" si="16"/>
        <v>13.348800000000001</v>
      </c>
      <c r="E28" s="178">
        <f t="shared" si="16"/>
        <v>8.6189999999999998</v>
      </c>
      <c r="F28" s="178">
        <f>F$26</f>
        <v>12.39</v>
      </c>
      <c r="G28" s="175">
        <v>7.5</v>
      </c>
      <c r="H28" s="178">
        <f t="shared" ref="H28:H29" si="21">H$26</f>
        <v>8.9880000000000013</v>
      </c>
      <c r="I28" s="163">
        <f t="shared" si="8"/>
        <v>8.9</v>
      </c>
      <c r="J28" s="178">
        <f t="shared" si="8"/>
        <v>6.7650000000000006</v>
      </c>
      <c r="K28" s="178">
        <f t="shared" si="8"/>
        <v>6.7650000000000006</v>
      </c>
      <c r="L28" s="178">
        <f t="shared" si="8"/>
        <v>16.1892</v>
      </c>
      <c r="M28" s="163">
        <f t="shared" si="18"/>
        <v>6.24</v>
      </c>
      <c r="N28" s="178">
        <f t="shared" si="18"/>
        <v>12.94</v>
      </c>
      <c r="O28" s="178">
        <f t="shared" si="18"/>
        <v>5.0999999999999996</v>
      </c>
      <c r="P28" s="178">
        <f t="shared" si="18"/>
        <v>5</v>
      </c>
      <c r="Q28" s="178">
        <f t="shared" si="18"/>
        <v>3.3</v>
      </c>
      <c r="R28" s="178">
        <f t="shared" si="18"/>
        <v>3.96</v>
      </c>
      <c r="S28" s="163">
        <f t="shared" si="20"/>
        <v>17</v>
      </c>
      <c r="T28" s="163">
        <f t="shared" si="20"/>
        <v>15</v>
      </c>
      <c r="U28" s="163">
        <f t="shared" si="20"/>
        <v>19</v>
      </c>
      <c r="V28" s="163">
        <f t="shared" si="20"/>
        <v>28.29</v>
      </c>
    </row>
    <row r="29" spans="1:22" x14ac:dyDescent="0.3">
      <c r="A29" s="179" t="s">
        <v>131</v>
      </c>
      <c r="B29" s="163">
        <f t="shared" si="15"/>
        <v>6.24</v>
      </c>
      <c r="C29" s="178">
        <f t="shared" si="15"/>
        <v>3.9312</v>
      </c>
      <c r="D29" s="163">
        <f t="shared" si="16"/>
        <v>13.348800000000001</v>
      </c>
      <c r="E29" s="178">
        <f t="shared" si="16"/>
        <v>8.6189999999999998</v>
      </c>
      <c r="F29" s="178">
        <f>F$26</f>
        <v>12.39</v>
      </c>
      <c r="G29" s="175">
        <v>7.5</v>
      </c>
      <c r="H29" s="178">
        <f t="shared" si="21"/>
        <v>8.9880000000000013</v>
      </c>
      <c r="I29" s="163">
        <f t="shared" si="8"/>
        <v>8.9</v>
      </c>
      <c r="J29" s="178">
        <f t="shared" si="8"/>
        <v>6.7650000000000006</v>
      </c>
      <c r="K29" s="178">
        <f t="shared" si="8"/>
        <v>6.7650000000000006</v>
      </c>
      <c r="L29" s="178">
        <f t="shared" si="8"/>
        <v>16.1892</v>
      </c>
      <c r="M29" s="163">
        <f t="shared" si="18"/>
        <v>6.24</v>
      </c>
      <c r="N29" s="178">
        <f t="shared" si="18"/>
        <v>12.94</v>
      </c>
      <c r="O29" s="178">
        <f t="shared" si="18"/>
        <v>5.0999999999999996</v>
      </c>
      <c r="P29" s="178">
        <f t="shared" si="18"/>
        <v>5</v>
      </c>
      <c r="Q29" s="178">
        <f t="shared" si="18"/>
        <v>3.3</v>
      </c>
      <c r="R29" s="178">
        <f t="shared" si="18"/>
        <v>3.96</v>
      </c>
      <c r="S29" s="163">
        <f t="shared" si="20"/>
        <v>17</v>
      </c>
      <c r="T29" s="163">
        <f t="shared" si="20"/>
        <v>15</v>
      </c>
      <c r="U29" s="163">
        <f t="shared" si="20"/>
        <v>19</v>
      </c>
      <c r="V29" s="163">
        <f t="shared" si="20"/>
        <v>28.29</v>
      </c>
    </row>
    <row r="30" spans="1:22" x14ac:dyDescent="0.3">
      <c r="A30" s="161" t="s">
        <v>132</v>
      </c>
      <c r="B30" s="163">
        <f t="shared" si="15"/>
        <v>6.24</v>
      </c>
      <c r="C30" s="151">
        <f>C$26*0.88/0.93</f>
        <v>3.7198451612903223</v>
      </c>
      <c r="D30" s="163">
        <f t="shared" si="16"/>
        <v>13.348800000000001</v>
      </c>
      <c r="E30" s="151">
        <f t="shared" ref="E30:F30" si="22">E$26*0.88/0.93</f>
        <v>8.1556129032258067</v>
      </c>
      <c r="F30" s="151">
        <f t="shared" si="22"/>
        <v>11.723870967741934</v>
      </c>
      <c r="G30" s="172">
        <v>7.05</v>
      </c>
      <c r="H30" s="151">
        <f>H$26*0.88/0.93</f>
        <v>8.5047741935483874</v>
      </c>
      <c r="I30" s="163">
        <f t="shared" si="8"/>
        <v>8.9</v>
      </c>
      <c r="J30" s="151">
        <f>J$26*0.88/0.93</f>
        <v>6.4012903225806452</v>
      </c>
      <c r="K30" s="151">
        <f>K$26*0.88/0.93</f>
        <v>6.4012903225806452</v>
      </c>
      <c r="L30" s="151">
        <f>L$26*0.88/0.93</f>
        <v>15.318812903225806</v>
      </c>
      <c r="M30" s="163">
        <f t="shared" si="18"/>
        <v>6.24</v>
      </c>
      <c r="N30" s="151">
        <f t="shared" ref="N30:R30" si="23">N$26*0.88/0.93</f>
        <v>12.244301075268817</v>
      </c>
      <c r="O30" s="151">
        <f t="shared" si="23"/>
        <v>4.8258064516129027</v>
      </c>
      <c r="P30" s="151">
        <f t="shared" si="23"/>
        <v>4.731182795698925</v>
      </c>
      <c r="Q30" s="151">
        <f t="shared" si="23"/>
        <v>3.1225806451612899</v>
      </c>
      <c r="R30" s="151">
        <f t="shared" si="23"/>
        <v>3.7470967741935479</v>
      </c>
      <c r="S30" s="163">
        <f t="shared" si="20"/>
        <v>17</v>
      </c>
      <c r="T30" s="163">
        <f t="shared" si="20"/>
        <v>15</v>
      </c>
      <c r="U30" s="163">
        <f t="shared" si="20"/>
        <v>19</v>
      </c>
      <c r="V30" s="163">
        <f t="shared" si="20"/>
        <v>28.29</v>
      </c>
    </row>
    <row r="31" spans="1:22" x14ac:dyDescent="0.3">
      <c r="A31" s="165" t="s">
        <v>133</v>
      </c>
      <c r="B31" s="163">
        <f>B30*(1-4%-9.25%)</f>
        <v>5.4131999999999998</v>
      </c>
      <c r="C31" s="163">
        <f>C30*(1-12%-9.25%)</f>
        <v>2.9293780645161287</v>
      </c>
      <c r="D31" s="163">
        <f>D30*(1-4%-9.25%)</f>
        <v>11.580083999999999</v>
      </c>
      <c r="E31" s="163">
        <f t="shared" ref="E31:F31" si="24">E30*(1-12%-9.25%)</f>
        <v>6.4225451612903228</v>
      </c>
      <c r="F31" s="163">
        <f t="shared" si="24"/>
        <v>9.2325483870967737</v>
      </c>
      <c r="G31" s="176">
        <v>5.9</v>
      </c>
      <c r="H31" s="163">
        <f>H30*(1-12%-9.25%)</f>
        <v>6.6975096774193545</v>
      </c>
      <c r="I31" s="163">
        <f>I30*(1-4%-9.25%)</f>
        <v>7.7207499999999998</v>
      </c>
      <c r="J31" s="163">
        <f t="shared" ref="J31:L31" si="25">J30*(1-12%-9.25%)</f>
        <v>5.0410161290322577</v>
      </c>
      <c r="K31" s="163">
        <f t="shared" si="25"/>
        <v>5.0410161290322577</v>
      </c>
      <c r="L31" s="163">
        <f t="shared" si="25"/>
        <v>12.063565161290322</v>
      </c>
      <c r="M31" s="163">
        <f>M30*(1-4%-9.25%)</f>
        <v>5.4131999999999998</v>
      </c>
      <c r="N31" s="163">
        <f t="shared" ref="N31:R31" si="26">N30*(1-12%-9.25%)</f>
        <v>9.6423870967741934</v>
      </c>
      <c r="O31" s="163">
        <f t="shared" si="26"/>
        <v>3.8003225806451608</v>
      </c>
      <c r="P31" s="163">
        <f t="shared" si="26"/>
        <v>3.7258064516129035</v>
      </c>
      <c r="Q31" s="163">
        <f t="shared" si="26"/>
        <v>2.4590322580645156</v>
      </c>
      <c r="R31" s="163">
        <f t="shared" si="26"/>
        <v>2.9508387096774191</v>
      </c>
      <c r="S31" s="163">
        <f t="shared" ref="S31:V31" si="27">S30*(1-4%-9.25%)</f>
        <v>14.747499999999999</v>
      </c>
      <c r="T31" s="163">
        <f t="shared" si="27"/>
        <v>13.012499999999999</v>
      </c>
      <c r="U31" s="163">
        <f t="shared" si="27"/>
        <v>16.482499999999998</v>
      </c>
      <c r="V31" s="163">
        <f t="shared" si="27"/>
        <v>24.541574999999998</v>
      </c>
    </row>
    <row r="32" spans="1:22" x14ac:dyDescent="0.3">
      <c r="O32" s="163"/>
      <c r="P32" s="163"/>
      <c r="Q32" s="163"/>
      <c r="R32" s="163"/>
      <c r="S32" s="163"/>
      <c r="T32" s="163"/>
      <c r="U32" s="163"/>
      <c r="V32" s="163"/>
    </row>
    <row r="33" spans="1:22" x14ac:dyDescent="0.3">
      <c r="A33" s="166" t="s">
        <v>21</v>
      </c>
      <c r="B33" s="167">
        <v>8.99</v>
      </c>
      <c r="C33" s="168">
        <v>5.49</v>
      </c>
      <c r="D33" s="168">
        <v>18.989999999999998</v>
      </c>
      <c r="E33" s="168">
        <v>12.99</v>
      </c>
      <c r="F33" s="168">
        <v>17.989999999999998</v>
      </c>
      <c r="G33" s="168">
        <v>13.89</v>
      </c>
      <c r="H33" s="168">
        <v>12.9</v>
      </c>
      <c r="I33" s="168">
        <v>11.99</v>
      </c>
      <c r="J33" s="168">
        <v>9.99</v>
      </c>
      <c r="K33" s="168">
        <v>9.99</v>
      </c>
      <c r="L33" s="168">
        <v>24.99</v>
      </c>
      <c r="M33" s="168">
        <v>9.49</v>
      </c>
      <c r="N33" s="168">
        <v>18.989999999999998</v>
      </c>
      <c r="O33" s="162"/>
    </row>
    <row r="34" spans="1:22" x14ac:dyDescent="0.3">
      <c r="I34" s="160" t="s">
        <v>148</v>
      </c>
      <c r="J34" s="160">
        <v>8.99</v>
      </c>
      <c r="K34" s="160">
        <v>7.99</v>
      </c>
      <c r="L34" s="160">
        <v>19.989999999999998</v>
      </c>
    </row>
    <row r="35" spans="1:22" x14ac:dyDescent="0.3">
      <c r="C35" s="181"/>
    </row>
    <row r="36" spans="1:22" x14ac:dyDescent="0.3"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</row>
    <row r="37" spans="1:22" x14ac:dyDescent="0.3"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</row>
    <row r="38" spans="1:22" x14ac:dyDescent="0.3">
      <c r="C38" s="181"/>
    </row>
    <row r="39" spans="1:22" x14ac:dyDescent="0.3">
      <c r="B39" s="181"/>
    </row>
  </sheetData>
  <sheetProtection selectLockedCells="1" selectUnlockedCells="1"/>
  <pageMargins left="0.511811024" right="0.511811024" top="0.78740157499999996" bottom="0.78740157499999996" header="0.31496062000000002" footer="0.31496062000000002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3249-5E58-4CE3-97D9-327CDDD20C91}">
  <sheetPr>
    <tabColor rgb="FFFFC000"/>
  </sheetPr>
  <dimension ref="A1:V34"/>
  <sheetViews>
    <sheetView zoomScale="70" zoomScaleNormal="70" workbookViewId="0">
      <selection activeCell="B37" sqref="B37:B40"/>
    </sheetView>
  </sheetViews>
  <sheetFormatPr defaultRowHeight="14.4" x14ac:dyDescent="0.3"/>
  <cols>
    <col min="1" max="3" width="13.109375" bestFit="1" customWidth="1"/>
    <col min="4" max="4" width="14.109375" bestFit="1" customWidth="1"/>
    <col min="5" max="6" width="13.109375" bestFit="1" customWidth="1"/>
    <col min="7" max="7" width="14.109375" bestFit="1" customWidth="1"/>
    <col min="8" max="8" width="13.5546875" customWidth="1"/>
    <col min="9" max="9" width="15.44140625" customWidth="1"/>
    <col min="10" max="12" width="19.44140625" customWidth="1"/>
    <col min="13" max="14" width="13.109375" bestFit="1" customWidth="1"/>
    <col min="15" max="17" width="13.88671875" customWidth="1"/>
    <col min="18" max="18" width="16.21875" customWidth="1"/>
    <col min="19" max="22" width="13.88671875" customWidth="1"/>
  </cols>
  <sheetData>
    <row r="1" spans="1:22" x14ac:dyDescent="0.3">
      <c r="A1" s="116" t="s">
        <v>149</v>
      </c>
      <c r="B1" s="116" t="s">
        <v>149</v>
      </c>
      <c r="C1" s="116" t="s">
        <v>149</v>
      </c>
      <c r="D1" s="116" t="s">
        <v>149</v>
      </c>
      <c r="E1" s="116" t="s">
        <v>149</v>
      </c>
      <c r="F1" s="116" t="s">
        <v>149</v>
      </c>
      <c r="G1" s="116" t="s">
        <v>149</v>
      </c>
      <c r="H1" s="116" t="s">
        <v>149</v>
      </c>
      <c r="I1" s="116" t="s">
        <v>149</v>
      </c>
      <c r="J1" s="116" t="s">
        <v>149</v>
      </c>
      <c r="K1" s="116" t="s">
        <v>149</v>
      </c>
      <c r="L1" s="116" t="s">
        <v>149</v>
      </c>
      <c r="M1" s="116" t="s">
        <v>149</v>
      </c>
      <c r="N1" s="116" t="s">
        <v>149</v>
      </c>
      <c r="O1" s="116" t="s">
        <v>149</v>
      </c>
      <c r="P1" s="116" t="s">
        <v>149</v>
      </c>
      <c r="Q1" s="116" t="s">
        <v>149</v>
      </c>
      <c r="R1" s="116" t="s">
        <v>149</v>
      </c>
      <c r="S1" s="116" t="s">
        <v>149</v>
      </c>
      <c r="T1" s="116" t="s">
        <v>149</v>
      </c>
      <c r="U1" s="116" t="s">
        <v>149</v>
      </c>
      <c r="V1" s="116" t="s">
        <v>149</v>
      </c>
    </row>
    <row r="2" spans="1:22" s="157" customFormat="1" ht="31.2" x14ac:dyDescent="0.3">
      <c r="A2" s="155" t="s">
        <v>96</v>
      </c>
      <c r="B2" s="121" t="s">
        <v>135</v>
      </c>
      <c r="C2" s="121" t="s">
        <v>136</v>
      </c>
      <c r="D2" s="121" t="s">
        <v>137</v>
      </c>
      <c r="E2" s="121" t="s">
        <v>138</v>
      </c>
      <c r="F2" s="121" t="s">
        <v>139</v>
      </c>
      <c r="G2" s="156" t="s">
        <v>140</v>
      </c>
      <c r="H2" s="121" t="s">
        <v>141</v>
      </c>
      <c r="I2" s="121" t="s">
        <v>142</v>
      </c>
      <c r="J2" s="121" t="s">
        <v>143</v>
      </c>
      <c r="K2" s="121" t="s">
        <v>144</v>
      </c>
      <c r="L2" s="121" t="s">
        <v>145</v>
      </c>
      <c r="M2" s="121" t="s">
        <v>146</v>
      </c>
      <c r="N2" s="121" t="s">
        <v>147</v>
      </c>
      <c r="O2" s="121" t="s">
        <v>150</v>
      </c>
      <c r="P2" s="121" t="s">
        <v>151</v>
      </c>
      <c r="Q2" s="121" t="s">
        <v>152</v>
      </c>
      <c r="R2" s="121" t="s">
        <v>153</v>
      </c>
      <c r="S2" s="121" t="s">
        <v>154</v>
      </c>
      <c r="T2" s="121" t="s">
        <v>156</v>
      </c>
      <c r="U2" s="121" t="s">
        <v>155</v>
      </c>
      <c r="V2" s="121" t="s">
        <v>157</v>
      </c>
    </row>
    <row r="3" spans="1:22" s="150" customFormat="1" x14ac:dyDescent="0.3">
      <c r="A3" s="149" t="s">
        <v>106</v>
      </c>
      <c r="B3" s="151">
        <v>9.49</v>
      </c>
      <c r="C3" s="151">
        <v>5.99</v>
      </c>
      <c r="D3" s="151">
        <v>19.989999999999998</v>
      </c>
      <c r="E3" s="151">
        <v>12.49</v>
      </c>
      <c r="F3" s="151">
        <v>18.989999999999998</v>
      </c>
      <c r="G3" s="151">
        <v>13.89</v>
      </c>
      <c r="H3" s="151">
        <v>13.49</v>
      </c>
      <c r="I3" s="151">
        <v>13.49</v>
      </c>
      <c r="J3" s="151">
        <v>9.99</v>
      </c>
      <c r="K3" s="151">
        <v>9.99</v>
      </c>
      <c r="L3" s="151">
        <v>23.99</v>
      </c>
      <c r="M3" s="152">
        <v>9.49</v>
      </c>
      <c r="N3" s="152">
        <v>18.899999999999999</v>
      </c>
      <c r="O3" s="152">
        <v>8.99</v>
      </c>
      <c r="P3" s="152">
        <v>7.6</v>
      </c>
      <c r="Q3" s="152">
        <v>5.19</v>
      </c>
      <c r="R3" s="152">
        <v>5.99</v>
      </c>
      <c r="S3" s="152">
        <v>35</v>
      </c>
      <c r="T3" s="152">
        <v>35</v>
      </c>
      <c r="U3" s="152">
        <v>26</v>
      </c>
      <c r="V3" s="152">
        <v>47</v>
      </c>
    </row>
    <row r="4" spans="1:22" s="150" customFormat="1" x14ac:dyDescent="0.3">
      <c r="A4" s="149" t="s">
        <v>107</v>
      </c>
      <c r="B4" s="151">
        <f>B3</f>
        <v>9.49</v>
      </c>
      <c r="C4" s="151">
        <f t="shared" ref="C4:V16" si="0">C3</f>
        <v>5.99</v>
      </c>
      <c r="D4" s="151">
        <f t="shared" si="0"/>
        <v>19.989999999999998</v>
      </c>
      <c r="E4" s="151">
        <f t="shared" si="0"/>
        <v>12.49</v>
      </c>
      <c r="F4" s="151">
        <f t="shared" si="0"/>
        <v>18.989999999999998</v>
      </c>
      <c r="G4" s="151">
        <f t="shared" si="0"/>
        <v>13.89</v>
      </c>
      <c r="H4" s="151">
        <f t="shared" si="0"/>
        <v>13.49</v>
      </c>
      <c r="I4" s="151">
        <f t="shared" si="0"/>
        <v>13.49</v>
      </c>
      <c r="J4" s="151">
        <f t="shared" si="0"/>
        <v>9.99</v>
      </c>
      <c r="K4" s="151">
        <f t="shared" si="0"/>
        <v>9.99</v>
      </c>
      <c r="L4" s="151">
        <f t="shared" si="0"/>
        <v>23.99</v>
      </c>
      <c r="M4" s="151">
        <f t="shared" si="0"/>
        <v>9.49</v>
      </c>
      <c r="N4" s="151">
        <f t="shared" si="0"/>
        <v>18.899999999999999</v>
      </c>
      <c r="O4" s="151">
        <f t="shared" si="0"/>
        <v>8.99</v>
      </c>
      <c r="P4" s="151">
        <f t="shared" si="0"/>
        <v>7.6</v>
      </c>
      <c r="Q4" s="151">
        <f t="shared" si="0"/>
        <v>5.19</v>
      </c>
      <c r="R4" s="151">
        <f t="shared" si="0"/>
        <v>5.99</v>
      </c>
      <c r="S4" s="151">
        <f t="shared" si="0"/>
        <v>35</v>
      </c>
      <c r="T4" s="151">
        <f t="shared" si="0"/>
        <v>35</v>
      </c>
      <c r="U4" s="151">
        <f t="shared" si="0"/>
        <v>26</v>
      </c>
      <c r="V4" s="151">
        <f t="shared" si="0"/>
        <v>47</v>
      </c>
    </row>
    <row r="5" spans="1:22" s="150" customFormat="1" x14ac:dyDescent="0.3">
      <c r="A5" s="149" t="s">
        <v>108</v>
      </c>
      <c r="B5" s="151">
        <f t="shared" ref="B5:Q20" si="1">B4</f>
        <v>9.49</v>
      </c>
      <c r="C5" s="151">
        <f t="shared" si="0"/>
        <v>5.99</v>
      </c>
      <c r="D5" s="151">
        <f t="shared" si="0"/>
        <v>19.989999999999998</v>
      </c>
      <c r="E5" s="151">
        <f t="shared" si="0"/>
        <v>12.49</v>
      </c>
      <c r="F5" s="151">
        <f t="shared" si="0"/>
        <v>18.989999999999998</v>
      </c>
      <c r="G5" s="151">
        <f t="shared" si="0"/>
        <v>13.89</v>
      </c>
      <c r="H5" s="151">
        <f t="shared" si="0"/>
        <v>13.49</v>
      </c>
      <c r="I5" s="151">
        <f t="shared" si="0"/>
        <v>13.49</v>
      </c>
      <c r="J5" s="151">
        <f t="shared" si="0"/>
        <v>9.99</v>
      </c>
      <c r="K5" s="151">
        <f t="shared" si="0"/>
        <v>9.99</v>
      </c>
      <c r="L5" s="151">
        <f t="shared" si="0"/>
        <v>23.99</v>
      </c>
      <c r="M5" s="151">
        <f t="shared" si="0"/>
        <v>9.49</v>
      </c>
      <c r="N5" s="151">
        <f t="shared" si="0"/>
        <v>18.899999999999999</v>
      </c>
      <c r="O5" s="151">
        <f t="shared" si="0"/>
        <v>8.99</v>
      </c>
      <c r="P5" s="151">
        <f t="shared" si="0"/>
        <v>7.6</v>
      </c>
      <c r="Q5" s="151">
        <f t="shared" si="0"/>
        <v>5.19</v>
      </c>
      <c r="R5" s="151">
        <f t="shared" si="0"/>
        <v>5.99</v>
      </c>
      <c r="S5" s="151">
        <f t="shared" si="0"/>
        <v>35</v>
      </c>
      <c r="T5" s="151">
        <f t="shared" si="0"/>
        <v>35</v>
      </c>
      <c r="U5" s="151">
        <f t="shared" si="0"/>
        <v>26</v>
      </c>
      <c r="V5" s="151">
        <f t="shared" si="0"/>
        <v>47</v>
      </c>
    </row>
    <row r="6" spans="1:22" s="150" customFormat="1" x14ac:dyDescent="0.3">
      <c r="A6" s="149" t="s">
        <v>109</v>
      </c>
      <c r="B6" s="151">
        <f t="shared" si="1"/>
        <v>9.49</v>
      </c>
      <c r="C6" s="151">
        <f t="shared" si="0"/>
        <v>5.99</v>
      </c>
      <c r="D6" s="151">
        <f t="shared" si="0"/>
        <v>19.989999999999998</v>
      </c>
      <c r="E6" s="151">
        <f t="shared" si="0"/>
        <v>12.49</v>
      </c>
      <c r="F6" s="151">
        <f t="shared" si="0"/>
        <v>18.989999999999998</v>
      </c>
      <c r="G6" s="151">
        <f t="shared" si="0"/>
        <v>13.89</v>
      </c>
      <c r="H6" s="151">
        <f t="shared" si="0"/>
        <v>13.49</v>
      </c>
      <c r="I6" s="151">
        <f t="shared" si="0"/>
        <v>13.49</v>
      </c>
      <c r="J6" s="151">
        <f t="shared" si="0"/>
        <v>9.99</v>
      </c>
      <c r="K6" s="151">
        <f t="shared" si="0"/>
        <v>9.99</v>
      </c>
      <c r="L6" s="151">
        <f t="shared" si="0"/>
        <v>23.99</v>
      </c>
      <c r="M6" s="151">
        <f t="shared" si="0"/>
        <v>9.49</v>
      </c>
      <c r="N6" s="151">
        <f t="shared" si="0"/>
        <v>18.899999999999999</v>
      </c>
      <c r="O6" s="151">
        <f t="shared" si="0"/>
        <v>8.99</v>
      </c>
      <c r="P6" s="151">
        <f t="shared" si="0"/>
        <v>7.6</v>
      </c>
      <c r="Q6" s="151">
        <f t="shared" si="0"/>
        <v>5.19</v>
      </c>
      <c r="R6" s="151">
        <f t="shared" si="0"/>
        <v>5.99</v>
      </c>
      <c r="S6" s="151">
        <f t="shared" si="0"/>
        <v>35</v>
      </c>
      <c r="T6" s="151">
        <f t="shared" si="0"/>
        <v>35</v>
      </c>
      <c r="U6" s="151">
        <f t="shared" si="0"/>
        <v>26</v>
      </c>
      <c r="V6" s="151">
        <f t="shared" si="0"/>
        <v>47</v>
      </c>
    </row>
    <row r="7" spans="1:22" s="150" customFormat="1" x14ac:dyDescent="0.3">
      <c r="A7" s="149" t="s">
        <v>110</v>
      </c>
      <c r="B7" s="151">
        <f t="shared" si="1"/>
        <v>9.49</v>
      </c>
      <c r="C7" s="151">
        <f t="shared" si="0"/>
        <v>5.99</v>
      </c>
      <c r="D7" s="151">
        <f t="shared" si="0"/>
        <v>19.989999999999998</v>
      </c>
      <c r="E7" s="151">
        <f t="shared" si="0"/>
        <v>12.49</v>
      </c>
      <c r="F7" s="151">
        <f t="shared" si="0"/>
        <v>18.989999999999998</v>
      </c>
      <c r="G7" s="151">
        <f t="shared" si="0"/>
        <v>13.89</v>
      </c>
      <c r="H7" s="151">
        <f t="shared" si="0"/>
        <v>13.49</v>
      </c>
      <c r="I7" s="151">
        <f t="shared" si="0"/>
        <v>13.49</v>
      </c>
      <c r="J7" s="151">
        <f t="shared" si="0"/>
        <v>9.99</v>
      </c>
      <c r="K7" s="151">
        <f t="shared" si="0"/>
        <v>9.99</v>
      </c>
      <c r="L7" s="151">
        <f t="shared" si="0"/>
        <v>23.99</v>
      </c>
      <c r="M7" s="151">
        <f t="shared" si="0"/>
        <v>9.49</v>
      </c>
      <c r="N7" s="151">
        <f t="shared" si="0"/>
        <v>18.899999999999999</v>
      </c>
      <c r="O7" s="151">
        <f t="shared" si="0"/>
        <v>8.99</v>
      </c>
      <c r="P7" s="151">
        <f t="shared" si="0"/>
        <v>7.6</v>
      </c>
      <c r="Q7" s="151">
        <f t="shared" si="0"/>
        <v>5.19</v>
      </c>
      <c r="R7" s="151">
        <f t="shared" si="0"/>
        <v>5.99</v>
      </c>
      <c r="S7" s="151">
        <f t="shared" si="0"/>
        <v>35</v>
      </c>
      <c r="T7" s="151">
        <f t="shared" si="0"/>
        <v>35</v>
      </c>
      <c r="U7" s="151">
        <f t="shared" si="0"/>
        <v>26</v>
      </c>
      <c r="V7" s="151">
        <f t="shared" si="0"/>
        <v>47</v>
      </c>
    </row>
    <row r="8" spans="1:22" s="150" customFormat="1" x14ac:dyDescent="0.3">
      <c r="A8" s="149" t="s">
        <v>111</v>
      </c>
      <c r="B8" s="151">
        <f t="shared" si="1"/>
        <v>9.49</v>
      </c>
      <c r="C8" s="151">
        <f t="shared" si="0"/>
        <v>5.99</v>
      </c>
      <c r="D8" s="151">
        <f t="shared" si="0"/>
        <v>19.989999999999998</v>
      </c>
      <c r="E8" s="151">
        <f t="shared" si="0"/>
        <v>12.49</v>
      </c>
      <c r="F8" s="151">
        <f t="shared" si="0"/>
        <v>18.989999999999998</v>
      </c>
      <c r="G8" s="151">
        <f t="shared" si="0"/>
        <v>13.89</v>
      </c>
      <c r="H8" s="151">
        <f t="shared" si="0"/>
        <v>13.49</v>
      </c>
      <c r="I8" s="151">
        <f t="shared" si="0"/>
        <v>13.49</v>
      </c>
      <c r="J8" s="151">
        <f t="shared" si="0"/>
        <v>9.99</v>
      </c>
      <c r="K8" s="151">
        <f t="shared" si="0"/>
        <v>9.99</v>
      </c>
      <c r="L8" s="151">
        <f t="shared" si="0"/>
        <v>23.99</v>
      </c>
      <c r="M8" s="151">
        <f t="shared" si="0"/>
        <v>9.49</v>
      </c>
      <c r="N8" s="151">
        <f t="shared" si="0"/>
        <v>18.899999999999999</v>
      </c>
      <c r="O8" s="151">
        <f t="shared" si="0"/>
        <v>8.99</v>
      </c>
      <c r="P8" s="151">
        <f t="shared" si="0"/>
        <v>7.6</v>
      </c>
      <c r="Q8" s="151">
        <f t="shared" si="0"/>
        <v>5.19</v>
      </c>
      <c r="R8" s="151">
        <f t="shared" si="0"/>
        <v>5.99</v>
      </c>
      <c r="S8" s="151">
        <f t="shared" si="0"/>
        <v>35</v>
      </c>
      <c r="T8" s="151">
        <f t="shared" si="0"/>
        <v>35</v>
      </c>
      <c r="U8" s="151">
        <f t="shared" si="0"/>
        <v>26</v>
      </c>
      <c r="V8" s="151">
        <f t="shared" si="0"/>
        <v>47</v>
      </c>
    </row>
    <row r="9" spans="1:22" s="150" customFormat="1" x14ac:dyDescent="0.3">
      <c r="A9" s="149" t="s">
        <v>112</v>
      </c>
      <c r="B9" s="151">
        <f t="shared" si="1"/>
        <v>9.49</v>
      </c>
      <c r="C9" s="151">
        <f t="shared" si="0"/>
        <v>5.99</v>
      </c>
      <c r="D9" s="151">
        <f t="shared" si="0"/>
        <v>19.989999999999998</v>
      </c>
      <c r="E9" s="151">
        <f t="shared" si="0"/>
        <v>12.49</v>
      </c>
      <c r="F9" s="151">
        <f t="shared" si="0"/>
        <v>18.989999999999998</v>
      </c>
      <c r="G9" s="151">
        <f t="shared" si="0"/>
        <v>13.89</v>
      </c>
      <c r="H9" s="151">
        <f t="shared" si="0"/>
        <v>13.49</v>
      </c>
      <c r="I9" s="151">
        <f t="shared" si="0"/>
        <v>13.49</v>
      </c>
      <c r="J9" s="151">
        <f t="shared" si="0"/>
        <v>9.99</v>
      </c>
      <c r="K9" s="151">
        <f t="shared" si="0"/>
        <v>9.99</v>
      </c>
      <c r="L9" s="151">
        <f t="shared" si="0"/>
        <v>23.99</v>
      </c>
      <c r="M9" s="151">
        <f t="shared" si="0"/>
        <v>9.49</v>
      </c>
      <c r="N9" s="151">
        <f t="shared" si="0"/>
        <v>18.899999999999999</v>
      </c>
      <c r="O9" s="151">
        <f t="shared" si="0"/>
        <v>8.99</v>
      </c>
      <c r="P9" s="151">
        <f t="shared" si="0"/>
        <v>7.6</v>
      </c>
      <c r="Q9" s="151">
        <f t="shared" si="0"/>
        <v>5.19</v>
      </c>
      <c r="R9" s="151">
        <f t="shared" si="0"/>
        <v>5.99</v>
      </c>
      <c r="S9" s="151">
        <f t="shared" si="0"/>
        <v>35</v>
      </c>
      <c r="T9" s="151">
        <f t="shared" si="0"/>
        <v>35</v>
      </c>
      <c r="U9" s="151">
        <f t="shared" si="0"/>
        <v>26</v>
      </c>
      <c r="V9" s="151">
        <f t="shared" si="0"/>
        <v>47</v>
      </c>
    </row>
    <row r="10" spans="1:22" s="150" customFormat="1" x14ac:dyDescent="0.3">
      <c r="A10" s="149" t="s">
        <v>113</v>
      </c>
      <c r="B10" s="151">
        <f t="shared" si="1"/>
        <v>9.49</v>
      </c>
      <c r="C10" s="151">
        <f t="shared" si="0"/>
        <v>5.99</v>
      </c>
      <c r="D10" s="151">
        <f t="shared" si="0"/>
        <v>19.989999999999998</v>
      </c>
      <c r="E10" s="151">
        <f t="shared" si="0"/>
        <v>12.49</v>
      </c>
      <c r="F10" s="151">
        <f t="shared" si="0"/>
        <v>18.989999999999998</v>
      </c>
      <c r="G10" s="151">
        <f t="shared" si="0"/>
        <v>13.89</v>
      </c>
      <c r="H10" s="151">
        <f t="shared" si="0"/>
        <v>13.49</v>
      </c>
      <c r="I10" s="151">
        <f t="shared" si="0"/>
        <v>13.49</v>
      </c>
      <c r="J10" s="151">
        <f t="shared" si="0"/>
        <v>9.99</v>
      </c>
      <c r="K10" s="151">
        <f t="shared" si="0"/>
        <v>9.99</v>
      </c>
      <c r="L10" s="151">
        <f t="shared" si="0"/>
        <v>23.99</v>
      </c>
      <c r="M10" s="151">
        <f t="shared" si="0"/>
        <v>9.49</v>
      </c>
      <c r="N10" s="151">
        <f t="shared" si="0"/>
        <v>18.899999999999999</v>
      </c>
      <c r="O10" s="151">
        <f t="shared" si="0"/>
        <v>8.99</v>
      </c>
      <c r="P10" s="151">
        <f t="shared" si="0"/>
        <v>7.6</v>
      </c>
      <c r="Q10" s="151">
        <f t="shared" si="0"/>
        <v>5.19</v>
      </c>
      <c r="R10" s="151">
        <f t="shared" si="0"/>
        <v>5.99</v>
      </c>
      <c r="S10" s="151">
        <f t="shared" si="0"/>
        <v>35</v>
      </c>
      <c r="T10" s="151">
        <f t="shared" si="0"/>
        <v>35</v>
      </c>
      <c r="U10" s="151">
        <f t="shared" si="0"/>
        <v>26</v>
      </c>
      <c r="V10" s="151">
        <f t="shared" si="0"/>
        <v>47</v>
      </c>
    </row>
    <row r="11" spans="1:22" s="150" customFormat="1" x14ac:dyDescent="0.3">
      <c r="A11" s="149" t="s">
        <v>114</v>
      </c>
      <c r="B11" s="151">
        <f t="shared" si="1"/>
        <v>9.49</v>
      </c>
      <c r="C11" s="151">
        <f t="shared" si="0"/>
        <v>5.99</v>
      </c>
      <c r="D11" s="151">
        <f t="shared" si="0"/>
        <v>19.989999999999998</v>
      </c>
      <c r="E11" s="151">
        <f t="shared" si="0"/>
        <v>12.49</v>
      </c>
      <c r="F11" s="151">
        <f t="shared" si="0"/>
        <v>18.989999999999998</v>
      </c>
      <c r="G11" s="151">
        <f t="shared" si="0"/>
        <v>13.89</v>
      </c>
      <c r="H11" s="151">
        <f t="shared" si="0"/>
        <v>13.49</v>
      </c>
      <c r="I11" s="151">
        <f t="shared" si="0"/>
        <v>13.49</v>
      </c>
      <c r="J11" s="151">
        <f t="shared" si="0"/>
        <v>9.99</v>
      </c>
      <c r="K11" s="151">
        <f t="shared" si="0"/>
        <v>9.99</v>
      </c>
      <c r="L11" s="151">
        <f t="shared" si="0"/>
        <v>23.99</v>
      </c>
      <c r="M11" s="151">
        <f t="shared" si="0"/>
        <v>9.49</v>
      </c>
      <c r="N11" s="151">
        <f t="shared" si="0"/>
        <v>18.899999999999999</v>
      </c>
      <c r="O11" s="151">
        <f t="shared" si="0"/>
        <v>8.99</v>
      </c>
      <c r="P11" s="151">
        <f t="shared" si="0"/>
        <v>7.6</v>
      </c>
      <c r="Q11" s="151">
        <f t="shared" si="0"/>
        <v>5.19</v>
      </c>
      <c r="R11" s="151">
        <f t="shared" si="0"/>
        <v>5.99</v>
      </c>
      <c r="S11" s="151">
        <f t="shared" si="0"/>
        <v>35</v>
      </c>
      <c r="T11" s="151">
        <f t="shared" si="0"/>
        <v>35</v>
      </c>
      <c r="U11" s="151">
        <f t="shared" si="0"/>
        <v>26</v>
      </c>
      <c r="V11" s="151">
        <f t="shared" si="0"/>
        <v>47</v>
      </c>
    </row>
    <row r="12" spans="1:22" s="150" customFormat="1" x14ac:dyDescent="0.3">
      <c r="A12" s="149" t="s">
        <v>115</v>
      </c>
      <c r="B12" s="151">
        <f t="shared" si="1"/>
        <v>9.49</v>
      </c>
      <c r="C12" s="151">
        <f t="shared" si="0"/>
        <v>5.99</v>
      </c>
      <c r="D12" s="151">
        <f t="shared" si="0"/>
        <v>19.989999999999998</v>
      </c>
      <c r="E12" s="151">
        <f t="shared" si="0"/>
        <v>12.49</v>
      </c>
      <c r="F12" s="151">
        <f t="shared" si="0"/>
        <v>18.989999999999998</v>
      </c>
      <c r="G12" s="151">
        <f t="shared" si="0"/>
        <v>13.89</v>
      </c>
      <c r="H12" s="151">
        <f t="shared" si="0"/>
        <v>13.49</v>
      </c>
      <c r="I12" s="151">
        <f t="shared" si="0"/>
        <v>13.49</v>
      </c>
      <c r="J12" s="151">
        <f t="shared" si="0"/>
        <v>9.99</v>
      </c>
      <c r="K12" s="151">
        <f t="shared" si="0"/>
        <v>9.99</v>
      </c>
      <c r="L12" s="151">
        <f t="shared" si="0"/>
        <v>23.99</v>
      </c>
      <c r="M12" s="151">
        <f t="shared" si="0"/>
        <v>9.49</v>
      </c>
      <c r="N12" s="151">
        <f t="shared" si="0"/>
        <v>18.899999999999999</v>
      </c>
      <c r="O12" s="151">
        <f t="shared" si="0"/>
        <v>8.99</v>
      </c>
      <c r="P12" s="151">
        <f t="shared" si="0"/>
        <v>7.6</v>
      </c>
      <c r="Q12" s="151">
        <f t="shared" si="0"/>
        <v>5.19</v>
      </c>
      <c r="R12" s="151">
        <f t="shared" si="0"/>
        <v>5.99</v>
      </c>
      <c r="S12" s="151">
        <f t="shared" si="0"/>
        <v>35</v>
      </c>
      <c r="T12" s="151">
        <f t="shared" si="0"/>
        <v>35</v>
      </c>
      <c r="U12" s="151">
        <f t="shared" si="0"/>
        <v>26</v>
      </c>
      <c r="V12" s="151">
        <f t="shared" si="0"/>
        <v>47</v>
      </c>
    </row>
    <row r="13" spans="1:22" s="150" customFormat="1" x14ac:dyDescent="0.3">
      <c r="A13" s="149" t="s">
        <v>116</v>
      </c>
      <c r="B13" s="151">
        <f t="shared" si="1"/>
        <v>9.49</v>
      </c>
      <c r="C13" s="151">
        <f t="shared" si="0"/>
        <v>5.99</v>
      </c>
      <c r="D13" s="151">
        <f t="shared" si="0"/>
        <v>19.989999999999998</v>
      </c>
      <c r="E13" s="151">
        <f t="shared" si="0"/>
        <v>12.49</v>
      </c>
      <c r="F13" s="151">
        <f t="shared" si="0"/>
        <v>18.989999999999998</v>
      </c>
      <c r="G13" s="151">
        <f t="shared" si="0"/>
        <v>13.89</v>
      </c>
      <c r="H13" s="151">
        <f t="shared" si="0"/>
        <v>13.49</v>
      </c>
      <c r="I13" s="151">
        <f t="shared" si="0"/>
        <v>13.49</v>
      </c>
      <c r="J13" s="151">
        <f t="shared" si="0"/>
        <v>9.99</v>
      </c>
      <c r="K13" s="151">
        <f t="shared" si="0"/>
        <v>9.99</v>
      </c>
      <c r="L13" s="151">
        <f t="shared" si="0"/>
        <v>23.99</v>
      </c>
      <c r="M13" s="151">
        <f t="shared" si="0"/>
        <v>9.49</v>
      </c>
      <c r="N13" s="151">
        <f t="shared" si="0"/>
        <v>18.899999999999999</v>
      </c>
      <c r="O13" s="151">
        <f t="shared" si="0"/>
        <v>8.99</v>
      </c>
      <c r="P13" s="151">
        <f t="shared" si="0"/>
        <v>7.6</v>
      </c>
      <c r="Q13" s="151">
        <f t="shared" si="0"/>
        <v>5.19</v>
      </c>
      <c r="R13" s="151">
        <f t="shared" si="0"/>
        <v>5.99</v>
      </c>
      <c r="S13" s="151">
        <f t="shared" si="0"/>
        <v>35</v>
      </c>
      <c r="T13" s="151">
        <f t="shared" si="0"/>
        <v>35</v>
      </c>
      <c r="U13" s="151">
        <f t="shared" si="0"/>
        <v>26</v>
      </c>
      <c r="V13" s="151">
        <f t="shared" si="0"/>
        <v>47</v>
      </c>
    </row>
    <row r="14" spans="1:22" s="150" customFormat="1" x14ac:dyDescent="0.3">
      <c r="A14" s="149" t="s">
        <v>117</v>
      </c>
      <c r="B14" s="151">
        <f t="shared" si="1"/>
        <v>9.49</v>
      </c>
      <c r="C14" s="151">
        <f t="shared" si="0"/>
        <v>5.99</v>
      </c>
      <c r="D14" s="151">
        <f t="shared" si="0"/>
        <v>19.989999999999998</v>
      </c>
      <c r="E14" s="151">
        <f t="shared" si="0"/>
        <v>12.49</v>
      </c>
      <c r="F14" s="151">
        <f t="shared" si="0"/>
        <v>18.989999999999998</v>
      </c>
      <c r="G14" s="151">
        <f t="shared" si="0"/>
        <v>13.89</v>
      </c>
      <c r="H14" s="151">
        <f t="shared" si="0"/>
        <v>13.49</v>
      </c>
      <c r="I14" s="151">
        <f t="shared" si="0"/>
        <v>13.49</v>
      </c>
      <c r="J14" s="151">
        <f t="shared" si="0"/>
        <v>9.99</v>
      </c>
      <c r="K14" s="151">
        <f t="shared" si="0"/>
        <v>9.99</v>
      </c>
      <c r="L14" s="151">
        <f t="shared" si="0"/>
        <v>23.99</v>
      </c>
      <c r="M14" s="151">
        <f t="shared" si="0"/>
        <v>9.49</v>
      </c>
      <c r="N14" s="151">
        <f t="shared" si="0"/>
        <v>18.899999999999999</v>
      </c>
      <c r="O14" s="151">
        <f t="shared" si="0"/>
        <v>8.99</v>
      </c>
      <c r="P14" s="151">
        <f t="shared" si="0"/>
        <v>7.6</v>
      </c>
      <c r="Q14" s="151">
        <f t="shared" si="0"/>
        <v>5.19</v>
      </c>
      <c r="R14" s="151">
        <f t="shared" si="0"/>
        <v>5.99</v>
      </c>
      <c r="S14" s="151">
        <f t="shared" si="0"/>
        <v>35</v>
      </c>
      <c r="T14" s="151">
        <f t="shared" si="0"/>
        <v>35</v>
      </c>
      <c r="U14" s="151">
        <f t="shared" si="0"/>
        <v>26</v>
      </c>
      <c r="V14" s="151">
        <f t="shared" si="0"/>
        <v>47</v>
      </c>
    </row>
    <row r="15" spans="1:22" s="150" customFormat="1" x14ac:dyDescent="0.3">
      <c r="A15" s="149" t="s">
        <v>118</v>
      </c>
      <c r="B15" s="151">
        <f t="shared" si="1"/>
        <v>9.49</v>
      </c>
      <c r="C15" s="151">
        <f t="shared" si="0"/>
        <v>5.99</v>
      </c>
      <c r="D15" s="151">
        <f t="shared" si="0"/>
        <v>19.989999999999998</v>
      </c>
      <c r="E15" s="151">
        <f t="shared" si="0"/>
        <v>12.49</v>
      </c>
      <c r="F15" s="151">
        <f t="shared" si="0"/>
        <v>18.989999999999998</v>
      </c>
      <c r="G15" s="151">
        <f t="shared" si="0"/>
        <v>13.89</v>
      </c>
      <c r="H15" s="151">
        <f t="shared" si="0"/>
        <v>13.49</v>
      </c>
      <c r="I15" s="151">
        <f t="shared" si="0"/>
        <v>13.49</v>
      </c>
      <c r="J15" s="151">
        <f t="shared" si="0"/>
        <v>9.99</v>
      </c>
      <c r="K15" s="151">
        <f t="shared" si="0"/>
        <v>9.99</v>
      </c>
      <c r="L15" s="151">
        <f t="shared" si="0"/>
        <v>23.99</v>
      </c>
      <c r="M15" s="151">
        <f t="shared" si="0"/>
        <v>9.49</v>
      </c>
      <c r="N15" s="151">
        <f t="shared" si="0"/>
        <v>18.899999999999999</v>
      </c>
      <c r="O15" s="151">
        <f t="shared" si="0"/>
        <v>8.99</v>
      </c>
      <c r="P15" s="151">
        <f t="shared" si="0"/>
        <v>7.6</v>
      </c>
      <c r="Q15" s="151">
        <f t="shared" si="0"/>
        <v>5.19</v>
      </c>
      <c r="R15" s="151">
        <f t="shared" si="0"/>
        <v>5.99</v>
      </c>
      <c r="S15" s="151">
        <f t="shared" si="0"/>
        <v>35</v>
      </c>
      <c r="T15" s="151">
        <f t="shared" si="0"/>
        <v>35</v>
      </c>
      <c r="U15" s="151">
        <f t="shared" si="0"/>
        <v>26</v>
      </c>
      <c r="V15" s="151">
        <f t="shared" si="0"/>
        <v>47</v>
      </c>
    </row>
    <row r="16" spans="1:22" s="150" customFormat="1" x14ac:dyDescent="0.3">
      <c r="A16" s="149" t="s">
        <v>119</v>
      </c>
      <c r="B16" s="151">
        <f t="shared" si="1"/>
        <v>9.49</v>
      </c>
      <c r="C16" s="151">
        <f t="shared" si="0"/>
        <v>5.99</v>
      </c>
      <c r="D16" s="151">
        <f t="shared" si="0"/>
        <v>19.989999999999998</v>
      </c>
      <c r="E16" s="151">
        <f t="shared" si="0"/>
        <v>12.49</v>
      </c>
      <c r="F16" s="151">
        <f t="shared" si="0"/>
        <v>18.989999999999998</v>
      </c>
      <c r="G16" s="151">
        <f t="shared" si="0"/>
        <v>13.89</v>
      </c>
      <c r="H16" s="151">
        <f t="shared" si="0"/>
        <v>13.49</v>
      </c>
      <c r="I16" s="151">
        <f t="shared" si="0"/>
        <v>13.49</v>
      </c>
      <c r="J16" s="151">
        <f t="shared" si="0"/>
        <v>9.99</v>
      </c>
      <c r="K16" s="151">
        <f t="shared" si="0"/>
        <v>9.99</v>
      </c>
      <c r="L16" s="151">
        <f t="shared" si="0"/>
        <v>23.99</v>
      </c>
      <c r="M16" s="151">
        <f t="shared" si="0"/>
        <v>9.49</v>
      </c>
      <c r="N16" s="151">
        <f t="shared" si="0"/>
        <v>18.899999999999999</v>
      </c>
      <c r="O16" s="151">
        <f t="shared" si="0"/>
        <v>8.99</v>
      </c>
      <c r="P16" s="151">
        <f t="shared" si="0"/>
        <v>7.6</v>
      </c>
      <c r="Q16" s="151">
        <f t="shared" si="0"/>
        <v>5.19</v>
      </c>
      <c r="R16" s="151">
        <f t="shared" ref="R16:V30" si="2">R15</f>
        <v>5.99</v>
      </c>
      <c r="S16" s="151">
        <f t="shared" si="2"/>
        <v>35</v>
      </c>
      <c r="T16" s="151">
        <f t="shared" si="2"/>
        <v>35</v>
      </c>
      <c r="U16" s="151">
        <f t="shared" si="2"/>
        <v>26</v>
      </c>
      <c r="V16" s="151">
        <f t="shared" si="2"/>
        <v>47</v>
      </c>
    </row>
    <row r="17" spans="1:22" s="150" customFormat="1" x14ac:dyDescent="0.3">
      <c r="A17" s="149" t="s">
        <v>120</v>
      </c>
      <c r="B17" s="151">
        <f t="shared" si="1"/>
        <v>9.49</v>
      </c>
      <c r="C17" s="151">
        <f t="shared" si="1"/>
        <v>5.99</v>
      </c>
      <c r="D17" s="151">
        <f t="shared" si="1"/>
        <v>19.989999999999998</v>
      </c>
      <c r="E17" s="151">
        <f t="shared" si="1"/>
        <v>12.49</v>
      </c>
      <c r="F17" s="151">
        <f t="shared" si="1"/>
        <v>18.989999999999998</v>
      </c>
      <c r="G17" s="151">
        <f t="shared" si="1"/>
        <v>13.89</v>
      </c>
      <c r="H17" s="151">
        <f t="shared" si="1"/>
        <v>13.49</v>
      </c>
      <c r="I17" s="151">
        <f t="shared" si="1"/>
        <v>13.49</v>
      </c>
      <c r="J17" s="151">
        <f t="shared" si="1"/>
        <v>9.99</v>
      </c>
      <c r="K17" s="151">
        <f t="shared" si="1"/>
        <v>9.99</v>
      </c>
      <c r="L17" s="151">
        <f t="shared" si="1"/>
        <v>23.99</v>
      </c>
      <c r="M17" s="151">
        <f t="shared" si="1"/>
        <v>9.49</v>
      </c>
      <c r="N17" s="151">
        <f t="shared" si="1"/>
        <v>18.899999999999999</v>
      </c>
      <c r="O17" s="151">
        <f t="shared" si="1"/>
        <v>8.99</v>
      </c>
      <c r="P17" s="151">
        <f t="shared" si="1"/>
        <v>7.6</v>
      </c>
      <c r="Q17" s="151">
        <f t="shared" si="1"/>
        <v>5.19</v>
      </c>
      <c r="R17" s="151">
        <f t="shared" si="2"/>
        <v>5.99</v>
      </c>
      <c r="S17" s="151">
        <f t="shared" si="2"/>
        <v>35</v>
      </c>
      <c r="T17" s="151">
        <f t="shared" si="2"/>
        <v>35</v>
      </c>
      <c r="U17" s="151">
        <f t="shared" si="2"/>
        <v>26</v>
      </c>
      <c r="V17" s="151">
        <f t="shared" si="2"/>
        <v>47</v>
      </c>
    </row>
    <row r="18" spans="1:22" s="150" customFormat="1" x14ac:dyDescent="0.3">
      <c r="A18" s="149" t="s">
        <v>121</v>
      </c>
      <c r="B18" s="151">
        <f t="shared" si="1"/>
        <v>9.49</v>
      </c>
      <c r="C18" s="151">
        <f t="shared" si="1"/>
        <v>5.99</v>
      </c>
      <c r="D18" s="151">
        <f t="shared" si="1"/>
        <v>19.989999999999998</v>
      </c>
      <c r="E18" s="151">
        <f t="shared" si="1"/>
        <v>12.49</v>
      </c>
      <c r="F18" s="151">
        <f t="shared" si="1"/>
        <v>18.989999999999998</v>
      </c>
      <c r="G18" s="151">
        <f t="shared" si="1"/>
        <v>13.89</v>
      </c>
      <c r="H18" s="151">
        <f t="shared" si="1"/>
        <v>13.49</v>
      </c>
      <c r="I18" s="151">
        <f t="shared" si="1"/>
        <v>13.49</v>
      </c>
      <c r="J18" s="151">
        <f t="shared" si="1"/>
        <v>9.99</v>
      </c>
      <c r="K18" s="151">
        <f t="shared" si="1"/>
        <v>9.99</v>
      </c>
      <c r="L18" s="151">
        <f t="shared" si="1"/>
        <v>23.99</v>
      </c>
      <c r="M18" s="151">
        <f t="shared" si="1"/>
        <v>9.49</v>
      </c>
      <c r="N18" s="151">
        <f t="shared" si="1"/>
        <v>18.899999999999999</v>
      </c>
      <c r="O18" s="151">
        <f t="shared" si="1"/>
        <v>8.99</v>
      </c>
      <c r="P18" s="151">
        <f t="shared" si="1"/>
        <v>7.6</v>
      </c>
      <c r="Q18" s="151">
        <f t="shared" si="1"/>
        <v>5.19</v>
      </c>
      <c r="R18" s="151">
        <f t="shared" si="2"/>
        <v>5.99</v>
      </c>
      <c r="S18" s="151">
        <f t="shared" si="2"/>
        <v>35</v>
      </c>
      <c r="T18" s="151">
        <f t="shared" si="2"/>
        <v>35</v>
      </c>
      <c r="U18" s="151">
        <f t="shared" si="2"/>
        <v>26</v>
      </c>
      <c r="V18" s="151">
        <f t="shared" si="2"/>
        <v>47</v>
      </c>
    </row>
    <row r="19" spans="1:22" s="150" customFormat="1" x14ac:dyDescent="0.3">
      <c r="A19" s="149" t="s">
        <v>122</v>
      </c>
      <c r="B19" s="151">
        <f t="shared" si="1"/>
        <v>9.49</v>
      </c>
      <c r="C19" s="151">
        <f t="shared" si="1"/>
        <v>5.99</v>
      </c>
      <c r="D19" s="151">
        <f t="shared" si="1"/>
        <v>19.989999999999998</v>
      </c>
      <c r="E19" s="151">
        <f t="shared" si="1"/>
        <v>12.49</v>
      </c>
      <c r="F19" s="151">
        <f t="shared" si="1"/>
        <v>18.989999999999998</v>
      </c>
      <c r="G19" s="151">
        <f t="shared" si="1"/>
        <v>13.89</v>
      </c>
      <c r="H19" s="151">
        <f t="shared" si="1"/>
        <v>13.49</v>
      </c>
      <c r="I19" s="151">
        <f t="shared" si="1"/>
        <v>13.49</v>
      </c>
      <c r="J19" s="151">
        <f t="shared" si="1"/>
        <v>9.99</v>
      </c>
      <c r="K19" s="151">
        <f t="shared" si="1"/>
        <v>9.99</v>
      </c>
      <c r="L19" s="151">
        <f t="shared" si="1"/>
        <v>23.99</v>
      </c>
      <c r="M19" s="151">
        <f t="shared" si="1"/>
        <v>9.49</v>
      </c>
      <c r="N19" s="151">
        <f t="shared" si="1"/>
        <v>18.899999999999999</v>
      </c>
      <c r="O19" s="151">
        <f t="shared" si="1"/>
        <v>8.99</v>
      </c>
      <c r="P19" s="151">
        <f t="shared" si="1"/>
        <v>7.6</v>
      </c>
      <c r="Q19" s="151">
        <f t="shared" si="1"/>
        <v>5.19</v>
      </c>
      <c r="R19" s="151">
        <f t="shared" si="2"/>
        <v>5.99</v>
      </c>
      <c r="S19" s="151">
        <f t="shared" si="2"/>
        <v>35</v>
      </c>
      <c r="T19" s="151">
        <f t="shared" si="2"/>
        <v>35</v>
      </c>
      <c r="U19" s="151">
        <f t="shared" si="2"/>
        <v>26</v>
      </c>
      <c r="V19" s="151">
        <f t="shared" si="2"/>
        <v>47</v>
      </c>
    </row>
    <row r="20" spans="1:22" s="150" customFormat="1" x14ac:dyDescent="0.3">
      <c r="A20" s="149" t="s">
        <v>123</v>
      </c>
      <c r="B20" s="151">
        <f t="shared" si="1"/>
        <v>9.49</v>
      </c>
      <c r="C20" s="151">
        <f t="shared" si="1"/>
        <v>5.99</v>
      </c>
      <c r="D20" s="151">
        <f t="shared" si="1"/>
        <v>19.989999999999998</v>
      </c>
      <c r="E20" s="151">
        <f t="shared" si="1"/>
        <v>12.49</v>
      </c>
      <c r="F20" s="151">
        <f t="shared" si="1"/>
        <v>18.989999999999998</v>
      </c>
      <c r="G20" s="151">
        <f t="shared" si="1"/>
        <v>13.89</v>
      </c>
      <c r="H20" s="151">
        <f t="shared" si="1"/>
        <v>13.49</v>
      </c>
      <c r="I20" s="151">
        <f t="shared" si="1"/>
        <v>13.49</v>
      </c>
      <c r="J20" s="151">
        <f t="shared" si="1"/>
        <v>9.99</v>
      </c>
      <c r="K20" s="151">
        <f t="shared" si="1"/>
        <v>9.99</v>
      </c>
      <c r="L20" s="151">
        <f t="shared" si="1"/>
        <v>23.99</v>
      </c>
      <c r="M20" s="151">
        <f t="shared" si="1"/>
        <v>9.49</v>
      </c>
      <c r="N20" s="151">
        <f t="shared" si="1"/>
        <v>18.899999999999999</v>
      </c>
      <c r="O20" s="151">
        <f t="shared" si="1"/>
        <v>8.99</v>
      </c>
      <c r="P20" s="151">
        <f t="shared" si="1"/>
        <v>7.6</v>
      </c>
      <c r="Q20" s="151">
        <f t="shared" si="1"/>
        <v>5.19</v>
      </c>
      <c r="R20" s="151">
        <f t="shared" si="2"/>
        <v>5.99</v>
      </c>
      <c r="S20" s="151">
        <f t="shared" si="2"/>
        <v>35</v>
      </c>
      <c r="T20" s="151">
        <f t="shared" si="2"/>
        <v>35</v>
      </c>
      <c r="U20" s="151">
        <f t="shared" si="2"/>
        <v>26</v>
      </c>
      <c r="V20" s="151">
        <f t="shared" si="2"/>
        <v>47</v>
      </c>
    </row>
    <row r="21" spans="1:22" s="150" customFormat="1" x14ac:dyDescent="0.3">
      <c r="A21" s="149" t="s">
        <v>124</v>
      </c>
      <c r="B21" s="151">
        <f t="shared" ref="B21:Q30" si="3">B20</f>
        <v>9.49</v>
      </c>
      <c r="C21" s="151">
        <f t="shared" si="3"/>
        <v>5.99</v>
      </c>
      <c r="D21" s="151">
        <f t="shared" si="3"/>
        <v>19.989999999999998</v>
      </c>
      <c r="E21" s="151">
        <f t="shared" si="3"/>
        <v>12.49</v>
      </c>
      <c r="F21" s="151">
        <f t="shared" si="3"/>
        <v>18.989999999999998</v>
      </c>
      <c r="G21" s="151">
        <f t="shared" si="3"/>
        <v>13.89</v>
      </c>
      <c r="H21" s="151">
        <f t="shared" si="3"/>
        <v>13.49</v>
      </c>
      <c r="I21" s="151">
        <f t="shared" si="3"/>
        <v>13.49</v>
      </c>
      <c r="J21" s="151">
        <f t="shared" si="3"/>
        <v>9.99</v>
      </c>
      <c r="K21" s="151">
        <f t="shared" si="3"/>
        <v>9.99</v>
      </c>
      <c r="L21" s="151">
        <f t="shared" si="3"/>
        <v>23.99</v>
      </c>
      <c r="M21" s="151">
        <f t="shared" si="3"/>
        <v>9.49</v>
      </c>
      <c r="N21" s="151">
        <f t="shared" si="3"/>
        <v>18.899999999999999</v>
      </c>
      <c r="O21" s="151">
        <f t="shared" si="3"/>
        <v>8.99</v>
      </c>
      <c r="P21" s="151">
        <f t="shared" si="3"/>
        <v>7.6</v>
      </c>
      <c r="Q21" s="151">
        <f t="shared" si="3"/>
        <v>5.19</v>
      </c>
      <c r="R21" s="151">
        <f t="shared" si="2"/>
        <v>5.99</v>
      </c>
      <c r="S21" s="151">
        <f t="shared" si="2"/>
        <v>35</v>
      </c>
      <c r="T21" s="151">
        <f t="shared" si="2"/>
        <v>35</v>
      </c>
      <c r="U21" s="151">
        <f t="shared" si="2"/>
        <v>26</v>
      </c>
      <c r="V21" s="151">
        <f t="shared" si="2"/>
        <v>47</v>
      </c>
    </row>
    <row r="22" spans="1:22" s="150" customFormat="1" x14ac:dyDescent="0.3">
      <c r="A22" s="149" t="s">
        <v>125</v>
      </c>
      <c r="B22" s="151">
        <f t="shared" si="3"/>
        <v>9.49</v>
      </c>
      <c r="C22" s="151">
        <f t="shared" si="3"/>
        <v>5.99</v>
      </c>
      <c r="D22" s="151">
        <f t="shared" si="3"/>
        <v>19.989999999999998</v>
      </c>
      <c r="E22" s="151">
        <f t="shared" si="3"/>
        <v>12.49</v>
      </c>
      <c r="F22" s="151">
        <f t="shared" si="3"/>
        <v>18.989999999999998</v>
      </c>
      <c r="G22" s="151">
        <f t="shared" si="3"/>
        <v>13.89</v>
      </c>
      <c r="H22" s="151">
        <f t="shared" si="3"/>
        <v>13.49</v>
      </c>
      <c r="I22" s="151">
        <f t="shared" si="3"/>
        <v>13.49</v>
      </c>
      <c r="J22" s="151">
        <f t="shared" si="3"/>
        <v>9.99</v>
      </c>
      <c r="K22" s="151">
        <f t="shared" si="3"/>
        <v>9.99</v>
      </c>
      <c r="L22" s="151">
        <f t="shared" si="3"/>
        <v>23.99</v>
      </c>
      <c r="M22" s="151">
        <f t="shared" si="3"/>
        <v>9.49</v>
      </c>
      <c r="N22" s="151">
        <f t="shared" si="3"/>
        <v>18.899999999999999</v>
      </c>
      <c r="O22" s="151">
        <f t="shared" si="3"/>
        <v>8.99</v>
      </c>
      <c r="P22" s="151">
        <f t="shared" si="3"/>
        <v>7.6</v>
      </c>
      <c r="Q22" s="151">
        <f t="shared" si="3"/>
        <v>5.19</v>
      </c>
      <c r="R22" s="151">
        <f t="shared" si="2"/>
        <v>5.99</v>
      </c>
      <c r="S22" s="151">
        <f t="shared" si="2"/>
        <v>35</v>
      </c>
      <c r="T22" s="151">
        <f t="shared" si="2"/>
        <v>35</v>
      </c>
      <c r="U22" s="151">
        <f t="shared" si="2"/>
        <v>26</v>
      </c>
      <c r="V22" s="151">
        <f t="shared" si="2"/>
        <v>47</v>
      </c>
    </row>
    <row r="23" spans="1:22" s="150" customFormat="1" x14ac:dyDescent="0.3">
      <c r="A23" s="149" t="s">
        <v>126</v>
      </c>
      <c r="B23" s="151">
        <f t="shared" si="3"/>
        <v>9.49</v>
      </c>
      <c r="C23" s="151">
        <f t="shared" si="3"/>
        <v>5.99</v>
      </c>
      <c r="D23" s="151">
        <f t="shared" si="3"/>
        <v>19.989999999999998</v>
      </c>
      <c r="E23" s="151">
        <f t="shared" si="3"/>
        <v>12.49</v>
      </c>
      <c r="F23" s="151">
        <f t="shared" si="3"/>
        <v>18.989999999999998</v>
      </c>
      <c r="G23" s="151">
        <f t="shared" si="3"/>
        <v>13.89</v>
      </c>
      <c r="H23" s="151">
        <f t="shared" si="3"/>
        <v>13.49</v>
      </c>
      <c r="I23" s="151">
        <f t="shared" si="3"/>
        <v>13.49</v>
      </c>
      <c r="J23" s="151">
        <f t="shared" si="3"/>
        <v>9.99</v>
      </c>
      <c r="K23" s="151">
        <f t="shared" si="3"/>
        <v>9.99</v>
      </c>
      <c r="L23" s="151">
        <f t="shared" si="3"/>
        <v>23.99</v>
      </c>
      <c r="M23" s="151">
        <f t="shared" si="3"/>
        <v>9.49</v>
      </c>
      <c r="N23" s="151">
        <f t="shared" si="3"/>
        <v>18.899999999999999</v>
      </c>
      <c r="O23" s="151">
        <f t="shared" si="3"/>
        <v>8.99</v>
      </c>
      <c r="P23" s="151">
        <f t="shared" si="3"/>
        <v>7.6</v>
      </c>
      <c r="Q23" s="151">
        <f t="shared" si="3"/>
        <v>5.19</v>
      </c>
      <c r="R23" s="151">
        <f t="shared" si="2"/>
        <v>5.99</v>
      </c>
      <c r="S23" s="151">
        <f t="shared" si="2"/>
        <v>35</v>
      </c>
      <c r="T23" s="151">
        <f t="shared" si="2"/>
        <v>35</v>
      </c>
      <c r="U23" s="151">
        <f t="shared" si="2"/>
        <v>26</v>
      </c>
      <c r="V23" s="151">
        <f t="shared" si="2"/>
        <v>47</v>
      </c>
    </row>
    <row r="24" spans="1:22" s="150" customFormat="1" x14ac:dyDescent="0.3">
      <c r="A24" s="149" t="s">
        <v>127</v>
      </c>
      <c r="B24" s="151">
        <f t="shared" si="3"/>
        <v>9.49</v>
      </c>
      <c r="C24" s="151">
        <f t="shared" si="3"/>
        <v>5.99</v>
      </c>
      <c r="D24" s="151">
        <f t="shared" si="3"/>
        <v>19.989999999999998</v>
      </c>
      <c r="E24" s="151">
        <f t="shared" si="3"/>
        <v>12.49</v>
      </c>
      <c r="F24" s="151">
        <f t="shared" si="3"/>
        <v>18.989999999999998</v>
      </c>
      <c r="G24" s="151">
        <f t="shared" si="3"/>
        <v>13.89</v>
      </c>
      <c r="H24" s="151">
        <f t="shared" si="3"/>
        <v>13.49</v>
      </c>
      <c r="I24" s="151">
        <f t="shared" si="3"/>
        <v>13.49</v>
      </c>
      <c r="J24" s="151">
        <f t="shared" si="3"/>
        <v>9.99</v>
      </c>
      <c r="K24" s="151">
        <f t="shared" si="3"/>
        <v>9.99</v>
      </c>
      <c r="L24" s="151">
        <f t="shared" si="3"/>
        <v>23.99</v>
      </c>
      <c r="M24" s="151">
        <f t="shared" si="3"/>
        <v>9.49</v>
      </c>
      <c r="N24" s="151">
        <f t="shared" si="3"/>
        <v>18.899999999999999</v>
      </c>
      <c r="O24" s="151">
        <f t="shared" si="3"/>
        <v>8.99</v>
      </c>
      <c r="P24" s="151">
        <f t="shared" si="3"/>
        <v>7.6</v>
      </c>
      <c r="Q24" s="151">
        <f t="shared" si="3"/>
        <v>5.19</v>
      </c>
      <c r="R24" s="151">
        <f t="shared" si="2"/>
        <v>5.99</v>
      </c>
      <c r="S24" s="151">
        <f t="shared" si="2"/>
        <v>35</v>
      </c>
      <c r="T24" s="151">
        <f t="shared" si="2"/>
        <v>35</v>
      </c>
      <c r="U24" s="151">
        <f t="shared" si="2"/>
        <v>26</v>
      </c>
      <c r="V24" s="151">
        <f t="shared" si="2"/>
        <v>47</v>
      </c>
    </row>
    <row r="25" spans="1:22" s="150" customFormat="1" x14ac:dyDescent="0.3">
      <c r="A25" s="149" t="s">
        <v>10</v>
      </c>
      <c r="B25" s="151">
        <f t="shared" si="3"/>
        <v>9.49</v>
      </c>
      <c r="C25" s="151">
        <f t="shared" si="3"/>
        <v>5.99</v>
      </c>
      <c r="D25" s="151">
        <f t="shared" si="3"/>
        <v>19.989999999999998</v>
      </c>
      <c r="E25" s="151">
        <f t="shared" si="3"/>
        <v>12.49</v>
      </c>
      <c r="F25" s="151">
        <f t="shared" si="3"/>
        <v>18.989999999999998</v>
      </c>
      <c r="G25" s="151">
        <f t="shared" si="3"/>
        <v>13.89</v>
      </c>
      <c r="H25" s="151">
        <f t="shared" si="3"/>
        <v>13.49</v>
      </c>
      <c r="I25" s="151">
        <f t="shared" si="3"/>
        <v>13.49</v>
      </c>
      <c r="J25" s="151">
        <f t="shared" si="3"/>
        <v>9.99</v>
      </c>
      <c r="K25" s="151">
        <f t="shared" si="3"/>
        <v>9.99</v>
      </c>
      <c r="L25" s="151">
        <f t="shared" si="3"/>
        <v>23.99</v>
      </c>
      <c r="M25" s="151">
        <f t="shared" si="3"/>
        <v>9.49</v>
      </c>
      <c r="N25" s="151">
        <f t="shared" si="3"/>
        <v>18.899999999999999</v>
      </c>
      <c r="O25" s="151">
        <f t="shared" si="3"/>
        <v>8.99</v>
      </c>
      <c r="P25" s="151">
        <f t="shared" si="3"/>
        <v>7.6</v>
      </c>
      <c r="Q25" s="151">
        <f t="shared" si="3"/>
        <v>5.19</v>
      </c>
      <c r="R25" s="151">
        <f t="shared" si="2"/>
        <v>5.99</v>
      </c>
      <c r="S25" s="151">
        <f t="shared" si="2"/>
        <v>35</v>
      </c>
      <c r="T25" s="151">
        <f t="shared" si="2"/>
        <v>35</v>
      </c>
      <c r="U25" s="151">
        <f t="shared" si="2"/>
        <v>26</v>
      </c>
      <c r="V25" s="151">
        <f t="shared" si="2"/>
        <v>47</v>
      </c>
    </row>
    <row r="26" spans="1:22" s="150" customFormat="1" x14ac:dyDescent="0.3">
      <c r="A26" s="149" t="s">
        <v>128</v>
      </c>
      <c r="B26" s="151">
        <f t="shared" si="3"/>
        <v>9.49</v>
      </c>
      <c r="C26" s="151">
        <f t="shared" si="3"/>
        <v>5.99</v>
      </c>
      <c r="D26" s="151">
        <f t="shared" si="3"/>
        <v>19.989999999999998</v>
      </c>
      <c r="E26" s="151">
        <f t="shared" si="3"/>
        <v>12.49</v>
      </c>
      <c r="F26" s="151">
        <f t="shared" si="3"/>
        <v>18.989999999999998</v>
      </c>
      <c r="G26" s="151">
        <f t="shared" si="3"/>
        <v>13.89</v>
      </c>
      <c r="H26" s="151">
        <f t="shared" si="3"/>
        <v>13.49</v>
      </c>
      <c r="I26" s="151">
        <f t="shared" si="3"/>
        <v>13.49</v>
      </c>
      <c r="J26" s="151">
        <f t="shared" si="3"/>
        <v>9.99</v>
      </c>
      <c r="K26" s="151">
        <f t="shared" si="3"/>
        <v>9.99</v>
      </c>
      <c r="L26" s="151">
        <f t="shared" si="3"/>
        <v>23.99</v>
      </c>
      <c r="M26" s="151">
        <f t="shared" si="3"/>
        <v>9.49</v>
      </c>
      <c r="N26" s="151">
        <f t="shared" si="3"/>
        <v>18.899999999999999</v>
      </c>
      <c r="O26" s="151">
        <f t="shared" si="3"/>
        <v>8.99</v>
      </c>
      <c r="P26" s="151">
        <f t="shared" si="3"/>
        <v>7.6</v>
      </c>
      <c r="Q26" s="151">
        <f t="shared" si="3"/>
        <v>5.19</v>
      </c>
      <c r="R26" s="151">
        <f t="shared" si="2"/>
        <v>5.99</v>
      </c>
      <c r="S26" s="151">
        <f t="shared" si="2"/>
        <v>35</v>
      </c>
      <c r="T26" s="151">
        <f t="shared" si="2"/>
        <v>35</v>
      </c>
      <c r="U26" s="151">
        <f t="shared" si="2"/>
        <v>26</v>
      </c>
      <c r="V26" s="151">
        <f t="shared" si="2"/>
        <v>47</v>
      </c>
    </row>
    <row r="27" spans="1:22" s="150" customFormat="1" x14ac:dyDescent="0.3">
      <c r="A27" s="149" t="s">
        <v>129</v>
      </c>
      <c r="B27" s="151">
        <f t="shared" si="3"/>
        <v>9.49</v>
      </c>
      <c r="C27" s="151">
        <f t="shared" si="3"/>
        <v>5.99</v>
      </c>
      <c r="D27" s="151">
        <f t="shared" si="3"/>
        <v>19.989999999999998</v>
      </c>
      <c r="E27" s="151">
        <f t="shared" si="3"/>
        <v>12.49</v>
      </c>
      <c r="F27" s="151">
        <f t="shared" si="3"/>
        <v>18.989999999999998</v>
      </c>
      <c r="G27" s="151">
        <f t="shared" si="3"/>
        <v>13.89</v>
      </c>
      <c r="H27" s="151">
        <f t="shared" si="3"/>
        <v>13.49</v>
      </c>
      <c r="I27" s="151">
        <f t="shared" si="3"/>
        <v>13.49</v>
      </c>
      <c r="J27" s="151">
        <f t="shared" si="3"/>
        <v>9.99</v>
      </c>
      <c r="K27" s="151">
        <f t="shared" si="3"/>
        <v>9.99</v>
      </c>
      <c r="L27" s="151">
        <f t="shared" si="3"/>
        <v>23.99</v>
      </c>
      <c r="M27" s="151">
        <f t="shared" si="3"/>
        <v>9.49</v>
      </c>
      <c r="N27" s="151">
        <f t="shared" si="3"/>
        <v>18.899999999999999</v>
      </c>
      <c r="O27" s="151">
        <f t="shared" si="3"/>
        <v>8.99</v>
      </c>
      <c r="P27" s="151">
        <f t="shared" si="3"/>
        <v>7.6</v>
      </c>
      <c r="Q27" s="151">
        <f t="shared" si="3"/>
        <v>5.19</v>
      </c>
      <c r="R27" s="151">
        <f t="shared" si="2"/>
        <v>5.99</v>
      </c>
      <c r="S27" s="151">
        <f t="shared" si="2"/>
        <v>35</v>
      </c>
      <c r="T27" s="151">
        <f t="shared" si="2"/>
        <v>35</v>
      </c>
      <c r="U27" s="151">
        <f t="shared" si="2"/>
        <v>26</v>
      </c>
      <c r="V27" s="151">
        <f t="shared" si="2"/>
        <v>47</v>
      </c>
    </row>
    <row r="28" spans="1:22" s="150" customFormat="1" x14ac:dyDescent="0.3">
      <c r="A28" s="149" t="s">
        <v>130</v>
      </c>
      <c r="B28" s="151">
        <f t="shared" si="3"/>
        <v>9.49</v>
      </c>
      <c r="C28" s="151">
        <f t="shared" si="3"/>
        <v>5.99</v>
      </c>
      <c r="D28" s="151">
        <f t="shared" si="3"/>
        <v>19.989999999999998</v>
      </c>
      <c r="E28" s="151">
        <f t="shared" si="3"/>
        <v>12.49</v>
      </c>
      <c r="F28" s="151">
        <f t="shared" si="3"/>
        <v>18.989999999999998</v>
      </c>
      <c r="G28" s="151">
        <f t="shared" si="3"/>
        <v>13.89</v>
      </c>
      <c r="H28" s="151">
        <f t="shared" si="3"/>
        <v>13.49</v>
      </c>
      <c r="I28" s="151">
        <f t="shared" si="3"/>
        <v>13.49</v>
      </c>
      <c r="J28" s="151">
        <f t="shared" si="3"/>
        <v>9.99</v>
      </c>
      <c r="K28" s="151">
        <f t="shared" si="3"/>
        <v>9.99</v>
      </c>
      <c r="L28" s="151">
        <f t="shared" si="3"/>
        <v>23.99</v>
      </c>
      <c r="M28" s="151">
        <f t="shared" si="3"/>
        <v>9.49</v>
      </c>
      <c r="N28" s="151">
        <f t="shared" si="3"/>
        <v>18.899999999999999</v>
      </c>
      <c r="O28" s="151">
        <f t="shared" si="3"/>
        <v>8.99</v>
      </c>
      <c r="P28" s="151">
        <f t="shared" si="3"/>
        <v>7.6</v>
      </c>
      <c r="Q28" s="151">
        <f t="shared" si="3"/>
        <v>5.19</v>
      </c>
      <c r="R28" s="151">
        <f t="shared" si="2"/>
        <v>5.99</v>
      </c>
      <c r="S28" s="151">
        <f t="shared" si="2"/>
        <v>35</v>
      </c>
      <c r="T28" s="151">
        <f t="shared" si="2"/>
        <v>35</v>
      </c>
      <c r="U28" s="151">
        <f t="shared" si="2"/>
        <v>26</v>
      </c>
      <c r="V28" s="151">
        <f t="shared" si="2"/>
        <v>47</v>
      </c>
    </row>
    <row r="29" spans="1:22" s="150" customFormat="1" x14ac:dyDescent="0.3">
      <c r="A29" s="149" t="s">
        <v>131</v>
      </c>
      <c r="B29" s="151">
        <f t="shared" si="3"/>
        <v>9.49</v>
      </c>
      <c r="C29" s="151">
        <f t="shared" si="3"/>
        <v>5.99</v>
      </c>
      <c r="D29" s="151">
        <f t="shared" si="3"/>
        <v>19.989999999999998</v>
      </c>
      <c r="E29" s="151">
        <f t="shared" si="3"/>
        <v>12.49</v>
      </c>
      <c r="F29" s="151">
        <f t="shared" si="3"/>
        <v>18.989999999999998</v>
      </c>
      <c r="G29" s="151">
        <f t="shared" si="3"/>
        <v>13.89</v>
      </c>
      <c r="H29" s="151">
        <f t="shared" si="3"/>
        <v>13.49</v>
      </c>
      <c r="I29" s="151">
        <f t="shared" si="3"/>
        <v>13.49</v>
      </c>
      <c r="J29" s="151">
        <f t="shared" si="3"/>
        <v>9.99</v>
      </c>
      <c r="K29" s="151">
        <f t="shared" si="3"/>
        <v>9.99</v>
      </c>
      <c r="L29" s="151">
        <f t="shared" si="3"/>
        <v>23.99</v>
      </c>
      <c r="M29" s="151">
        <f t="shared" si="3"/>
        <v>9.49</v>
      </c>
      <c r="N29" s="151">
        <f t="shared" si="3"/>
        <v>18.899999999999999</v>
      </c>
      <c r="O29" s="151">
        <f t="shared" si="3"/>
        <v>8.99</v>
      </c>
      <c r="P29" s="151">
        <f t="shared" si="3"/>
        <v>7.6</v>
      </c>
      <c r="Q29" s="151">
        <f t="shared" si="3"/>
        <v>5.19</v>
      </c>
      <c r="R29" s="151">
        <f t="shared" si="2"/>
        <v>5.99</v>
      </c>
      <c r="S29" s="151">
        <f t="shared" si="2"/>
        <v>35</v>
      </c>
      <c r="T29" s="151">
        <f t="shared" si="2"/>
        <v>35</v>
      </c>
      <c r="U29" s="151">
        <f t="shared" si="2"/>
        <v>26</v>
      </c>
      <c r="V29" s="151">
        <f t="shared" si="2"/>
        <v>47</v>
      </c>
    </row>
    <row r="30" spans="1:22" s="150" customFormat="1" x14ac:dyDescent="0.3">
      <c r="A30" s="149" t="s">
        <v>132</v>
      </c>
      <c r="B30" s="151">
        <f t="shared" si="3"/>
        <v>9.49</v>
      </c>
      <c r="C30" s="151">
        <f t="shared" si="3"/>
        <v>5.99</v>
      </c>
      <c r="D30" s="151">
        <f t="shared" si="3"/>
        <v>19.989999999999998</v>
      </c>
      <c r="E30" s="151">
        <f t="shared" si="3"/>
        <v>12.49</v>
      </c>
      <c r="F30" s="151">
        <f t="shared" si="3"/>
        <v>18.989999999999998</v>
      </c>
      <c r="G30" s="151">
        <f t="shared" si="3"/>
        <v>13.89</v>
      </c>
      <c r="H30" s="151">
        <f t="shared" si="3"/>
        <v>13.49</v>
      </c>
      <c r="I30" s="151">
        <f t="shared" si="3"/>
        <v>13.49</v>
      </c>
      <c r="J30" s="151">
        <f t="shared" si="3"/>
        <v>9.99</v>
      </c>
      <c r="K30" s="151">
        <f t="shared" si="3"/>
        <v>9.99</v>
      </c>
      <c r="L30" s="151">
        <f t="shared" si="3"/>
        <v>23.99</v>
      </c>
      <c r="M30" s="151">
        <f t="shared" si="3"/>
        <v>9.49</v>
      </c>
      <c r="N30" s="151">
        <f t="shared" si="3"/>
        <v>18.899999999999999</v>
      </c>
      <c r="O30" s="151">
        <f t="shared" si="3"/>
        <v>8.99</v>
      </c>
      <c r="P30" s="151">
        <f t="shared" si="3"/>
        <v>7.6</v>
      </c>
      <c r="Q30" s="151">
        <f t="shared" si="3"/>
        <v>5.19</v>
      </c>
      <c r="R30" s="151">
        <f t="shared" si="2"/>
        <v>5.99</v>
      </c>
      <c r="S30" s="151">
        <f t="shared" si="2"/>
        <v>35</v>
      </c>
      <c r="T30" s="151">
        <f t="shared" si="2"/>
        <v>35</v>
      </c>
      <c r="U30" s="151">
        <f t="shared" si="2"/>
        <v>26</v>
      </c>
      <c r="V30" s="151">
        <f t="shared" si="2"/>
        <v>47</v>
      </c>
    </row>
    <row r="31" spans="1:22" s="150" customFormat="1" x14ac:dyDescent="0.3">
      <c r="A31" s="89" t="s">
        <v>133</v>
      </c>
      <c r="B31" s="117"/>
      <c r="C31" s="90"/>
      <c r="D31" s="117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/>
      <c r="Q31"/>
      <c r="R31"/>
      <c r="S31"/>
      <c r="T31"/>
      <c r="U31"/>
      <c r="V31"/>
    </row>
    <row r="32" spans="1:22" s="150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</row>
    <row r="33" spans="1:15" x14ac:dyDescent="0.3">
      <c r="A33" s="91" t="s">
        <v>21</v>
      </c>
      <c r="B33" s="92">
        <v>9.49</v>
      </c>
      <c r="C33" s="93">
        <v>5.79</v>
      </c>
      <c r="D33" s="93">
        <v>19.989999999999998</v>
      </c>
      <c r="E33" s="93">
        <v>13.69</v>
      </c>
      <c r="F33" s="93">
        <v>17.989999999999998</v>
      </c>
      <c r="G33" s="93">
        <v>13.89</v>
      </c>
      <c r="H33" s="93">
        <v>13.49</v>
      </c>
      <c r="I33" s="93">
        <v>12.49</v>
      </c>
      <c r="J33" s="93">
        <v>9.99</v>
      </c>
      <c r="K33" s="93">
        <v>9.99</v>
      </c>
      <c r="L33" s="93">
        <v>24.99</v>
      </c>
      <c r="M33" s="93">
        <v>9.49</v>
      </c>
      <c r="N33" s="93">
        <v>18.989999999999998</v>
      </c>
      <c r="O33" s="93">
        <v>0</v>
      </c>
    </row>
    <row r="34" spans="1:15" x14ac:dyDescent="0.3">
      <c r="I34" t="s">
        <v>148</v>
      </c>
      <c r="J34">
        <v>8.99</v>
      </c>
      <c r="K34">
        <v>7.99</v>
      </c>
      <c r="L34">
        <v>19.989999999999998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52CCAF917F4542B44D953DC577C987" ma:contentTypeVersion="16" ma:contentTypeDescription="Create a new document." ma:contentTypeScope="" ma:versionID="8d352699851fc6cd1014593b928276c9">
  <xsd:schema xmlns:xsd="http://www.w3.org/2001/XMLSchema" xmlns:xs="http://www.w3.org/2001/XMLSchema" xmlns:p="http://schemas.microsoft.com/office/2006/metadata/properties" xmlns:ns2="fc41d484-5e40-4930-b699-f3245646da77" xmlns:ns3="16f20d34-7624-4e7e-9585-e4f9765217a7" targetNamespace="http://schemas.microsoft.com/office/2006/metadata/properties" ma:root="true" ma:fieldsID="746537d8441397615e22bd0bf97c4dc1" ns2:_="" ns3:_="">
    <xsd:import namespace="fc41d484-5e40-4930-b699-f3245646da77"/>
    <xsd:import namespace="16f20d34-7624-4e7e-9585-e4f9765217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41d484-5e40-4930-b699-f3245646d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e843d6d-9fe7-4b05-9fb0-c6710ad86c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20d34-7624-4e7e-9585-e4f9765217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7ef2b90-0005-4d33-8d63-f871e2656fde}" ma:internalName="TaxCatchAll" ma:showField="CatchAllData" ma:web="16f20d34-7624-4e7e-9585-e4f9765217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41d484-5e40-4930-b699-f3245646da77">
      <Terms xmlns="http://schemas.microsoft.com/office/infopath/2007/PartnerControls"/>
    </lcf76f155ced4ddcb4097134ff3c332f>
    <TaxCatchAll xmlns="16f20d34-7624-4e7e-9585-e4f9765217a7" xsi:nil="true"/>
  </documentManagement>
</p:properties>
</file>

<file path=customXml/itemProps1.xml><?xml version="1.0" encoding="utf-8"?>
<ds:datastoreItem xmlns:ds="http://schemas.openxmlformats.org/officeDocument/2006/customXml" ds:itemID="{D21EF7E8-DE11-44FF-8395-617541DDD5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0F3BC4-380D-45AC-A916-39AFC1CD18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41d484-5e40-4930-b699-f3245646da77"/>
    <ds:schemaRef ds:uri="16f20d34-7624-4e7e-9585-e4f9765217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3AFA67-AE5E-4383-8D1B-37A62B4F192F}">
  <ds:schemaRefs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schemas.microsoft.com/office/2006/metadata/properties"/>
    <ds:schemaRef ds:uri="fc41d484-5e40-4930-b699-f3245646da77"/>
    <ds:schemaRef ds:uri="http://schemas.microsoft.com/office/infopath/2007/PartnerControls"/>
    <ds:schemaRef ds:uri="http://schemas.openxmlformats.org/package/2006/metadata/core-properties"/>
    <ds:schemaRef ds:uri="16f20d34-7624-4e7e-9585-e4f9765217a7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Tabelas</vt:lpstr>
      <vt:lpstr>Planilha1</vt:lpstr>
      <vt:lpstr>ST BISCOITINHOS</vt:lpstr>
      <vt:lpstr>ST PAPAPASTA</vt:lpstr>
      <vt:lpstr>ST PALITINHOS</vt:lpstr>
      <vt:lpstr>ST EXTRUSADOS</vt:lpstr>
      <vt:lpstr>ST BISCOTTI</vt:lpstr>
      <vt:lpstr>ST CEREAL</vt:lpstr>
      <vt:lpstr>ST CEREAL SABOR POUCH 170</vt:lpstr>
      <vt:lpstr>ST MULTI 170 POUCH</vt:lpstr>
      <vt:lpstr>ST MULTI 500 POUCH</vt:lpstr>
      <vt:lpstr>ST RECHEADOS</vt:lpstr>
      <vt:lpstr>PREÇOS</vt:lpstr>
      <vt:lpstr>PSC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Ericka Garrett</dc:creator>
  <cp:keywords/>
  <dc:description/>
  <cp:lastModifiedBy>João Vitor Tadra</cp:lastModifiedBy>
  <cp:revision/>
  <dcterms:created xsi:type="dcterms:W3CDTF">2022-06-23T15:46:56Z</dcterms:created>
  <dcterms:modified xsi:type="dcterms:W3CDTF">2026-06-03T11:39:37Z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0x0101005952CCAF917F4542B44D953DC577C987</vt:lpwstr>
  </property>
  <property fmtid="{D5CDD505-2E9C-101B-9397-08002B2CF9AE}" pid="3" name="MediaServiceImageTags">
    <vt:lpwstr/>
  </property>
</Properties>
</file>