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threadedComments/threadedComment1.xml" ContentType="application/vnd.ms-excel.threaded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Diogo\Documents\"/>
    </mc:Choice>
  </mc:AlternateContent>
  <xr:revisionPtr revIDLastSave="0" documentId="8_{9CEDFBAD-5366-47BD-84A5-1EBD45C2532A}" xr6:coauthVersionLast="47" xr6:coauthVersionMax="47" xr10:uidLastSave="{00000000-0000-0000-0000-000000000000}"/>
  <workbookProtection workbookAlgorithmName="SHA-512" workbookHashValue="KjFIG8xC9iiYKlduSs4OhbThChlwb2HtsclA1oJ6LexC5/3SMtVE9ff/jKHcJalcyBMHBRPzuiZ1lZwX0B6Iug==" workbookSaltValue="X5JMJ6c5cofxGPd/vxHeeQ==" workbookSpinCount="100000" lockStructure="1"/>
  <bookViews>
    <workbookView xWindow="-120" yWindow="-120" windowWidth="29040" windowHeight="15720" xr2:uid="{00000000-000D-0000-FFFF-FFFF00000000}"/>
  </bookViews>
  <sheets>
    <sheet name="TABELA" sheetId="1" r:id="rId1"/>
    <sheet name="DADOS" sheetId="14" r:id="rId2"/>
    <sheet name="Planilha1" sheetId="5" state="hidden" r:id="rId3"/>
    <sheet name="ST BISCOITINHOS" sheetId="2" state="hidden" r:id="rId4"/>
    <sheet name="ST PAPAPASTA" sheetId="3" state="hidden" r:id="rId5"/>
    <sheet name="ST PALITINHOS" sheetId="6" state="hidden" r:id="rId6"/>
    <sheet name="ST BISCOTTI" sheetId="8" state="hidden" r:id="rId7"/>
    <sheet name="ST CEREAL" sheetId="7" state="hidden" r:id="rId8"/>
    <sheet name="ST CEREAL SABOR POUCH 170" sheetId="9" state="hidden" r:id="rId9"/>
    <sheet name="ST MULTI 170 POUCH" sheetId="10" state="hidden" r:id="rId10"/>
    <sheet name="ST MULTI 500 POUCH" sheetId="11" state="hidden" r:id="rId11"/>
    <sheet name="PREÇOS" sheetId="4" state="hidden" r:id="rId12"/>
    <sheet name="PSC" sheetId="12" state="hidden" r:id="rId13"/>
  </sheets>
  <externalReferences>
    <externalReference r:id="rId14"/>
    <externalReference r:id="rId15"/>
  </externalReferences>
  <definedNames>
    <definedName name="_xlnm._FilterDatabase" localSheetId="11" hidden="1">PREÇOS!$A$2:$F$2</definedName>
    <definedName name="_xlnm._FilterDatabase" localSheetId="4" hidden="1">'ST PAPAPASTA'!$A$1:$J$1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2" i="1" l="1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" i="4"/>
  <c r="M55" i="1"/>
  <c r="M54" i="1"/>
  <c r="M53" i="1"/>
  <c r="F55" i="1"/>
  <c r="I55" i="1" s="1"/>
  <c r="K55" i="1" s="1"/>
  <c r="F54" i="1"/>
  <c r="H54" i="1" s="1"/>
  <c r="F53" i="1"/>
  <c r="I53" i="1" s="1"/>
  <c r="K53" i="1" s="1"/>
  <c r="F52" i="1"/>
  <c r="J52" i="1" s="1"/>
  <c r="L52" i="1" s="1"/>
  <c r="I2" i="14"/>
  <c r="J49" i="14" s="1"/>
  <c r="M49" i="1"/>
  <c r="J50" i="14" l="1"/>
  <c r="J51" i="14"/>
  <c r="J52" i="14"/>
  <c r="J55" i="1"/>
  <c r="L55" i="1" s="1"/>
  <c r="H55" i="1"/>
  <c r="J53" i="1"/>
  <c r="L53" i="1" s="1"/>
  <c r="I54" i="1"/>
  <c r="K54" i="1" s="1"/>
  <c r="J54" i="1"/>
  <c r="L54" i="1" s="1"/>
  <c r="H53" i="1"/>
  <c r="H52" i="1"/>
  <c r="I52" i="1"/>
  <c r="K52" i="1" s="1"/>
  <c r="M30" i="4" l="1"/>
  <c r="L30" i="4"/>
  <c r="K30" i="4"/>
  <c r="J30" i="4"/>
  <c r="I30" i="4"/>
  <c r="H30" i="4"/>
  <c r="G30" i="4"/>
  <c r="F30" i="4"/>
  <c r="E30" i="4"/>
  <c r="D30" i="4"/>
  <c r="C30" i="4"/>
  <c r="B30" i="4"/>
  <c r="M29" i="4"/>
  <c r="L29" i="4"/>
  <c r="K29" i="4"/>
  <c r="J29" i="4"/>
  <c r="I29" i="4"/>
  <c r="H29" i="4"/>
  <c r="G29" i="4"/>
  <c r="F29" i="4"/>
  <c r="E29" i="4"/>
  <c r="D29" i="4"/>
  <c r="C29" i="4"/>
  <c r="B29" i="4"/>
  <c r="M28" i="4"/>
  <c r="L28" i="4"/>
  <c r="K28" i="4"/>
  <c r="J28" i="4"/>
  <c r="I28" i="4"/>
  <c r="H28" i="4"/>
  <c r="G28" i="4"/>
  <c r="F28" i="4"/>
  <c r="E28" i="4"/>
  <c r="D28" i="4"/>
  <c r="C28" i="4"/>
  <c r="B28" i="4"/>
  <c r="M27" i="4"/>
  <c r="L27" i="4"/>
  <c r="K27" i="4"/>
  <c r="J27" i="4"/>
  <c r="I27" i="4"/>
  <c r="H27" i="4"/>
  <c r="G27" i="4"/>
  <c r="F27" i="4"/>
  <c r="E27" i="4"/>
  <c r="D27" i="4"/>
  <c r="C27" i="4"/>
  <c r="B27" i="4"/>
  <c r="M26" i="4"/>
  <c r="L26" i="4"/>
  <c r="K26" i="4"/>
  <c r="J26" i="4"/>
  <c r="I26" i="4"/>
  <c r="H26" i="4"/>
  <c r="G26" i="4"/>
  <c r="F26" i="4"/>
  <c r="E26" i="4"/>
  <c r="D26" i="4"/>
  <c r="C26" i="4"/>
  <c r="B26" i="4"/>
  <c r="M25" i="4"/>
  <c r="L25" i="4"/>
  <c r="K25" i="4"/>
  <c r="J25" i="4"/>
  <c r="I25" i="4"/>
  <c r="H25" i="4"/>
  <c r="G25" i="4"/>
  <c r="F25" i="4"/>
  <c r="E25" i="4"/>
  <c r="D25" i="4"/>
  <c r="C25" i="4"/>
  <c r="B25" i="4"/>
  <c r="M24" i="4"/>
  <c r="L24" i="4"/>
  <c r="K24" i="4"/>
  <c r="J24" i="4"/>
  <c r="I24" i="4"/>
  <c r="H24" i="4"/>
  <c r="G24" i="4"/>
  <c r="F24" i="4"/>
  <c r="E24" i="4"/>
  <c r="D24" i="4"/>
  <c r="C24" i="4"/>
  <c r="B24" i="4"/>
  <c r="M23" i="4"/>
  <c r="L23" i="4"/>
  <c r="K23" i="4"/>
  <c r="J23" i="4"/>
  <c r="I23" i="4"/>
  <c r="H23" i="4"/>
  <c r="G23" i="4"/>
  <c r="F23" i="4"/>
  <c r="E23" i="4"/>
  <c r="D23" i="4"/>
  <c r="C23" i="4"/>
  <c r="B23" i="4"/>
  <c r="M22" i="4"/>
  <c r="L22" i="4"/>
  <c r="K22" i="4"/>
  <c r="J22" i="4"/>
  <c r="I22" i="4"/>
  <c r="H22" i="4"/>
  <c r="G22" i="4"/>
  <c r="F22" i="4"/>
  <c r="E22" i="4"/>
  <c r="D22" i="4"/>
  <c r="C22" i="4"/>
  <c r="B22" i="4"/>
  <c r="M21" i="4"/>
  <c r="L21" i="4"/>
  <c r="K21" i="4"/>
  <c r="J21" i="4"/>
  <c r="I21" i="4"/>
  <c r="H21" i="4"/>
  <c r="G21" i="4"/>
  <c r="F21" i="4"/>
  <c r="E21" i="4"/>
  <c r="D21" i="4"/>
  <c r="C21" i="4"/>
  <c r="B21" i="4"/>
  <c r="M20" i="4"/>
  <c r="L20" i="4"/>
  <c r="K20" i="4"/>
  <c r="J20" i="4"/>
  <c r="I20" i="4"/>
  <c r="H20" i="4"/>
  <c r="G20" i="4"/>
  <c r="F20" i="4"/>
  <c r="E20" i="4"/>
  <c r="D20" i="4"/>
  <c r="C20" i="4"/>
  <c r="B20" i="4"/>
  <c r="M19" i="4"/>
  <c r="L19" i="4"/>
  <c r="K19" i="4"/>
  <c r="J19" i="4"/>
  <c r="I19" i="4"/>
  <c r="H19" i="4"/>
  <c r="G19" i="4"/>
  <c r="F19" i="4"/>
  <c r="E19" i="4"/>
  <c r="D19" i="4"/>
  <c r="C19" i="4"/>
  <c r="B19" i="4"/>
  <c r="M18" i="4"/>
  <c r="L18" i="4"/>
  <c r="K18" i="4"/>
  <c r="J18" i="4"/>
  <c r="I18" i="4"/>
  <c r="H18" i="4"/>
  <c r="G18" i="4"/>
  <c r="F18" i="4"/>
  <c r="E18" i="4"/>
  <c r="D18" i="4"/>
  <c r="C18" i="4"/>
  <c r="B18" i="4"/>
  <c r="M17" i="4"/>
  <c r="L17" i="4"/>
  <c r="K17" i="4"/>
  <c r="J17" i="4"/>
  <c r="I17" i="4"/>
  <c r="H17" i="4"/>
  <c r="G17" i="4"/>
  <c r="F17" i="4"/>
  <c r="E17" i="4"/>
  <c r="D17" i="4"/>
  <c r="C17" i="4"/>
  <c r="B17" i="4"/>
  <c r="M16" i="4"/>
  <c r="L16" i="4"/>
  <c r="K16" i="4"/>
  <c r="J16" i="4"/>
  <c r="I16" i="4"/>
  <c r="H16" i="4"/>
  <c r="G16" i="4"/>
  <c r="F16" i="4"/>
  <c r="E16" i="4"/>
  <c r="D16" i="4"/>
  <c r="C16" i="4"/>
  <c r="B16" i="4"/>
  <c r="M15" i="4"/>
  <c r="L15" i="4"/>
  <c r="K15" i="4"/>
  <c r="J15" i="4"/>
  <c r="I15" i="4"/>
  <c r="H15" i="4"/>
  <c r="G15" i="4"/>
  <c r="F15" i="4"/>
  <c r="E15" i="4"/>
  <c r="D15" i="4"/>
  <c r="C15" i="4"/>
  <c r="B15" i="4"/>
  <c r="M14" i="4"/>
  <c r="L14" i="4"/>
  <c r="K14" i="4"/>
  <c r="J14" i="4"/>
  <c r="I14" i="4"/>
  <c r="H14" i="4"/>
  <c r="G14" i="4"/>
  <c r="F14" i="4"/>
  <c r="E14" i="4"/>
  <c r="D14" i="4"/>
  <c r="C14" i="4"/>
  <c r="B14" i="4"/>
  <c r="M13" i="4"/>
  <c r="L13" i="4"/>
  <c r="K13" i="4"/>
  <c r="J13" i="4"/>
  <c r="I13" i="4"/>
  <c r="H13" i="4"/>
  <c r="G13" i="4"/>
  <c r="F13" i="4"/>
  <c r="E13" i="4"/>
  <c r="D13" i="4"/>
  <c r="C13" i="4"/>
  <c r="B13" i="4"/>
  <c r="M12" i="4"/>
  <c r="L12" i="4"/>
  <c r="K12" i="4"/>
  <c r="J12" i="4"/>
  <c r="I12" i="4"/>
  <c r="H12" i="4"/>
  <c r="G12" i="4"/>
  <c r="F12" i="4"/>
  <c r="E12" i="4"/>
  <c r="D12" i="4"/>
  <c r="C12" i="4"/>
  <c r="B12" i="4"/>
  <c r="M11" i="4"/>
  <c r="L11" i="4"/>
  <c r="K11" i="4"/>
  <c r="J11" i="4"/>
  <c r="I11" i="4"/>
  <c r="H11" i="4"/>
  <c r="G11" i="4"/>
  <c r="F11" i="4"/>
  <c r="E11" i="4"/>
  <c r="D11" i="4"/>
  <c r="C11" i="4"/>
  <c r="B11" i="4"/>
  <c r="M10" i="4"/>
  <c r="L10" i="4"/>
  <c r="K10" i="4"/>
  <c r="J10" i="4"/>
  <c r="I10" i="4"/>
  <c r="H10" i="4"/>
  <c r="G10" i="4"/>
  <c r="F10" i="4"/>
  <c r="E10" i="4"/>
  <c r="D10" i="4"/>
  <c r="C10" i="4"/>
  <c r="B10" i="4"/>
  <c r="M9" i="4"/>
  <c r="L9" i="4"/>
  <c r="K9" i="4"/>
  <c r="J9" i="4"/>
  <c r="I9" i="4"/>
  <c r="H9" i="4"/>
  <c r="G9" i="4"/>
  <c r="F9" i="4"/>
  <c r="E9" i="4"/>
  <c r="D9" i="4"/>
  <c r="C9" i="4"/>
  <c r="B9" i="4"/>
  <c r="M8" i="4"/>
  <c r="L8" i="4"/>
  <c r="K8" i="4"/>
  <c r="J8" i="4"/>
  <c r="I8" i="4"/>
  <c r="H8" i="4"/>
  <c r="G8" i="4"/>
  <c r="F8" i="4"/>
  <c r="E8" i="4"/>
  <c r="D8" i="4"/>
  <c r="C8" i="4"/>
  <c r="B8" i="4"/>
  <c r="M7" i="4"/>
  <c r="L7" i="4"/>
  <c r="K7" i="4"/>
  <c r="J7" i="4"/>
  <c r="I7" i="4"/>
  <c r="H7" i="4"/>
  <c r="G7" i="4"/>
  <c r="F7" i="4"/>
  <c r="E7" i="4"/>
  <c r="D7" i="4"/>
  <c r="C7" i="4"/>
  <c r="B7" i="4"/>
  <c r="M6" i="4"/>
  <c r="L6" i="4"/>
  <c r="K6" i="4"/>
  <c r="J6" i="4"/>
  <c r="I6" i="4"/>
  <c r="H6" i="4"/>
  <c r="G6" i="4"/>
  <c r="F6" i="4"/>
  <c r="E6" i="4"/>
  <c r="D6" i="4"/>
  <c r="C6" i="4"/>
  <c r="B6" i="4"/>
  <c r="M5" i="4"/>
  <c r="L5" i="4"/>
  <c r="K5" i="4"/>
  <c r="J5" i="4"/>
  <c r="I5" i="4"/>
  <c r="H5" i="4"/>
  <c r="G5" i="4"/>
  <c r="F5" i="4"/>
  <c r="E5" i="4"/>
  <c r="D5" i="4"/>
  <c r="C5" i="4"/>
  <c r="B5" i="4"/>
  <c r="M4" i="4"/>
  <c r="L4" i="4"/>
  <c r="K4" i="4"/>
  <c r="J4" i="4"/>
  <c r="I4" i="4"/>
  <c r="H4" i="4"/>
  <c r="G4" i="4"/>
  <c r="F4" i="4"/>
  <c r="E4" i="4"/>
  <c r="D4" i="4"/>
  <c r="C4" i="4"/>
  <c r="B4" i="4"/>
  <c r="M3" i="4"/>
  <c r="L3" i="4"/>
  <c r="K3" i="4"/>
  <c r="J3" i="4"/>
  <c r="I3" i="4"/>
  <c r="H3" i="4"/>
  <c r="G3" i="4"/>
  <c r="F3" i="4"/>
  <c r="E3" i="4"/>
  <c r="D3" i="4"/>
  <c r="C3" i="4"/>
  <c r="B3" i="4"/>
  <c r="J47" i="14" l="1"/>
  <c r="J46" i="14"/>
  <c r="J45" i="14"/>
  <c r="J44" i="14"/>
  <c r="J43" i="14"/>
  <c r="J33" i="14"/>
  <c r="J32" i="14"/>
  <c r="J31" i="14"/>
  <c r="J29" i="14"/>
  <c r="J28" i="14"/>
  <c r="J26" i="14"/>
  <c r="J25" i="14"/>
  <c r="J23" i="14"/>
  <c r="J22" i="14"/>
  <c r="J21" i="14"/>
  <c r="J19" i="14"/>
  <c r="J18" i="14"/>
  <c r="J17" i="14"/>
  <c r="J16" i="14"/>
  <c r="J15" i="14"/>
  <c r="J14" i="14"/>
  <c r="J12" i="14"/>
  <c r="J11" i="14"/>
  <c r="J9" i="14"/>
  <c r="J8" i="14"/>
  <c r="B6" i="14"/>
  <c r="F49" i="1"/>
  <c r="F50" i="1"/>
  <c r="M50" i="1"/>
  <c r="F15" i="1"/>
  <c r="F14" i="1"/>
  <c r="M15" i="1"/>
  <c r="M14" i="1"/>
  <c r="M48" i="1"/>
  <c r="M47" i="1"/>
  <c r="M46" i="1"/>
  <c r="M36" i="1"/>
  <c r="M35" i="1"/>
  <c r="M34" i="1"/>
  <c r="M32" i="1"/>
  <c r="M31" i="1"/>
  <c r="M29" i="1"/>
  <c r="M28" i="1"/>
  <c r="M26" i="1"/>
  <c r="M25" i="1"/>
  <c r="M24" i="1"/>
  <c r="M22" i="1"/>
  <c r="M21" i="1"/>
  <c r="M20" i="1"/>
  <c r="M19" i="1"/>
  <c r="M18" i="1"/>
  <c r="M17" i="1"/>
  <c r="M44" i="1"/>
  <c r="M43" i="1"/>
  <c r="M41" i="1"/>
  <c r="M42" i="1"/>
  <c r="M39" i="1"/>
  <c r="M40" i="1"/>
  <c r="M38" i="1"/>
  <c r="M12" i="1"/>
  <c r="M11" i="1"/>
  <c r="I14" i="1" l="1"/>
  <c r="K14" i="1" s="1"/>
  <c r="H14" i="1"/>
  <c r="I15" i="1"/>
  <c r="K15" i="1" s="1"/>
  <c r="H15" i="1"/>
  <c r="I50" i="1"/>
  <c r="K50" i="1" s="1"/>
  <c r="I49" i="1"/>
  <c r="K49" i="1" s="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J19" i="11" s="1"/>
  <c r="H20" i="11"/>
  <c r="H21" i="11"/>
  <c r="H22" i="11"/>
  <c r="H23" i="11"/>
  <c r="H24" i="11"/>
  <c r="H25" i="11"/>
  <c r="H26" i="11"/>
  <c r="H27" i="11"/>
  <c r="H28" i="11"/>
  <c r="H29" i="11"/>
  <c r="H30" i="11"/>
  <c r="H2" i="11"/>
  <c r="J30" i="11"/>
  <c r="I30" i="11"/>
  <c r="J29" i="11"/>
  <c r="I29" i="11"/>
  <c r="B29" i="11"/>
  <c r="G28" i="11"/>
  <c r="F28" i="11"/>
  <c r="E28" i="11"/>
  <c r="D28" i="11"/>
  <c r="C28" i="11"/>
  <c r="B27" i="11"/>
  <c r="J26" i="11"/>
  <c r="I26" i="11"/>
  <c r="B26" i="11"/>
  <c r="J25" i="11"/>
  <c r="I25" i="11"/>
  <c r="B25" i="11"/>
  <c r="J24" i="11"/>
  <c r="I24" i="11"/>
  <c r="B24" i="11"/>
  <c r="J23" i="11"/>
  <c r="I23" i="11"/>
  <c r="B23" i="11"/>
  <c r="J22" i="11"/>
  <c r="I22" i="11"/>
  <c r="B22" i="11"/>
  <c r="J21" i="11"/>
  <c r="I21" i="11"/>
  <c r="B21" i="11"/>
  <c r="B20" i="11"/>
  <c r="J18" i="11"/>
  <c r="I18" i="11"/>
  <c r="B18" i="11"/>
  <c r="J17" i="11"/>
  <c r="I17" i="11"/>
  <c r="B17" i="11"/>
  <c r="J16" i="11"/>
  <c r="I16" i="11"/>
  <c r="B16" i="11"/>
  <c r="J15" i="11"/>
  <c r="I15" i="11"/>
  <c r="B15" i="11"/>
  <c r="B14" i="11"/>
  <c r="J13" i="11"/>
  <c r="I13" i="11"/>
  <c r="B13" i="11"/>
  <c r="B12" i="11"/>
  <c r="J11" i="11"/>
  <c r="I11" i="11"/>
  <c r="B11" i="11"/>
  <c r="J10" i="11"/>
  <c r="I10" i="11"/>
  <c r="B10" i="11"/>
  <c r="J9" i="11"/>
  <c r="I9" i="11"/>
  <c r="B9" i="11"/>
  <c r="J8" i="11"/>
  <c r="I8" i="11"/>
  <c r="B8" i="11"/>
  <c r="J7" i="11"/>
  <c r="I7" i="11"/>
  <c r="B7" i="11"/>
  <c r="J6" i="11"/>
  <c r="I6" i="11"/>
  <c r="B6" i="11"/>
  <c r="J41" i="14" s="1"/>
  <c r="J5" i="11"/>
  <c r="I5" i="11"/>
  <c r="B5" i="11"/>
  <c r="B4" i="11"/>
  <c r="J4" i="11" s="1"/>
  <c r="B3" i="11"/>
  <c r="J2" i="11"/>
  <c r="I2" i="11"/>
  <c r="B2" i="11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J19" i="10" s="1"/>
  <c r="H20" i="10"/>
  <c r="H21" i="10"/>
  <c r="H22" i="10"/>
  <c r="H23" i="10"/>
  <c r="H24" i="10"/>
  <c r="H25" i="10"/>
  <c r="H26" i="10"/>
  <c r="H27" i="10"/>
  <c r="H28" i="10"/>
  <c r="H29" i="10"/>
  <c r="H30" i="10"/>
  <c r="H2" i="10"/>
  <c r="J30" i="10"/>
  <c r="I30" i="10"/>
  <c r="J29" i="10"/>
  <c r="I29" i="10"/>
  <c r="B29" i="10"/>
  <c r="G28" i="10"/>
  <c r="F28" i="10"/>
  <c r="E28" i="10"/>
  <c r="D28" i="10"/>
  <c r="C28" i="10"/>
  <c r="B27" i="10"/>
  <c r="B28" i="10" s="1"/>
  <c r="J26" i="10"/>
  <c r="I26" i="10"/>
  <c r="B26" i="10"/>
  <c r="J25" i="10"/>
  <c r="I25" i="10"/>
  <c r="B25" i="10"/>
  <c r="J24" i="10"/>
  <c r="I24" i="10"/>
  <c r="B24" i="10"/>
  <c r="J23" i="10"/>
  <c r="I23" i="10"/>
  <c r="B23" i="10"/>
  <c r="J22" i="10"/>
  <c r="I22" i="10"/>
  <c r="B22" i="10"/>
  <c r="J21" i="10"/>
  <c r="I21" i="10"/>
  <c r="B21" i="10"/>
  <c r="B20" i="10"/>
  <c r="J18" i="10"/>
  <c r="I18" i="10"/>
  <c r="B18" i="10"/>
  <c r="J17" i="10"/>
  <c r="I17" i="10"/>
  <c r="B17" i="10"/>
  <c r="J16" i="10"/>
  <c r="I16" i="10"/>
  <c r="B16" i="10"/>
  <c r="J15" i="10"/>
  <c r="I15" i="10"/>
  <c r="B15" i="10"/>
  <c r="B14" i="10"/>
  <c r="J13" i="10"/>
  <c r="I13" i="10"/>
  <c r="B13" i="10"/>
  <c r="B12" i="10"/>
  <c r="J11" i="10"/>
  <c r="I11" i="10"/>
  <c r="B11" i="10"/>
  <c r="J10" i="10"/>
  <c r="I10" i="10"/>
  <c r="B10" i="10"/>
  <c r="J9" i="10"/>
  <c r="I9" i="10"/>
  <c r="B9" i="10"/>
  <c r="J8" i="10"/>
  <c r="I8" i="10"/>
  <c r="B8" i="10"/>
  <c r="J7" i="10"/>
  <c r="I7" i="10"/>
  <c r="B7" i="10"/>
  <c r="J6" i="10"/>
  <c r="I6" i="10"/>
  <c r="B6" i="10"/>
  <c r="J40" i="14" s="1"/>
  <c r="J5" i="10"/>
  <c r="I5" i="10"/>
  <c r="B5" i="10"/>
  <c r="B4" i="10"/>
  <c r="I4" i="10" s="1"/>
  <c r="B3" i="10"/>
  <c r="J2" i="10"/>
  <c r="I2" i="10"/>
  <c r="B2" i="10"/>
  <c r="H30" i="9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I19" i="9" s="1"/>
  <c r="H20" i="9"/>
  <c r="H21" i="9"/>
  <c r="H22" i="9"/>
  <c r="H23" i="9"/>
  <c r="H24" i="9"/>
  <c r="H25" i="9"/>
  <c r="H26" i="9"/>
  <c r="H27" i="9"/>
  <c r="H28" i="9"/>
  <c r="H29" i="9"/>
  <c r="H2" i="9"/>
  <c r="J30" i="9"/>
  <c r="I30" i="9"/>
  <c r="J29" i="9"/>
  <c r="I29" i="9"/>
  <c r="B29" i="9"/>
  <c r="G28" i="9"/>
  <c r="F28" i="9"/>
  <c r="E28" i="9"/>
  <c r="D28" i="9"/>
  <c r="C28" i="9"/>
  <c r="B27" i="9"/>
  <c r="B28" i="9" s="1"/>
  <c r="J26" i="9"/>
  <c r="I26" i="9"/>
  <c r="B26" i="9"/>
  <c r="J25" i="9"/>
  <c r="I25" i="9"/>
  <c r="B25" i="9"/>
  <c r="J24" i="9"/>
  <c r="I24" i="9"/>
  <c r="B24" i="9"/>
  <c r="J23" i="9"/>
  <c r="I23" i="9"/>
  <c r="B23" i="9"/>
  <c r="J22" i="9"/>
  <c r="I22" i="9"/>
  <c r="B22" i="9"/>
  <c r="J21" i="9"/>
  <c r="I21" i="9"/>
  <c r="B21" i="9"/>
  <c r="B20" i="9"/>
  <c r="J18" i="9"/>
  <c r="I18" i="9"/>
  <c r="B18" i="9"/>
  <c r="J17" i="9"/>
  <c r="I17" i="9"/>
  <c r="B17" i="9"/>
  <c r="J16" i="9"/>
  <c r="I16" i="9"/>
  <c r="B16" i="9"/>
  <c r="J15" i="9"/>
  <c r="I15" i="9"/>
  <c r="B15" i="9"/>
  <c r="B14" i="9"/>
  <c r="J13" i="9"/>
  <c r="I13" i="9"/>
  <c r="B13" i="9"/>
  <c r="B12" i="9"/>
  <c r="J11" i="9"/>
  <c r="I11" i="9"/>
  <c r="B11" i="9"/>
  <c r="J10" i="9"/>
  <c r="I10" i="9"/>
  <c r="B10" i="9"/>
  <c r="J9" i="9"/>
  <c r="I9" i="9"/>
  <c r="B9" i="9"/>
  <c r="J8" i="9"/>
  <c r="I8" i="9"/>
  <c r="B8" i="9"/>
  <c r="J7" i="9"/>
  <c r="I7" i="9"/>
  <c r="B7" i="9"/>
  <c r="J6" i="9"/>
  <c r="I6" i="9"/>
  <c r="B6" i="9"/>
  <c r="J5" i="9"/>
  <c r="I5" i="9"/>
  <c r="B5" i="9"/>
  <c r="B4" i="9"/>
  <c r="B3" i="9"/>
  <c r="J2" i="9"/>
  <c r="I2" i="9"/>
  <c r="B2" i="9"/>
  <c r="F41" i="1"/>
  <c r="F44" i="1"/>
  <c r="F43" i="1"/>
  <c r="F42" i="1"/>
  <c r="F40" i="1"/>
  <c r="J15" i="1" l="1"/>
  <c r="L15" i="1" s="1"/>
  <c r="J14" i="1"/>
  <c r="L14" i="1" s="1"/>
  <c r="I41" i="1"/>
  <c r="K41" i="1" s="1"/>
  <c r="I44" i="1"/>
  <c r="K44" i="1" s="1"/>
  <c r="I42" i="1"/>
  <c r="K42" i="1" s="1"/>
  <c r="I43" i="1"/>
  <c r="K43" i="1" s="1"/>
  <c r="I40" i="1"/>
  <c r="K40" i="1" s="1"/>
  <c r="J38" i="14"/>
  <c r="J39" i="14"/>
  <c r="I12" i="10"/>
  <c r="J12" i="9"/>
  <c r="J4" i="9"/>
  <c r="J14" i="10"/>
  <c r="J14" i="9"/>
  <c r="I28" i="9"/>
  <c r="I12" i="11"/>
  <c r="J27" i="11"/>
  <c r="J3" i="11"/>
  <c r="I19" i="11"/>
  <c r="J14" i="11"/>
  <c r="I4" i="9"/>
  <c r="I3" i="11"/>
  <c r="I12" i="9"/>
  <c r="I14" i="9"/>
  <c r="I27" i="9"/>
  <c r="B28" i="11"/>
  <c r="J28" i="11" s="1"/>
  <c r="I14" i="10"/>
  <c r="J20" i="10"/>
  <c r="J12" i="10"/>
  <c r="J4" i="10"/>
  <c r="J27" i="10"/>
  <c r="I3" i="10"/>
  <c r="I20" i="11"/>
  <c r="J20" i="9"/>
  <c r="I14" i="11"/>
  <c r="J27" i="9"/>
  <c r="J3" i="9"/>
  <c r="J20" i="11"/>
  <c r="I4" i="11"/>
  <c r="I27" i="11"/>
  <c r="J12" i="11"/>
  <c r="I20" i="10"/>
  <c r="I28" i="10"/>
  <c r="J28" i="10"/>
  <c r="I19" i="10"/>
  <c r="I27" i="10"/>
  <c r="J3" i="10"/>
  <c r="I3" i="9"/>
  <c r="J19" i="9"/>
  <c r="J28" i="9"/>
  <c r="I20" i="9"/>
  <c r="G28" i="6"/>
  <c r="F28" i="6"/>
  <c r="E28" i="6"/>
  <c r="D28" i="6"/>
  <c r="C28" i="6"/>
  <c r="B28" i="6"/>
  <c r="F22" i="1"/>
  <c r="B29" i="7"/>
  <c r="G28" i="7"/>
  <c r="F28" i="7"/>
  <c r="E28" i="7"/>
  <c r="D28" i="7"/>
  <c r="C28" i="7"/>
  <c r="B27" i="7"/>
  <c r="B28" i="7" s="1"/>
  <c r="B26" i="7"/>
  <c r="B25" i="7"/>
  <c r="B24" i="7"/>
  <c r="B23" i="7"/>
  <c r="B22" i="7"/>
  <c r="B21" i="7"/>
  <c r="B20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B4" i="7"/>
  <c r="B3" i="7"/>
  <c r="B2" i="7"/>
  <c r="C29" i="8"/>
  <c r="G28" i="8"/>
  <c r="E28" i="8"/>
  <c r="B28" i="8"/>
  <c r="C27" i="8"/>
  <c r="C28" i="8" s="1"/>
  <c r="C25" i="8"/>
  <c r="C24" i="8"/>
  <c r="C23" i="8"/>
  <c r="C22" i="8"/>
  <c r="C21" i="8"/>
  <c r="C18" i="8"/>
  <c r="C17" i="8"/>
  <c r="C16" i="8"/>
  <c r="C15" i="8"/>
  <c r="C14" i="8"/>
  <c r="C13" i="8"/>
  <c r="C11" i="8"/>
  <c r="C10" i="8"/>
  <c r="C9" i="8"/>
  <c r="C8" i="8"/>
  <c r="C7" i="8"/>
  <c r="C6" i="8"/>
  <c r="C5" i="8"/>
  <c r="C4" i="8"/>
  <c r="C2" i="8"/>
  <c r="G28" i="3"/>
  <c r="J28" i="3" s="1"/>
  <c r="F28" i="3"/>
  <c r="E28" i="3"/>
  <c r="D28" i="3"/>
  <c r="C28" i="3"/>
  <c r="B28" i="3"/>
  <c r="G28" i="2"/>
  <c r="F28" i="2"/>
  <c r="E28" i="2"/>
  <c r="D28" i="2"/>
  <c r="C28" i="2"/>
  <c r="B28" i="2"/>
  <c r="H27" i="7"/>
  <c r="H28" i="7"/>
  <c r="H29" i="7"/>
  <c r="I29" i="7"/>
  <c r="J29" i="7"/>
  <c r="H30" i="7"/>
  <c r="I30" i="7"/>
  <c r="J30" i="7"/>
  <c r="H27" i="8"/>
  <c r="H28" i="8"/>
  <c r="H29" i="8"/>
  <c r="I29" i="8"/>
  <c r="J29" i="8"/>
  <c r="H27" i="3"/>
  <c r="I27" i="3"/>
  <c r="J27" i="3"/>
  <c r="H28" i="3"/>
  <c r="I28" i="3"/>
  <c r="H29" i="3"/>
  <c r="I29" i="3"/>
  <c r="J29" i="3"/>
  <c r="H30" i="3"/>
  <c r="I30" i="3"/>
  <c r="J30" i="3"/>
  <c r="H27" i="2"/>
  <c r="I27" i="2" s="1"/>
  <c r="H28" i="2"/>
  <c r="H29" i="2"/>
  <c r="I29" i="2"/>
  <c r="J29" i="2"/>
  <c r="H30" i="2"/>
  <c r="I30" i="2"/>
  <c r="J30" i="2"/>
  <c r="H27" i="6"/>
  <c r="J27" i="6" s="1"/>
  <c r="H28" i="6"/>
  <c r="H29" i="6"/>
  <c r="I29" i="6"/>
  <c r="J29" i="6"/>
  <c r="H30" i="6"/>
  <c r="I30" i="6"/>
  <c r="J30" i="6"/>
  <c r="F48" i="1"/>
  <c r="F47" i="1"/>
  <c r="F46" i="1"/>
  <c r="F39" i="1"/>
  <c r="F38" i="1"/>
  <c r="F36" i="1"/>
  <c r="F35" i="1"/>
  <c r="F34" i="1"/>
  <c r="F32" i="1"/>
  <c r="F31" i="1"/>
  <c r="F29" i="1"/>
  <c r="F28" i="1"/>
  <c r="F26" i="1"/>
  <c r="F25" i="1"/>
  <c r="F24" i="1"/>
  <c r="F12" i="1"/>
  <c r="F11" i="1"/>
  <c r="I39" i="1" l="1"/>
  <c r="I47" i="1"/>
  <c r="K47" i="1" s="1"/>
  <c r="J11" i="1"/>
  <c r="L11" i="1" s="1"/>
  <c r="H11" i="1"/>
  <c r="I11" i="1"/>
  <c r="I12" i="1"/>
  <c r="H12" i="1"/>
  <c r="I29" i="1"/>
  <c r="I25" i="1"/>
  <c r="I31" i="1"/>
  <c r="I38" i="1"/>
  <c r="I26" i="1"/>
  <c r="I28" i="1"/>
  <c r="I32" i="1"/>
  <c r="I46" i="1"/>
  <c r="I48" i="1"/>
  <c r="K48" i="1" s="1"/>
  <c r="I34" i="1"/>
  <c r="H34" i="1"/>
  <c r="I22" i="1"/>
  <c r="H22" i="1"/>
  <c r="I35" i="1"/>
  <c r="H35" i="1"/>
  <c r="I24" i="1"/>
  <c r="I36" i="1"/>
  <c r="H36" i="1"/>
  <c r="J35" i="14"/>
  <c r="J37" i="14"/>
  <c r="J36" i="14"/>
  <c r="I28" i="11"/>
  <c r="I27" i="6"/>
  <c r="J28" i="2"/>
  <c r="I28" i="6"/>
  <c r="I28" i="2"/>
  <c r="F17" i="1"/>
  <c r="F18" i="1"/>
  <c r="F19" i="1"/>
  <c r="F20" i="1"/>
  <c r="F21" i="1"/>
  <c r="J28" i="6"/>
  <c r="J27" i="2"/>
  <c r="I21" i="1" l="1"/>
  <c r="H21" i="1"/>
  <c r="I18" i="1"/>
  <c r="H18" i="1"/>
  <c r="I20" i="1"/>
  <c r="H20" i="1"/>
  <c r="I19" i="1"/>
  <c r="H19" i="1"/>
  <c r="I17" i="1"/>
  <c r="H17" i="1"/>
  <c r="I27" i="8"/>
  <c r="J27" i="8"/>
  <c r="J27" i="7" l="1"/>
  <c r="I27" i="7"/>
  <c r="J28" i="8"/>
  <c r="I28" i="8"/>
  <c r="K12" i="1"/>
  <c r="K11" i="1"/>
  <c r="J28" i="7" l="1"/>
  <c r="I28" i="7"/>
  <c r="H26" i="7"/>
  <c r="H25" i="7"/>
  <c r="H24" i="7"/>
  <c r="H23" i="7"/>
  <c r="H22" i="7"/>
  <c r="H21" i="7"/>
  <c r="H20" i="7"/>
  <c r="J20" i="7" s="1"/>
  <c r="H19" i="7"/>
  <c r="I19" i="7" s="1"/>
  <c r="H18" i="7"/>
  <c r="H17" i="7"/>
  <c r="H16" i="7"/>
  <c r="H15" i="7"/>
  <c r="H14" i="7"/>
  <c r="I14" i="7" s="1"/>
  <c r="H13" i="7"/>
  <c r="H12" i="7"/>
  <c r="J12" i="7" s="1"/>
  <c r="H11" i="7"/>
  <c r="H10" i="7"/>
  <c r="H9" i="7"/>
  <c r="H8" i="7"/>
  <c r="H7" i="7"/>
  <c r="H6" i="7"/>
  <c r="H5" i="7"/>
  <c r="H4" i="7"/>
  <c r="J4" i="7" s="1"/>
  <c r="H3" i="7"/>
  <c r="I3" i="7" s="1"/>
  <c r="H2" i="7"/>
  <c r="J26" i="7"/>
  <c r="I26" i="7"/>
  <c r="J25" i="7"/>
  <c r="I25" i="7"/>
  <c r="J24" i="7"/>
  <c r="I24" i="7"/>
  <c r="J23" i="7"/>
  <c r="I23" i="7"/>
  <c r="J22" i="7"/>
  <c r="I22" i="7"/>
  <c r="J21" i="7"/>
  <c r="I21" i="7"/>
  <c r="J18" i="7"/>
  <c r="I18" i="7"/>
  <c r="J17" i="7"/>
  <c r="I17" i="7"/>
  <c r="J16" i="7"/>
  <c r="I16" i="7"/>
  <c r="J15" i="7"/>
  <c r="I15" i="7"/>
  <c r="J13" i="7"/>
  <c r="I13" i="7"/>
  <c r="J11" i="7"/>
  <c r="I11" i="7"/>
  <c r="J10" i="7"/>
  <c r="I10" i="7"/>
  <c r="J9" i="7"/>
  <c r="I9" i="7"/>
  <c r="J8" i="7"/>
  <c r="I8" i="7"/>
  <c r="J7" i="7"/>
  <c r="I7" i="7"/>
  <c r="J6" i="7"/>
  <c r="I6" i="7"/>
  <c r="J5" i="7"/>
  <c r="I5" i="7"/>
  <c r="J2" i="7"/>
  <c r="I2" i="7"/>
  <c r="H3" i="8"/>
  <c r="I3" i="8" s="1"/>
  <c r="H4" i="8"/>
  <c r="H5" i="8"/>
  <c r="J5" i="8" s="1"/>
  <c r="H6" i="8"/>
  <c r="H7" i="8"/>
  <c r="H8" i="8"/>
  <c r="H9" i="8"/>
  <c r="H10" i="8"/>
  <c r="H11" i="8"/>
  <c r="H12" i="8"/>
  <c r="J12" i="8" s="1"/>
  <c r="H13" i="8"/>
  <c r="H14" i="8"/>
  <c r="J14" i="8" s="1"/>
  <c r="H15" i="8"/>
  <c r="H16" i="8"/>
  <c r="H17" i="8"/>
  <c r="H18" i="8"/>
  <c r="H19" i="8"/>
  <c r="H20" i="8"/>
  <c r="J20" i="8" s="1"/>
  <c r="H21" i="8"/>
  <c r="H22" i="8"/>
  <c r="H23" i="8"/>
  <c r="H24" i="8"/>
  <c r="H25" i="8"/>
  <c r="H26" i="8"/>
  <c r="H2" i="8"/>
  <c r="J26" i="8"/>
  <c r="I26" i="8"/>
  <c r="J25" i="8"/>
  <c r="I25" i="8"/>
  <c r="J24" i="8"/>
  <c r="I24" i="8"/>
  <c r="J23" i="8"/>
  <c r="I23" i="8"/>
  <c r="J22" i="8"/>
  <c r="I22" i="8"/>
  <c r="J21" i="8"/>
  <c r="I21" i="8"/>
  <c r="J19" i="8"/>
  <c r="I19" i="8"/>
  <c r="J18" i="8"/>
  <c r="I18" i="8"/>
  <c r="J17" i="8"/>
  <c r="I17" i="8"/>
  <c r="J16" i="8"/>
  <c r="I16" i="8"/>
  <c r="J15" i="8"/>
  <c r="I15" i="8"/>
  <c r="J13" i="8"/>
  <c r="I13" i="8"/>
  <c r="J11" i="8"/>
  <c r="I11" i="8"/>
  <c r="J10" i="8"/>
  <c r="I10" i="8"/>
  <c r="J9" i="8"/>
  <c r="I9" i="8"/>
  <c r="J8" i="8"/>
  <c r="I8" i="8"/>
  <c r="J7" i="8"/>
  <c r="I7" i="8"/>
  <c r="J6" i="8"/>
  <c r="I6" i="8"/>
  <c r="J4" i="8"/>
  <c r="I4" i="8"/>
  <c r="J2" i="8"/>
  <c r="I2" i="8"/>
  <c r="G50" i="1" l="1"/>
  <c r="G49" i="1"/>
  <c r="G48" i="1"/>
  <c r="H48" i="1" s="1"/>
  <c r="G47" i="1"/>
  <c r="H47" i="1" s="1"/>
  <c r="G46" i="1"/>
  <c r="H46" i="1" s="1"/>
  <c r="G44" i="1"/>
  <c r="G43" i="1"/>
  <c r="G42" i="1"/>
  <c r="G41" i="1"/>
  <c r="G40" i="1"/>
  <c r="H40" i="1" s="1"/>
  <c r="G39" i="1"/>
  <c r="H39" i="1" s="1"/>
  <c r="G38" i="1"/>
  <c r="H38" i="1" s="1"/>
  <c r="I20" i="7"/>
  <c r="J3" i="8"/>
  <c r="I14" i="8"/>
  <c r="I5" i="8"/>
  <c r="J19" i="7"/>
  <c r="I12" i="8"/>
  <c r="I20" i="8"/>
  <c r="J3" i="7"/>
  <c r="J14" i="7"/>
  <c r="I4" i="7"/>
  <c r="I12" i="7"/>
  <c r="K46" i="1"/>
  <c r="J40" i="1" l="1"/>
  <c r="L40" i="1" s="1"/>
  <c r="H42" i="1"/>
  <c r="J42" i="1"/>
  <c r="L42" i="1" s="1"/>
  <c r="H44" i="1"/>
  <c r="J44" i="1"/>
  <c r="L44" i="1" s="1"/>
  <c r="H41" i="1"/>
  <c r="J41" i="1"/>
  <c r="L41" i="1" s="1"/>
  <c r="H50" i="1"/>
  <c r="J50" i="1"/>
  <c r="L50" i="1" s="1"/>
  <c r="H43" i="1"/>
  <c r="J43" i="1"/>
  <c r="L43" i="1" s="1"/>
  <c r="H49" i="1"/>
  <c r="J49" i="1"/>
  <c r="L49" i="1" s="1"/>
  <c r="J48" i="1"/>
  <c r="L48" i="1" s="1"/>
  <c r="J46" i="1"/>
  <c r="L46" i="1" s="1"/>
  <c r="J47" i="1"/>
  <c r="L47" i="1" s="1"/>
  <c r="K38" i="1"/>
  <c r="K22" i="1"/>
  <c r="J38" i="1" l="1"/>
  <c r="L38" i="1" s="1"/>
  <c r="J39" i="1"/>
  <c r="L39" i="1" s="1"/>
  <c r="J22" i="1"/>
  <c r="L22" i="1" s="1"/>
  <c r="K39" i="1"/>
  <c r="J35" i="1"/>
  <c r="L35" i="1" s="1"/>
  <c r="J34" i="1"/>
  <c r="L34" i="1" s="1"/>
  <c r="K32" i="1"/>
  <c r="K28" i="1"/>
  <c r="K25" i="1"/>
  <c r="K20" i="1"/>
  <c r="J18" i="1"/>
  <c r="B9" i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3" i="3"/>
  <c r="H2" i="3"/>
  <c r="H2" i="6"/>
  <c r="H15" i="2"/>
  <c r="H2" i="2"/>
  <c r="J36" i="1" l="1"/>
  <c r="L36" i="1" s="1"/>
  <c r="K36" i="1"/>
  <c r="K21" i="1"/>
  <c r="J21" i="1"/>
  <c r="L21" i="1" s="1"/>
  <c r="K31" i="1"/>
  <c r="K29" i="1"/>
  <c r="K26" i="1"/>
  <c r="K24" i="1"/>
  <c r="J19" i="1"/>
  <c r="L19" i="1" s="1"/>
  <c r="K19" i="1"/>
  <c r="K17" i="1"/>
  <c r="M57" i="1" s="1"/>
  <c r="J17" i="1"/>
  <c r="L17" i="1" s="1"/>
  <c r="L18" i="1"/>
  <c r="K18" i="1"/>
  <c r="J20" i="1"/>
  <c r="L20" i="1" s="1"/>
  <c r="K35" i="1"/>
  <c r="K34" i="1"/>
  <c r="J26" i="6"/>
  <c r="I26" i="6"/>
  <c r="H26" i="6"/>
  <c r="J25" i="6"/>
  <c r="I25" i="6"/>
  <c r="H25" i="6"/>
  <c r="J24" i="6"/>
  <c r="I24" i="6"/>
  <c r="H24" i="6"/>
  <c r="J23" i="6"/>
  <c r="I23" i="6"/>
  <c r="H23" i="6"/>
  <c r="J22" i="6"/>
  <c r="I22" i="6"/>
  <c r="H22" i="6"/>
  <c r="J21" i="6"/>
  <c r="I21" i="6"/>
  <c r="H21" i="6"/>
  <c r="H20" i="6"/>
  <c r="J20" i="6" s="1"/>
  <c r="H19" i="6"/>
  <c r="J19" i="6" s="1"/>
  <c r="J18" i="6"/>
  <c r="I18" i="6"/>
  <c r="H18" i="6"/>
  <c r="J17" i="6"/>
  <c r="I17" i="6"/>
  <c r="H17" i="6"/>
  <c r="J16" i="6"/>
  <c r="I16" i="6"/>
  <c r="H16" i="6"/>
  <c r="J15" i="6"/>
  <c r="I15" i="6"/>
  <c r="H15" i="6"/>
  <c r="H14" i="6"/>
  <c r="I14" i="6" s="1"/>
  <c r="J13" i="6"/>
  <c r="I13" i="6"/>
  <c r="H13" i="6"/>
  <c r="H12" i="6"/>
  <c r="J12" i="6" s="1"/>
  <c r="J11" i="6"/>
  <c r="I11" i="6"/>
  <c r="H11" i="6"/>
  <c r="J10" i="6"/>
  <c r="I10" i="6"/>
  <c r="H10" i="6"/>
  <c r="J9" i="6"/>
  <c r="I9" i="6"/>
  <c r="H9" i="6"/>
  <c r="J8" i="6"/>
  <c r="I8" i="6"/>
  <c r="H8" i="6"/>
  <c r="J7" i="6"/>
  <c r="I7" i="6"/>
  <c r="H7" i="6"/>
  <c r="J6" i="6"/>
  <c r="I6" i="6"/>
  <c r="H6" i="6"/>
  <c r="H5" i="6"/>
  <c r="J5" i="6" s="1"/>
  <c r="H4" i="6"/>
  <c r="J4" i="6" s="1"/>
  <c r="H3" i="6"/>
  <c r="J3" i="6" s="1"/>
  <c r="J2" i="6"/>
  <c r="G26" i="1" l="1"/>
  <c r="H26" i="1" s="1"/>
  <c r="G24" i="1"/>
  <c r="H24" i="1" s="1"/>
  <c r="G25" i="1"/>
  <c r="H25" i="1" s="1"/>
  <c r="I19" i="6"/>
  <c r="I5" i="6"/>
  <c r="I3" i="6"/>
  <c r="I2" i="6"/>
  <c r="J14" i="6"/>
  <c r="I4" i="6"/>
  <c r="I12" i="6"/>
  <c r="I20" i="6"/>
  <c r="J25" i="1" l="1"/>
  <c r="L25" i="1" s="1"/>
  <c r="J24" i="1"/>
  <c r="L24" i="1" s="1"/>
  <c r="J26" i="1"/>
  <c r="L26" i="1" s="1"/>
  <c r="H3" i="2"/>
  <c r="I3" i="2" s="1"/>
  <c r="H4" i="2"/>
  <c r="H5" i="2"/>
  <c r="H6" i="2"/>
  <c r="H7" i="2"/>
  <c r="H8" i="2"/>
  <c r="H9" i="2"/>
  <c r="H10" i="2"/>
  <c r="H11" i="2"/>
  <c r="H12" i="2"/>
  <c r="I12" i="2" s="1"/>
  <c r="H13" i="2"/>
  <c r="H14" i="2"/>
  <c r="H16" i="2"/>
  <c r="H17" i="2"/>
  <c r="H18" i="2"/>
  <c r="H19" i="2"/>
  <c r="H20" i="2"/>
  <c r="H21" i="2"/>
  <c r="H22" i="2"/>
  <c r="H23" i="2"/>
  <c r="H24" i="2"/>
  <c r="H25" i="2"/>
  <c r="H26" i="2"/>
  <c r="J12" i="1" l="1"/>
  <c r="L12" i="1" s="1"/>
  <c r="I20" i="2"/>
  <c r="J26" i="3"/>
  <c r="I26" i="3"/>
  <c r="J25" i="3"/>
  <c r="I25" i="3"/>
  <c r="J24" i="3"/>
  <c r="I24" i="3"/>
  <c r="J23" i="3"/>
  <c r="I23" i="3"/>
  <c r="J22" i="3"/>
  <c r="I22" i="3"/>
  <c r="J21" i="3"/>
  <c r="I21" i="3"/>
  <c r="J20" i="3"/>
  <c r="I20" i="3"/>
  <c r="J19" i="3"/>
  <c r="I19" i="3"/>
  <c r="J18" i="3"/>
  <c r="I18" i="3"/>
  <c r="J17" i="3"/>
  <c r="I17" i="3"/>
  <c r="J16" i="3"/>
  <c r="I16" i="3"/>
  <c r="J15" i="3"/>
  <c r="I15" i="3"/>
  <c r="J14" i="3"/>
  <c r="I14" i="3"/>
  <c r="J13" i="3"/>
  <c r="I13" i="3"/>
  <c r="J12" i="3"/>
  <c r="I12" i="3"/>
  <c r="J11" i="3"/>
  <c r="I11" i="3"/>
  <c r="J10" i="3"/>
  <c r="I10" i="3"/>
  <c r="J9" i="3"/>
  <c r="I9" i="3"/>
  <c r="J8" i="3"/>
  <c r="I8" i="3"/>
  <c r="J7" i="3"/>
  <c r="I7" i="3"/>
  <c r="J6" i="3"/>
  <c r="I6" i="3"/>
  <c r="J5" i="3"/>
  <c r="I5" i="3"/>
  <c r="J4" i="3"/>
  <c r="I4" i="3"/>
  <c r="J3" i="3"/>
  <c r="I3" i="3"/>
  <c r="J2" i="3"/>
  <c r="I2" i="3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" i="2"/>
  <c r="I4" i="2"/>
  <c r="I5" i="2"/>
  <c r="I6" i="2"/>
  <c r="I7" i="2"/>
  <c r="I8" i="2"/>
  <c r="I9" i="2"/>
  <c r="I10" i="2"/>
  <c r="I11" i="2"/>
  <c r="I13" i="2"/>
  <c r="I14" i="2"/>
  <c r="I15" i="2"/>
  <c r="I16" i="2"/>
  <c r="I17" i="2"/>
  <c r="I18" i="2"/>
  <c r="I19" i="2"/>
  <c r="I21" i="2"/>
  <c r="I22" i="2"/>
  <c r="I23" i="2"/>
  <c r="I24" i="2"/>
  <c r="I25" i="2"/>
  <c r="I26" i="2"/>
  <c r="I2" i="2"/>
  <c r="G32" i="1" l="1"/>
  <c r="H32" i="1" s="1"/>
  <c r="G31" i="1"/>
  <c r="H31" i="1" s="1"/>
  <c r="G29" i="1"/>
  <c r="H29" i="1" s="1"/>
  <c r="G28" i="1"/>
  <c r="H28" i="1" s="1"/>
  <c r="J28" i="1" l="1"/>
  <c r="L28" i="1" s="1"/>
  <c r="J29" i="1"/>
  <c r="L29" i="1" s="1"/>
  <c r="M61" i="1" s="1"/>
  <c r="M59" i="1" s="1"/>
  <c r="J32" i="1"/>
  <c r="L32" i="1" s="1"/>
  <c r="J31" i="1"/>
  <c r="L3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Renato Pin</author>
  </authors>
  <commentList>
    <comment ref="C3" authorId="0" shapeId="0" xr:uid="{7C3918EA-4541-4132-AA0D-F0B46DCA6DCA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  <comment ref="C20" authorId="0" shapeId="0" xr:uid="{172B5195-9068-413E-A9C2-61B2BBD98488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2% FCP</t>
        </r>
      </text>
    </comment>
    <comment ref="C26" authorId="0" shapeId="0" xr:uid="{5D097EC1-22F1-407F-BE2F-0E1273E540C6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Renato Pin</author>
  </authors>
  <commentList>
    <comment ref="C3" authorId="0" shapeId="0" xr:uid="{F9BD4E73-3248-466A-839A-87D448000E0B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  <comment ref="C20" authorId="0" shapeId="0" xr:uid="{CB2C15FB-0963-44D5-A60E-3F8E0973AC18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2% FCP</t>
        </r>
      </text>
    </comment>
    <comment ref="C26" authorId="0" shapeId="0" xr:uid="{AC78A750-6961-4104-9C37-A54B070AA3D5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Renato Pin</author>
  </authors>
  <commentList>
    <comment ref="C3" authorId="0" shapeId="0" xr:uid="{5EC5A526-B8C6-4889-9FB9-84167C980A35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  <comment ref="C20" authorId="0" shapeId="0" xr:uid="{3EFD0B1E-2592-421C-9023-0164218A7DC2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2% FCP</t>
        </r>
      </text>
    </comment>
    <comment ref="C26" authorId="0" shapeId="0" xr:uid="{9F6244B4-0C65-42A5-A27E-B1805C97378D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Renato Pin</author>
  </authors>
  <commentList>
    <comment ref="C3" authorId="0" shapeId="0" xr:uid="{523D1CB9-A16C-4782-AE93-26DFD0233AD7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  <comment ref="C20" authorId="0" shapeId="0" xr:uid="{DD5BBAAA-B255-4021-87DD-65D577F08E65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2% FCP</t>
        </r>
      </text>
    </comment>
    <comment ref="C26" authorId="0" shapeId="0" xr:uid="{BD464E9D-9F28-4126-97C9-0C8BAFB85FC0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tc={4C8B391A-43D0-427D-B1A4-1562D0816930}</author>
    <author>tc={224CF3DE-AAC5-4DD1-B1E2-A7CCE9C4DEDD}</author>
    <author>tc={9750D224-49A6-4723-A8E0-26D93E3D1C17}</author>
    <author>tc={DB542AA2-FBF0-4F07-A1E1-043566107B7A}</author>
  </authors>
  <commentList>
    <comment ref="B2" authorId="0" shapeId="0" xr:uid="{4C8B391A-43D0-427D-B1A4-1562D081693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IMPORTADO</t>
      </text>
    </comment>
    <comment ref="D2" authorId="1" shapeId="0" xr:uid="{224CF3DE-AAC5-4DD1-B1E2-A7CCE9C4DED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IMPORTADO</t>
      </text>
    </comment>
    <comment ref="R2" authorId="2" shapeId="0" xr:uid="{9750D224-49A6-4723-A8E0-26D93E3D1C1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IMPORTADO</t>
      </text>
    </comment>
    <comment ref="T2" authorId="3" shapeId="0" xr:uid="{DB542AA2-FBF0-4F07-A1E1-043566107B7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IMPORTADO</t>
      </text>
    </comment>
  </commentList>
</comments>
</file>

<file path=xl/sharedStrings.xml><?xml version="1.0" encoding="utf-8"?>
<sst xmlns="http://schemas.openxmlformats.org/spreadsheetml/2006/main" count="688" uniqueCount="156">
  <si>
    <t>BABY ROO COMERCIO DE ALIMENTOS EIRELI</t>
  </si>
  <si>
    <t>CNPJ: 34.282.307.0001-44</t>
  </si>
  <si>
    <t>INSC. ESTADUAL: 90821939-25</t>
  </si>
  <si>
    <t>ENDEREÇO: Rua Grã Nicco, 113 - sala 501, bloco 2 - Mossunguê, Curitiba - PR, 81200-200</t>
  </si>
  <si>
    <t>UF:</t>
  </si>
  <si>
    <t>DF</t>
  </si>
  <si>
    <t>Regime SIMPLES?</t>
  </si>
  <si>
    <t>NÃO</t>
  </si>
  <si>
    <t>Descrição</t>
  </si>
  <si>
    <t>Código</t>
  </si>
  <si>
    <t>Embalagem</t>
  </si>
  <si>
    <t xml:space="preserve">Validade </t>
  </si>
  <si>
    <t>PSC</t>
  </si>
  <si>
    <t>NCM</t>
  </si>
  <si>
    <t>Ean 13</t>
  </si>
  <si>
    <t>Dun 14</t>
  </si>
  <si>
    <t>Crédito ICMS (%)</t>
  </si>
  <si>
    <t>Valor Caixa</t>
  </si>
  <si>
    <t>SUBSTITUIÇÃO TRIBUTÁRIA UN</t>
  </si>
  <si>
    <t>Valor Caixa + ST</t>
  </si>
  <si>
    <t>Valor TOTAL</t>
  </si>
  <si>
    <r>
      <t xml:space="preserve">Valor TOTAL + ST </t>
    </r>
    <r>
      <rPr>
        <b/>
        <sz val="11"/>
        <color rgb="FFFF0000"/>
        <rFont val="Century Gothic"/>
        <family val="2"/>
      </rPr>
      <t>(*)</t>
    </r>
  </si>
  <si>
    <t>Papinha Papapa Carne Arroz Legumes 120g</t>
  </si>
  <si>
    <t>12 x 120g</t>
  </si>
  <si>
    <t>12 meses</t>
  </si>
  <si>
    <t>2104.20.00</t>
  </si>
  <si>
    <t>Papinha Papapa Frango Grão Vegetais 120g</t>
  </si>
  <si>
    <t>Papinha Papapa Iogurte Frutas Amarelas e Banana 100g</t>
  </si>
  <si>
    <t>16 x 100g</t>
  </si>
  <si>
    <t>15 meses</t>
  </si>
  <si>
    <t>Papinha Papapa Iogurte Frutas Vermelhas e Banana 100g</t>
  </si>
  <si>
    <t>Papinha Papapá Org Maçã Ameixa 100g</t>
  </si>
  <si>
    <t>7898994908722</t>
  </si>
  <si>
    <t>12 x 100g</t>
  </si>
  <si>
    <t>16 meses</t>
  </si>
  <si>
    <t>Papinha Papapá Org Banana Mirtilo Quinoa 100g</t>
  </si>
  <si>
    <t>7898994908739</t>
  </si>
  <si>
    <t>Papinha Papapá Org Manga 100g</t>
  </si>
  <si>
    <t>7898994908715</t>
  </si>
  <si>
    <t>Papinha Papapá Org Pera Espinafre Abobrinha 100g</t>
  </si>
  <si>
    <t>7898994908753</t>
  </si>
  <si>
    <t>Papinha Papapá Org Maçã B. Doce Cenoura 100g</t>
  </si>
  <si>
    <t>7898994908746</t>
  </si>
  <si>
    <t>Papinha Papapá Org Morango Maçã 100g</t>
  </si>
  <si>
    <t>16 x 20g</t>
  </si>
  <si>
    <t>9 meses</t>
  </si>
  <si>
    <t>1904.10.00</t>
  </si>
  <si>
    <t>Biscoito Inf Papapá dent. Maçã e Abóbora 36g</t>
  </si>
  <si>
    <t>12 x 36g</t>
  </si>
  <si>
    <t>1905.90.20</t>
  </si>
  <si>
    <t>Biscoito Inf Papapá dent Vegetais 36g</t>
  </si>
  <si>
    <t>Macarrao Inf Papapá m. Elbow Quinoa 200g</t>
  </si>
  <si>
    <t>12 x 200g</t>
  </si>
  <si>
    <t>14 meses</t>
  </si>
  <si>
    <t>19.02.19.00</t>
  </si>
  <si>
    <t>Macarrao Inf Papapá m. Fusilli Vegetais 200g</t>
  </si>
  <si>
    <t>Sopinha  Papapá org Lentinha Carne Legumes 180g</t>
  </si>
  <si>
    <t>6 x 180g</t>
  </si>
  <si>
    <t>Risotinho Papapá org Arroz quinoa frango 180g</t>
  </si>
  <si>
    <t>Caseirinho Papapá org Arroz feijão carne leg. 180g</t>
  </si>
  <si>
    <t>Cereal Infantil Papapá Aveia - Morango e Beterraba 170g caixa</t>
  </si>
  <si>
    <t>12 x 170g</t>
  </si>
  <si>
    <t>19.01.10.30</t>
  </si>
  <si>
    <t>Cereal Infantil Papapá Aveia - Banana e Ameixa 170g caixa</t>
  </si>
  <si>
    <t>Cereal Infantil Papapá Aveia - Multicereais 170g caixa</t>
  </si>
  <si>
    <t>Cereal Infantil Papapá Aveia - Morango e Beterraba sache 170g</t>
  </si>
  <si>
    <t>Cereal Infantil Papapá Aveia - Banana e Ameixa sache 170g</t>
  </si>
  <si>
    <t>Cereal Infantil Papapá Aveia - Multicereais sache 170g</t>
  </si>
  <si>
    <t>Cereal Infantil Papapá Aveia - Multicereais sache 500g</t>
  </si>
  <si>
    <t>12 x 500g</t>
  </si>
  <si>
    <t>Biscoito Infantil Papapá Biscotti com Laranja e Cenoura 60g</t>
  </si>
  <si>
    <t>12 x 60g</t>
  </si>
  <si>
    <t>10 meses</t>
  </si>
  <si>
    <t>Biscoito Infantil Papapá Biscotti com Maçã e Canela 60g</t>
  </si>
  <si>
    <t>Biscoito Infantil Papapá Biscotti com Banana e Cacau 60g</t>
  </si>
  <si>
    <t>Biscoito Infantil Papapá Biscotti Goiaba 60g</t>
  </si>
  <si>
    <t>Biscoito Infantil Papapá Biscotti com Maracujá e Camomila 60g</t>
  </si>
  <si>
    <t>(*) quando inside ST o valor do imposto é adicionado nesta coluna</t>
  </si>
  <si>
    <t>Pedido Mínimo:</t>
  </si>
  <si>
    <t>VALOR TOTAL PRODUTOS (R$):</t>
  </si>
  <si>
    <t>Condição de Pagamento:</t>
  </si>
  <si>
    <t>VALOR ST (R$):</t>
  </si>
  <si>
    <t>VALOR TOTAL PEDIDO (R$):</t>
  </si>
  <si>
    <t>SIM</t>
  </si>
  <si>
    <t>Estado</t>
  </si>
  <si>
    <t>Aliquota interestadual</t>
  </si>
  <si>
    <t>Aliquota interna</t>
  </si>
  <si>
    <t>MVA (normal)</t>
  </si>
  <si>
    <t>MVA (simples)</t>
  </si>
  <si>
    <t>Ajustada (normal)</t>
  </si>
  <si>
    <t>Ajustada (simples)</t>
  </si>
  <si>
    <t>Preço</t>
  </si>
  <si>
    <t>ST Normal</t>
  </si>
  <si>
    <t>ST Simples</t>
  </si>
  <si>
    <t>AC</t>
  </si>
  <si>
    <t>AL</t>
  </si>
  <si>
    <t>AM</t>
  </si>
  <si>
    <t>AP</t>
  </si>
  <si>
    <t>BA</t>
  </si>
  <si>
    <t>CE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</si>
  <si>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</si>
  <si>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</si>
  <si>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</si>
  <si>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</si>
  <si>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</si>
  <si>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</si>
  <si>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</si>
  <si>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</si>
  <si>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</si>
  <si>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</si>
  <si>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</si>
  <si>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</si>
  <si>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</si>
  <si>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</si>
  <si>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</si>
  <si>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</si>
  <si>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</si>
  <si>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</si>
  <si>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</si>
  <si>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SP/Atacado</t>
  </si>
  <si>
    <t>TO</t>
  </si>
  <si>
    <t>EX</t>
  </si>
  <si>
    <t>0325E</t>
  </si>
  <si>
    <t>ESPECIAL</t>
  </si>
  <si>
    <t>Preços atualizados 03 MAR 25</t>
  </si>
  <si>
    <t>Papinhas</t>
  </si>
  <si>
    <t>Palitinhos</t>
  </si>
  <si>
    <t>Biscoitinhos</t>
  </si>
  <si>
    <t>Papapasta</t>
  </si>
  <si>
    <t>La Chef</t>
  </si>
  <si>
    <t>Linha Cerais</t>
  </si>
  <si>
    <t>Biscotti</t>
  </si>
  <si>
    <t>Pouch Carne</t>
  </si>
  <si>
    <t>P. Cereal 170g Sache sabores</t>
  </si>
  <si>
    <t>P. Cereal 170g Sache MULTI</t>
  </si>
  <si>
    <t>MULTI sache 500 g</t>
  </si>
  <si>
    <t>Yoguzinho</t>
  </si>
  <si>
    <t>Bowl</t>
  </si>
  <si>
    <t>Novos Biscotti</t>
  </si>
  <si>
    <t>CONSUMIDOR</t>
  </si>
  <si>
    <t>icms 7%</t>
  </si>
  <si>
    <t>Preço sugerido</t>
  </si>
  <si>
    <t>QUANTIDADE (Caixas)</t>
  </si>
  <si>
    <t>PEDIDOS SÃO FEITOS SOMENTE EM CAIXA</t>
  </si>
  <si>
    <t>Valor UN + ST</t>
  </si>
  <si>
    <t>Valor UN</t>
  </si>
  <si>
    <t>PREENCHA O SEU ESTADO E SE ESTÁ ENQUADRADO NO REGIME SIMPLES OU NÃO</t>
  </si>
  <si>
    <t>Biscoito inf Papapá Palitinho de Vegetais org. Beterraba 20g</t>
  </si>
  <si>
    <t>Biscoito inf Papapá Palitinho de Vegetais org. Cenoura 20g</t>
  </si>
  <si>
    <t>Biscoito inf Papapá Palitinho de Vegetais org. Tomate/Manjericão 20g</t>
  </si>
  <si>
    <t>CNPJ:</t>
  </si>
  <si>
    <t>Sopinha Papapá Frango Arroz Legumes 240g (2x 120g)</t>
  </si>
  <si>
    <t>Sopinha Papapá Carne Macarrao Legumes 240g (2x 120g)</t>
  </si>
  <si>
    <t>Sopinha Papapá Carne Mandioq Leg 240g (2x 120g)</t>
  </si>
  <si>
    <t>Sopinha Papapá Feijão Carne Leg 240g (2x 120g)</t>
  </si>
  <si>
    <t>6 x 240g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</si>
</sst>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%"/>
    <numFmt numFmtId="165" formatCode="&quot;R$&quot;\ #,##0.00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b/>
      <sz val="11"/>
      <color theme="0"/>
      <name val="Century Gothic"/>
      <family val="2"/>
    </font>
    <font>
      <sz val="12"/>
      <color theme="1"/>
      <name val="Arial"/>
      <family val="2"/>
    </font>
    <font>
      <b/>
      <sz val="11"/>
      <color rgb="FFFF0000"/>
      <name val="Calibri"/>
      <family val="2"/>
      <scheme val="minor"/>
    </font>
    <font>
      <b/>
      <sz val="12"/>
      <color rgb="FFFF0000"/>
      <name val="Arial"/>
      <family val="2"/>
    </font>
    <font>
      <b/>
      <sz val="11"/>
      <color rgb="FFFF0000"/>
      <name val="Century Gothic"/>
      <family val="2"/>
    </font>
    <font>
      <b/>
      <sz val="14"/>
      <color theme="0"/>
      <name val="Arial"/>
      <family val="2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0"/>
      <color theme="1"/>
      <name val="Century Gothic"/>
      <family val="2"/>
    </font>
    <font>
      <sz val="10"/>
      <color theme="1"/>
      <name val="Century Gothic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name val="Calibri"/>
      <family val="2"/>
    </font>
    <font>
      <b/>
      <sz val="12"/>
      <color rgb="FF000000"/>
      <name val="Arial"/>
      <family val="2"/>
    </font>
    <font>
      <b/>
      <sz val="12"/>
      <color theme="0"/>
      <name val="Arial"/>
      <family val="2"/>
    </font>
    <font>
      <b/>
      <sz val="11"/>
      <color theme="1"/>
      <name val="Calibri"/>
      <family val="2"/>
    </font>
    <font>
      <sz val="10"/>
      <name val="Century Gothic"/>
      <family val="2"/>
    </font>
    <font>
      <b/>
      <sz val="11"/>
      <color rgb="FF7030A0"/>
      <name val="Calibri"/>
      <family val="2"/>
    </font>
    <font>
      <b/>
      <sz val="14"/>
      <color rgb="FFFF0000"/>
      <name val="Calibri"/>
      <family val="2"/>
    </font>
    <font>
      <b/>
      <sz val="10"/>
      <color rgb="FF0070C0"/>
      <name val="Century Gothic"/>
      <family val="2"/>
    </font>
    <font>
      <b/>
      <sz val="10"/>
      <name val="Century Gothic"/>
      <family val="2"/>
    </font>
    <font>
      <b/>
      <sz val="20"/>
      <color theme="1"/>
      <name val="Calibri"/>
      <family val="2"/>
      <scheme val="minor"/>
    </font>
    <font>
      <b/>
      <sz val="10"/>
      <color theme="1"/>
      <name val="Century Gothic"/>
    </font>
    <font>
      <sz val="10"/>
      <color theme="1"/>
      <name val="Century Gothic"/>
    </font>
  </fonts>
  <fills count="2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B4C6E7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DC7FFD"/>
        <bgColor indexed="64"/>
      </patternFill>
    </fill>
    <fill>
      <patternFill patternType="solid">
        <fgColor rgb="FFDC7FFD"/>
        <bgColor rgb="FF000000"/>
      </patternFill>
    </fill>
    <fill>
      <patternFill patternType="solid">
        <fgColor rgb="FFCC00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00FFFF"/>
        <bgColor rgb="FF000000"/>
      </patternFill>
    </fill>
  </fills>
  <borders count="2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0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1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79">
    <xf numFmtId="0" fontId="0" fillId="0" borderId="0" xfId="0"/>
    <xf numFmtId="0" fontId="2" fillId="0" borderId="8" xfId="0" applyFont="1" applyBorder="1" applyAlignment="1">
      <alignment horizontal="center" vertical="center"/>
    </xf>
    <xf numFmtId="10" fontId="2" fillId="0" borderId="8" xfId="2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4" fontId="0" fillId="0" borderId="0" xfId="1" applyFont="1"/>
    <xf numFmtId="164" fontId="2" fillId="0" borderId="8" xfId="2" applyNumberFormat="1" applyFont="1" applyFill="1" applyBorder="1" applyAlignment="1">
      <alignment horizontal="center" vertical="center"/>
    </xf>
    <xf numFmtId="44" fontId="0" fillId="0" borderId="0" xfId="0" applyNumberFormat="1"/>
    <xf numFmtId="44" fontId="1" fillId="0" borderId="0" xfId="1" applyFont="1"/>
    <xf numFmtId="0" fontId="12" fillId="11" borderId="0" xfId="0" applyFont="1" applyFill="1" applyAlignment="1">
      <alignment horizontal="center" vertical="center"/>
    </xf>
    <xf numFmtId="44" fontId="12" fillId="0" borderId="0" xfId="1" applyFont="1" applyFill="1" applyBorder="1"/>
    <xf numFmtId="44" fontId="12" fillId="0" borderId="0" xfId="0" applyNumberFormat="1" applyFont="1"/>
    <xf numFmtId="0" fontId="13" fillId="11" borderId="0" xfId="0" applyFont="1" applyFill="1" applyAlignment="1">
      <alignment horizontal="center" vertical="center"/>
    </xf>
    <xf numFmtId="0" fontId="12" fillId="12" borderId="0" xfId="0" applyFont="1" applyFill="1" applyAlignment="1">
      <alignment horizontal="center" vertical="center"/>
    </xf>
    <xf numFmtId="0" fontId="12" fillId="13" borderId="0" xfId="0" applyFont="1" applyFill="1" applyAlignment="1">
      <alignment horizontal="center" vertical="center"/>
    </xf>
    <xf numFmtId="44" fontId="12" fillId="13" borderId="0" xfId="1" applyFont="1" applyFill="1" applyBorder="1"/>
    <xf numFmtId="44" fontId="4" fillId="0" borderId="7" xfId="1" applyFont="1" applyBorder="1" applyProtection="1"/>
    <xf numFmtId="44" fontId="4" fillId="0" borderId="0" xfId="1" applyFont="1" applyBorder="1" applyProtection="1"/>
    <xf numFmtId="0" fontId="4" fillId="6" borderId="12" xfId="0" applyFont="1" applyFill="1" applyBorder="1" applyAlignment="1" applyProtection="1">
      <alignment horizontal="center" vertical="center"/>
      <protection locked="0"/>
    </xf>
    <xf numFmtId="1" fontId="15" fillId="9" borderId="11" xfId="7" applyNumberFormat="1" applyFont="1" applyBorder="1" applyAlignment="1" applyProtection="1">
      <alignment horizontal="center" vertical="center"/>
    </xf>
    <xf numFmtId="0" fontId="15" fillId="9" borderId="4" xfId="7" applyFont="1" applyBorder="1" applyAlignment="1" applyProtection="1">
      <alignment horizontal="center"/>
    </xf>
    <xf numFmtId="1" fontId="15" fillId="9" borderId="4" xfId="7" applyNumberFormat="1" applyFont="1" applyBorder="1" applyAlignment="1" applyProtection="1">
      <alignment horizontal="center" vertical="center"/>
    </xf>
    <xf numFmtId="9" fontId="15" fillId="9" borderId="4" xfId="7" applyNumberFormat="1" applyFont="1" applyBorder="1" applyAlignment="1" applyProtection="1">
      <alignment horizontal="center"/>
    </xf>
    <xf numFmtId="44" fontId="14" fillId="9" borderId="4" xfId="7" applyNumberFormat="1" applyFont="1" applyBorder="1" applyAlignment="1" applyProtection="1">
      <alignment horizontal="center" vertical="center"/>
    </xf>
    <xf numFmtId="44" fontId="14" fillId="9" borderId="4" xfId="7" applyNumberFormat="1" applyFont="1" applyBorder="1" applyAlignment="1" applyProtection="1">
      <alignment horizontal="center"/>
    </xf>
    <xf numFmtId="2" fontId="15" fillId="9" borderId="4" xfId="7" applyNumberFormat="1" applyFont="1" applyBorder="1" applyAlignment="1" applyProtection="1">
      <alignment horizontal="center" vertical="center"/>
    </xf>
    <xf numFmtId="44" fontId="15" fillId="9" borderId="4" xfId="7" applyNumberFormat="1" applyFont="1" applyBorder="1" applyAlignment="1" applyProtection="1">
      <alignment horizontal="center"/>
    </xf>
    <xf numFmtId="0" fontId="14" fillId="6" borderId="4" xfId="0" applyFont="1" applyFill="1" applyBorder="1" applyAlignment="1" applyProtection="1">
      <alignment horizontal="center"/>
      <protection locked="0"/>
    </xf>
    <xf numFmtId="44" fontId="15" fillId="9" borderId="3" xfId="7" applyNumberFormat="1" applyFont="1" applyBorder="1" applyAlignment="1" applyProtection="1">
      <alignment horizontal="center"/>
    </xf>
    <xf numFmtId="44" fontId="15" fillId="9" borderId="11" xfId="7" applyNumberFormat="1" applyFont="1" applyBorder="1" applyAlignment="1" applyProtection="1">
      <alignment horizontal="center"/>
    </xf>
    <xf numFmtId="44" fontId="14" fillId="10" borderId="4" xfId="1" applyFont="1" applyFill="1" applyBorder="1" applyAlignment="1" applyProtection="1">
      <alignment horizontal="center" vertical="center"/>
    </xf>
    <xf numFmtId="44" fontId="14" fillId="10" borderId="4" xfId="1" applyFont="1" applyFill="1" applyBorder="1" applyAlignment="1" applyProtection="1">
      <alignment horizontal="center"/>
    </xf>
    <xf numFmtId="44" fontId="15" fillId="10" borderId="4" xfId="1" applyFont="1" applyFill="1" applyBorder="1" applyAlignment="1" applyProtection="1">
      <alignment horizontal="center"/>
    </xf>
    <xf numFmtId="44" fontId="15" fillId="10" borderId="3" xfId="1" applyFont="1" applyFill="1" applyBorder="1" applyAlignment="1" applyProtection="1">
      <alignment horizontal="center"/>
    </xf>
    <xf numFmtId="44" fontId="0" fillId="0" borderId="0" xfId="1" applyFont="1" applyFill="1"/>
    <xf numFmtId="0" fontId="3" fillId="0" borderId="0" xfId="0" applyFont="1"/>
    <xf numFmtId="0" fontId="0" fillId="0" borderId="0" xfId="0" applyAlignment="1">
      <alignment vertical="center"/>
    </xf>
    <xf numFmtId="44" fontId="1" fillId="0" borderId="0" xfId="1" applyFont="1" applyFill="1"/>
    <xf numFmtId="165" fontId="14" fillId="10" borderId="0" xfId="1" applyNumberFormat="1" applyFont="1" applyFill="1" applyBorder="1" applyAlignment="1" applyProtection="1">
      <alignment horizontal="center"/>
    </xf>
    <xf numFmtId="44" fontId="14" fillId="10" borderId="0" xfId="1" applyFont="1" applyFill="1" applyBorder="1" applyAlignment="1" applyProtection="1">
      <alignment horizontal="center" vertical="center"/>
    </xf>
    <xf numFmtId="44" fontId="14" fillId="10" borderId="0" xfId="1" applyFont="1" applyFill="1" applyBorder="1" applyAlignment="1" applyProtection="1">
      <alignment horizontal="center"/>
    </xf>
    <xf numFmtId="44" fontId="15" fillId="10" borderId="0" xfId="1" applyFont="1" applyFill="1" applyBorder="1" applyAlignment="1" applyProtection="1">
      <alignment horizontal="center"/>
    </xf>
    <xf numFmtId="0" fontId="4" fillId="0" borderId="0" xfId="0" applyFont="1"/>
    <xf numFmtId="0" fontId="3" fillId="0" borderId="0" xfId="0" applyFont="1" applyAlignment="1">
      <alignment vertical="center"/>
    </xf>
    <xf numFmtId="0" fontId="10" fillId="5" borderId="0" xfId="0" applyFont="1" applyFill="1"/>
    <xf numFmtId="0" fontId="5" fillId="5" borderId="0" xfId="0" applyFont="1" applyFill="1"/>
    <xf numFmtId="0" fontId="4" fillId="0" borderId="0" xfId="0" applyFont="1" applyAlignment="1">
      <alignment horizontal="center" vertical="center" wrapText="1"/>
    </xf>
    <xf numFmtId="1" fontId="15" fillId="10" borderId="4" xfId="0" applyNumberFormat="1" applyFont="1" applyFill="1" applyBorder="1" applyAlignment="1">
      <alignment horizontal="center" vertical="center"/>
    </xf>
    <xf numFmtId="0" fontId="15" fillId="10" borderId="4" xfId="0" applyFont="1" applyFill="1" applyBorder="1" applyAlignment="1">
      <alignment horizontal="center"/>
    </xf>
    <xf numFmtId="9" fontId="15" fillId="10" borderId="4" xfId="0" applyNumberFormat="1" applyFont="1" applyFill="1" applyBorder="1" applyAlignment="1">
      <alignment horizontal="center"/>
    </xf>
    <xf numFmtId="2" fontId="15" fillId="10" borderId="4" xfId="0" applyNumberFormat="1" applyFont="1" applyFill="1" applyBorder="1" applyAlignment="1">
      <alignment horizontal="center" vertical="center"/>
    </xf>
    <xf numFmtId="0" fontId="15" fillId="0" borderId="17" xfId="0" applyFont="1" applyBorder="1" applyAlignment="1">
      <alignment wrapText="1"/>
    </xf>
    <xf numFmtId="0" fontId="15" fillId="0" borderId="1" xfId="0" applyFont="1" applyBorder="1" applyAlignment="1">
      <alignment wrapText="1"/>
    </xf>
    <xf numFmtId="0" fontId="14" fillId="10" borderId="0" xfId="0" applyFont="1" applyFill="1" applyAlignment="1">
      <alignment horizontal="left" vertical="center"/>
    </xf>
    <xf numFmtId="0" fontId="14" fillId="0" borderId="0" xfId="0" applyFont="1"/>
    <xf numFmtId="1" fontId="15" fillId="10" borderId="0" xfId="0" applyNumberFormat="1" applyFont="1" applyFill="1" applyAlignment="1">
      <alignment horizontal="center" vertical="center"/>
    </xf>
    <xf numFmtId="0" fontId="15" fillId="10" borderId="0" xfId="0" applyFont="1" applyFill="1" applyAlignment="1">
      <alignment horizontal="center"/>
    </xf>
    <xf numFmtId="9" fontId="15" fillId="10" borderId="0" xfId="0" applyNumberFormat="1" applyFont="1" applyFill="1" applyAlignment="1">
      <alignment horizontal="center"/>
    </xf>
    <xf numFmtId="2" fontId="15" fillId="10" borderId="0" xfId="0" applyNumberFormat="1" applyFont="1" applyFill="1" applyAlignment="1">
      <alignment horizontal="center" vertical="center"/>
    </xf>
    <xf numFmtId="0" fontId="7" fillId="0" borderId="0" xfId="0" applyFont="1"/>
    <xf numFmtId="3" fontId="3" fillId="0" borderId="6" xfId="0" applyNumberFormat="1" applyFont="1" applyBorder="1"/>
    <xf numFmtId="3" fontId="3" fillId="0" borderId="0" xfId="0" applyNumberFormat="1" applyFont="1"/>
    <xf numFmtId="43" fontId="0" fillId="0" borderId="0" xfId="8" applyFont="1"/>
    <xf numFmtId="43" fontId="0" fillId="0" borderId="0" xfId="8" applyFont="1" applyFill="1"/>
    <xf numFmtId="44" fontId="1" fillId="14" borderId="0" xfId="1" applyFont="1" applyFill="1"/>
    <xf numFmtId="43" fontId="0" fillId="14" borderId="0" xfId="8" applyFont="1" applyFill="1"/>
    <xf numFmtId="44" fontId="0" fillId="14" borderId="0" xfId="1" applyFont="1" applyFill="1"/>
    <xf numFmtId="10" fontId="1" fillId="15" borderId="0" xfId="2" applyNumberFormat="1" applyFont="1" applyFill="1" applyAlignment="1">
      <alignment horizontal="center" vertical="center"/>
    </xf>
    <xf numFmtId="164" fontId="1" fillId="15" borderId="0" xfId="2" applyNumberFormat="1" applyFont="1" applyFill="1" applyAlignment="1">
      <alignment horizontal="center" vertical="center"/>
    </xf>
    <xf numFmtId="0" fontId="19" fillId="0" borderId="0" xfId="0" applyFont="1"/>
    <xf numFmtId="0" fontId="20" fillId="0" borderId="0" xfId="0" applyFont="1"/>
    <xf numFmtId="0" fontId="12" fillId="0" borderId="0" xfId="0" applyFont="1"/>
    <xf numFmtId="0" fontId="21" fillId="0" borderId="8" xfId="0" applyFont="1" applyBorder="1" applyAlignment="1">
      <alignment horizontal="center" vertical="center"/>
    </xf>
    <xf numFmtId="0" fontId="22" fillId="15" borderId="8" xfId="0" applyFont="1" applyFill="1" applyBorder="1" applyAlignment="1">
      <alignment horizontal="center" vertical="center"/>
    </xf>
    <xf numFmtId="44" fontId="23" fillId="12" borderId="0" xfId="1" applyFont="1" applyFill="1" applyBorder="1"/>
    <xf numFmtId="44" fontId="23" fillId="12" borderId="0" xfId="0" applyNumberFormat="1" applyFont="1" applyFill="1"/>
    <xf numFmtId="0" fontId="0" fillId="16" borderId="0" xfId="0" applyFill="1" applyAlignment="1">
      <alignment horizontal="center" vertical="center"/>
    </xf>
    <xf numFmtId="44" fontId="0" fillId="16" borderId="0" xfId="0" applyNumberFormat="1" applyFill="1"/>
    <xf numFmtId="0" fontId="11" fillId="17" borderId="4" xfId="5" applyFill="1" applyBorder="1" applyAlignment="1">
      <alignment horizontal="center" vertical="center"/>
    </xf>
    <xf numFmtId="8" fontId="1" fillId="18" borderId="4" xfId="6" applyNumberFormat="1" applyFill="1" applyBorder="1"/>
    <xf numFmtId="44" fontId="1" fillId="18" borderId="4" xfId="6" applyNumberFormat="1" applyFill="1" applyBorder="1"/>
    <xf numFmtId="0" fontId="4" fillId="0" borderId="0" xfId="0" applyFont="1" applyAlignment="1">
      <alignment horizontal="left" vertical="center" wrapText="1"/>
    </xf>
    <xf numFmtId="0" fontId="15" fillId="9" borderId="11" xfId="7" applyFont="1" applyBorder="1" applyAlignment="1" applyProtection="1">
      <alignment horizontal="center"/>
    </xf>
    <xf numFmtId="9" fontId="15" fillId="9" borderId="11" xfId="7" applyNumberFormat="1" applyFont="1" applyBorder="1" applyAlignment="1" applyProtection="1">
      <alignment horizontal="center"/>
    </xf>
    <xf numFmtId="44" fontId="14" fillId="9" borderId="11" xfId="7" applyNumberFormat="1" applyFont="1" applyBorder="1" applyAlignment="1" applyProtection="1">
      <alignment horizontal="center" vertical="center"/>
    </xf>
    <xf numFmtId="44" fontId="14" fillId="9" borderId="11" xfId="7" applyNumberFormat="1" applyFont="1" applyBorder="1" applyAlignment="1" applyProtection="1">
      <alignment horizontal="center"/>
    </xf>
    <xf numFmtId="0" fontId="14" fillId="6" borderId="11" xfId="0" applyFont="1" applyFill="1" applyBorder="1" applyAlignment="1" applyProtection="1">
      <alignment horizontal="center"/>
      <protection locked="0"/>
    </xf>
    <xf numFmtId="44" fontId="15" fillId="9" borderId="9" xfId="7" applyNumberFormat="1" applyFont="1" applyBorder="1" applyAlignment="1" applyProtection="1">
      <alignment horizontal="center"/>
    </xf>
    <xf numFmtId="2" fontId="24" fillId="9" borderId="11" xfId="7" applyNumberFormat="1" applyFont="1" applyBorder="1" applyAlignment="1" applyProtection="1">
      <alignment horizontal="center" vertical="center"/>
    </xf>
    <xf numFmtId="2" fontId="24" fillId="10" borderId="4" xfId="0" applyNumberFormat="1" applyFont="1" applyFill="1" applyBorder="1" applyAlignment="1">
      <alignment horizontal="center" vertical="center"/>
    </xf>
    <xf numFmtId="0" fontId="12" fillId="20" borderId="0" xfId="0" applyFont="1" applyFill="1" applyAlignment="1">
      <alignment horizontal="center" vertical="center"/>
    </xf>
    <xf numFmtId="44" fontId="12" fillId="19" borderId="0" xfId="1" applyFont="1" applyFill="1" applyBorder="1"/>
    <xf numFmtId="44" fontId="23" fillId="20" borderId="0" xfId="1" applyFont="1" applyFill="1" applyBorder="1"/>
    <xf numFmtId="44" fontId="23" fillId="20" borderId="0" xfId="0" applyNumberFormat="1" applyFont="1" applyFill="1"/>
    <xf numFmtId="44" fontId="0" fillId="21" borderId="0" xfId="1" applyFont="1" applyFill="1"/>
    <xf numFmtId="44" fontId="1" fillId="21" borderId="0" xfId="1" applyFont="1" applyFill="1"/>
    <xf numFmtId="43" fontId="0" fillId="21" borderId="0" xfId="8" applyFont="1" applyFill="1"/>
    <xf numFmtId="0" fontId="0" fillId="22" borderId="0" xfId="0" applyFill="1" applyAlignment="1">
      <alignment horizontal="center" vertical="center"/>
    </xf>
    <xf numFmtId="9" fontId="1" fillId="22" borderId="0" xfId="2" applyFont="1" applyFill="1" applyAlignment="1">
      <alignment horizontal="center" vertical="center"/>
    </xf>
    <xf numFmtId="10" fontId="1" fillId="22" borderId="0" xfId="2" applyNumberFormat="1" applyFont="1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9" fontId="1" fillId="15" borderId="0" xfId="2" applyFont="1" applyFill="1" applyAlignment="1">
      <alignment horizontal="center" vertical="center"/>
    </xf>
    <xf numFmtId="0" fontId="0" fillId="23" borderId="0" xfId="0" applyFill="1" applyAlignment="1">
      <alignment horizontal="center" vertical="center"/>
    </xf>
    <xf numFmtId="9" fontId="1" fillId="23" borderId="0" xfId="2" applyFont="1" applyFill="1" applyAlignment="1">
      <alignment horizontal="center" vertical="center"/>
    </xf>
    <xf numFmtId="10" fontId="1" fillId="23" borderId="0" xfId="2" applyNumberFormat="1" applyFont="1" applyFill="1" applyAlignment="1">
      <alignment horizontal="center" vertical="center"/>
    </xf>
    <xf numFmtId="164" fontId="1" fillId="22" borderId="0" xfId="2" applyNumberFormat="1" applyFont="1" applyFill="1" applyAlignment="1">
      <alignment horizontal="center" vertical="center"/>
    </xf>
    <xf numFmtId="0" fontId="12" fillId="16" borderId="0" xfId="0" applyFont="1" applyFill="1"/>
    <xf numFmtId="0" fontId="8" fillId="24" borderId="8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25" borderId="8" xfId="0" applyFont="1" applyFill="1" applyBorder="1" applyAlignment="1">
      <alignment horizontal="center" vertical="center" wrapText="1"/>
    </xf>
    <xf numFmtId="2" fontId="15" fillId="0" borderId="4" xfId="7" applyNumberFormat="1" applyFont="1" applyFill="1" applyBorder="1" applyAlignment="1" applyProtection="1">
      <alignment horizontal="center" vertical="center"/>
    </xf>
    <xf numFmtId="1" fontId="14" fillId="9" borderId="4" xfId="7" applyNumberFormat="1" applyFont="1" applyBorder="1" applyAlignment="1" applyProtection="1">
      <alignment horizontal="center" vertical="center"/>
    </xf>
    <xf numFmtId="44" fontId="13" fillId="26" borderId="0" xfId="0" applyNumberFormat="1" applyFont="1" applyFill="1"/>
    <xf numFmtId="0" fontId="18" fillId="17" borderId="0" xfId="0" applyFont="1" applyFill="1" applyAlignment="1">
      <alignment horizontal="center"/>
    </xf>
    <xf numFmtId="0" fontId="8" fillId="0" borderId="8" xfId="0" applyFont="1" applyBorder="1" applyAlignment="1">
      <alignment horizontal="center" vertical="center"/>
    </xf>
    <xf numFmtId="44" fontId="23" fillId="0" borderId="0" xfId="1" applyFont="1" applyFill="1" applyBorder="1"/>
    <xf numFmtId="44" fontId="25" fillId="0" borderId="0" xfId="1" applyFont="1" applyFill="1" applyBorder="1"/>
    <xf numFmtId="0" fontId="12" fillId="27" borderId="0" xfId="0" applyFont="1" applyFill="1" applyAlignment="1">
      <alignment horizontal="center" vertical="center"/>
    </xf>
    <xf numFmtId="44" fontId="0" fillId="23" borderId="0" xfId="0" applyNumberFormat="1" applyFill="1"/>
    <xf numFmtId="44" fontId="26" fillId="26" borderId="0" xfId="0" applyNumberFormat="1" applyFont="1" applyFill="1"/>
    <xf numFmtId="44" fontId="4" fillId="0" borderId="18" xfId="1" applyFont="1" applyBorder="1" applyAlignment="1" applyProtection="1"/>
    <xf numFmtId="44" fontId="4" fillId="0" borderId="19" xfId="1" applyFont="1" applyBorder="1" applyAlignment="1" applyProtection="1"/>
    <xf numFmtId="0" fontId="0" fillId="16" borderId="0" xfId="0" applyFill="1"/>
    <xf numFmtId="0" fontId="18" fillId="16" borderId="0" xfId="0" applyFont="1" applyFill="1"/>
    <xf numFmtId="1" fontId="15" fillId="9" borderId="3" xfId="7" applyNumberFormat="1" applyFont="1" applyBorder="1" applyAlignment="1" applyProtection="1">
      <alignment horizontal="center" vertical="center"/>
    </xf>
    <xf numFmtId="1" fontId="15" fillId="9" borderId="1" xfId="7" applyNumberFormat="1" applyFont="1" applyBorder="1" applyAlignment="1" applyProtection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 applyProtection="1">
      <alignment vertical="center"/>
      <protection locked="0"/>
    </xf>
    <xf numFmtId="0" fontId="4" fillId="0" borderId="0" xfId="0" applyFont="1" applyAlignment="1" applyProtection="1">
      <alignment wrapText="1"/>
      <protection locked="0"/>
    </xf>
    <xf numFmtId="0" fontId="3" fillId="0" borderId="0" xfId="0" applyFont="1" applyAlignment="1" applyProtection="1">
      <alignment vertical="center"/>
      <protection locked="0"/>
    </xf>
    <xf numFmtId="0" fontId="4" fillId="3" borderId="5" xfId="0" applyFont="1" applyFill="1" applyBorder="1" applyAlignment="1">
      <alignment vertical="center"/>
    </xf>
    <xf numFmtId="0" fontId="4" fillId="4" borderId="5" xfId="0" applyFont="1" applyFill="1" applyBorder="1" applyAlignment="1">
      <alignment vertical="center"/>
    </xf>
    <xf numFmtId="0" fontId="3" fillId="0" borderId="0" xfId="0" applyFont="1" applyAlignment="1">
      <alignment horizontal="center" vertical="center" wrapText="1"/>
    </xf>
    <xf numFmtId="2" fontId="28" fillId="9" borderId="11" xfId="7" applyNumberFormat="1" applyFont="1" applyBorder="1" applyAlignment="1" applyProtection="1">
      <alignment horizontal="center" vertical="center"/>
    </xf>
    <xf numFmtId="2" fontId="28" fillId="10" borderId="4" xfId="0" applyNumberFormat="1" applyFont="1" applyFill="1" applyBorder="1" applyAlignment="1">
      <alignment horizontal="center" vertical="center"/>
    </xf>
    <xf numFmtId="2" fontId="14" fillId="9" borderId="4" xfId="7" applyNumberFormat="1" applyFont="1" applyBorder="1" applyAlignment="1" applyProtection="1">
      <alignment horizontal="center" vertical="center"/>
    </xf>
    <xf numFmtId="2" fontId="14" fillId="10" borderId="4" xfId="0" applyNumberFormat="1" applyFont="1" applyFill="1" applyBorder="1" applyAlignment="1">
      <alignment horizontal="center" vertical="center"/>
    </xf>
    <xf numFmtId="0" fontId="14" fillId="0" borderId="17" xfId="0" applyFont="1" applyBorder="1" applyAlignment="1">
      <alignment wrapText="1"/>
    </xf>
    <xf numFmtId="0" fontId="14" fillId="0" borderId="1" xfId="0" applyFont="1" applyBorder="1" applyAlignment="1">
      <alignment wrapText="1"/>
    </xf>
    <xf numFmtId="2" fontId="14" fillId="0" borderId="4" xfId="7" applyNumberFormat="1" applyFont="1" applyFill="1" applyBorder="1" applyAlignment="1" applyProtection="1">
      <alignment horizontal="center" vertical="center"/>
    </xf>
    <xf numFmtId="2" fontId="14" fillId="10" borderId="0" xfId="0" applyNumberFormat="1" applyFont="1" applyFill="1" applyAlignment="1">
      <alignment horizontal="center" vertical="center"/>
    </xf>
    <xf numFmtId="0" fontId="5" fillId="0" borderId="0" xfId="0" applyFont="1"/>
    <xf numFmtId="0" fontId="30" fillId="6" borderId="4" xfId="0" applyFont="1" applyFill="1" applyBorder="1" applyAlignment="1" applyProtection="1">
      <alignment horizontal="center"/>
      <protection locked="0"/>
    </xf>
    <xf numFmtId="44" fontId="30" fillId="10" borderId="4" xfId="1" applyFont="1" applyFill="1" applyBorder="1" applyAlignment="1">
      <alignment horizontal="center"/>
    </xf>
    <xf numFmtId="44" fontId="31" fillId="10" borderId="3" xfId="1" applyFont="1" applyFill="1" applyBorder="1" applyAlignment="1">
      <alignment horizontal="center"/>
    </xf>
    <xf numFmtId="0" fontId="14" fillId="10" borderId="3" xfId="0" applyFont="1" applyFill="1" applyBorder="1" applyAlignment="1">
      <alignment horizontal="left" vertical="center"/>
    </xf>
    <xf numFmtId="0" fontId="14" fillId="0" borderId="2" xfId="0" applyFont="1" applyBorder="1"/>
    <xf numFmtId="0" fontId="27" fillId="9" borderId="3" xfId="7" applyFont="1" applyBorder="1" applyAlignment="1" applyProtection="1">
      <alignment horizontal="left" vertical="center"/>
    </xf>
    <xf numFmtId="0" fontId="27" fillId="0" borderId="2" xfId="0" applyFont="1" applyBorder="1"/>
    <xf numFmtId="0" fontId="14" fillId="9" borderId="3" xfId="7" applyFont="1" applyBorder="1" applyAlignment="1" applyProtection="1">
      <alignment horizontal="left" vertical="center"/>
    </xf>
    <xf numFmtId="0" fontId="14" fillId="9" borderId="9" xfId="7" applyFont="1" applyBorder="1" applyAlignment="1" applyProtection="1">
      <alignment horizontal="left" vertical="center"/>
    </xf>
    <xf numFmtId="0" fontId="14" fillId="0" borderId="10" xfId="0" applyFont="1" applyBorder="1"/>
    <xf numFmtId="0" fontId="14" fillId="10" borderId="2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2" borderId="5" xfId="0" applyFont="1" applyFill="1" applyBorder="1" applyAlignment="1">
      <alignment horizontal="left"/>
    </xf>
    <xf numFmtId="0" fontId="4" fillId="2" borderId="7" xfId="0" applyFont="1" applyFill="1" applyBorder="1" applyAlignment="1">
      <alignment horizontal="left"/>
    </xf>
    <xf numFmtId="0" fontId="4" fillId="4" borderId="5" xfId="0" applyFont="1" applyFill="1" applyBorder="1" applyAlignment="1">
      <alignment horizontal="left"/>
    </xf>
    <xf numFmtId="0" fontId="4" fillId="4" borderId="7" xfId="0" applyFont="1" applyFill="1" applyBorder="1" applyAlignment="1">
      <alignment horizontal="left"/>
    </xf>
    <xf numFmtId="1" fontId="4" fillId="6" borderId="5" xfId="0" applyNumberFormat="1" applyFont="1" applyFill="1" applyBorder="1" applyAlignment="1" applyProtection="1">
      <alignment horizontal="center" vertical="center"/>
      <protection locked="0"/>
    </xf>
    <xf numFmtId="1" fontId="4" fillId="6" borderId="7" xfId="0" applyNumberFormat="1" applyFont="1" applyFill="1" applyBorder="1" applyAlignment="1" applyProtection="1">
      <alignment horizontal="center" vertical="center"/>
      <protection locked="0"/>
    </xf>
    <xf numFmtId="0" fontId="4" fillId="6" borderId="5" xfId="0" applyFont="1" applyFill="1" applyBorder="1" applyAlignment="1" applyProtection="1">
      <alignment horizontal="center" vertical="center"/>
      <protection locked="0"/>
    </xf>
    <xf numFmtId="0" fontId="4" fillId="6" borderId="7" xfId="0" applyFont="1" applyFill="1" applyBorder="1" applyAlignment="1" applyProtection="1">
      <alignment horizontal="center" vertical="center"/>
      <protection locked="0"/>
    </xf>
    <xf numFmtId="0" fontId="29" fillId="6" borderId="20" xfId="0" applyFont="1" applyFill="1" applyBorder="1" applyAlignment="1">
      <alignment horizontal="center" vertical="center" wrapText="1"/>
    </xf>
    <xf numFmtId="0" fontId="29" fillId="6" borderId="13" xfId="0" applyFont="1" applyFill="1" applyBorder="1" applyAlignment="1">
      <alignment horizontal="center" vertical="center" wrapText="1"/>
    </xf>
    <xf numFmtId="0" fontId="29" fillId="6" borderId="14" xfId="0" applyFont="1" applyFill="1" applyBorder="1" applyAlignment="1">
      <alignment horizontal="center" vertical="center" wrapText="1"/>
    </xf>
    <xf numFmtId="0" fontId="29" fillId="6" borderId="21" xfId="0" applyFont="1" applyFill="1" applyBorder="1" applyAlignment="1">
      <alignment horizontal="center" vertical="center" wrapText="1"/>
    </xf>
    <xf numFmtId="0" fontId="29" fillId="6" borderId="0" xfId="0" applyFont="1" applyFill="1" applyAlignment="1">
      <alignment horizontal="center" vertical="center" wrapText="1"/>
    </xf>
    <xf numFmtId="0" fontId="29" fillId="6" borderId="22" xfId="0" applyFont="1" applyFill="1" applyBorder="1" applyAlignment="1">
      <alignment horizontal="center" vertical="center" wrapText="1"/>
    </xf>
    <xf numFmtId="0" fontId="29" fillId="6" borderId="23" xfId="0" applyFont="1" applyFill="1" applyBorder="1" applyAlignment="1">
      <alignment horizontal="center" vertical="center" wrapText="1"/>
    </xf>
    <xf numFmtId="0" fontId="29" fillId="6" borderId="15" xfId="0" applyFont="1" applyFill="1" applyBorder="1" applyAlignment="1">
      <alignment horizontal="center" vertical="center" wrapText="1"/>
    </xf>
    <xf numFmtId="0" fontId="29" fillId="6" borderId="16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2" fontId="14" fillId="10" borderId="4" xfId="9" applyNumberFormat="1" applyFont="1" applyFill="1" applyBorder="1" applyAlignment="1" applyProtection="1">
      <alignment horizontal="center" vertical="center"/>
    </xf>
    <xf numFmtId="44" fontId="15" fillId="10" borderId="4" xfId="9" applyFont="1" applyFill="1" applyBorder="1" applyAlignment="1" applyProtection="1">
      <alignment horizontal="center"/>
    </xf>
    <xf numFmtId="1" fontId="0" fillId="0" borderId="0" xfId="0" applyNumberFormat="1"/>
    <xf numFmtId="44" fontId="14" fillId="10" borderId="4" xfId="7" applyNumberFormat="1" applyFont="1" applyFill="1" applyBorder="1" applyAlignment="1" applyProtection="1">
      <alignment horizontal="center" vertical="center"/>
    </xf>
  </cellXfs>
  <cellStyles count="10">
    <cellStyle name="20% - Ênfase1" xfId="7" builtinId="30"/>
    <cellStyle name="60% - Ênfase6" xfId="6" builtinId="52"/>
    <cellStyle name="Ênfase6" xfId="5" builtinId="49"/>
    <cellStyle name="Moeda" xfId="1" builtinId="4"/>
    <cellStyle name="Moeda 2" xfId="9" xr:uid="{D83C07E2-8257-49D3-B340-858AD16D5917}"/>
    <cellStyle name="Normal" xfId="0" builtinId="0"/>
    <cellStyle name="Normal 2" xfId="3" xr:uid="{A02CE255-26F3-49A7-86BB-58490675A6B3}"/>
    <cellStyle name="Porcentagem" xfId="2" builtinId="5"/>
    <cellStyle name="Porcentagem 2" xfId="4" xr:uid="{38775B3A-D0CF-4D02-83B7-34A4114CECF1}"/>
    <cellStyle name="Vírgula" xfId="8" builtinId="3"/>
  </cellStyles>
  <dxfs count="3"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00FF"/>
      <color rgb="FF00FFFF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33618</xdr:colOff>
      <xdr:row>0</xdr:row>
      <xdr:rowOff>0</xdr:rowOff>
    </xdr:from>
    <xdr:to>
      <xdr:col>2</xdr:col>
      <xdr:colOff>949137</xdr:colOff>
      <xdr:row>5</xdr:row>
      <xdr:rowOff>193511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CC63D02-1FDB-4C7E-81DD-CCC51E8D2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294" y="0"/>
          <a:ext cx="2666999" cy="1331170"/>
        </a:xfrm>
        <a:prstGeom prst="rect">
          <a:avLst/>
        </a:prstGeom>
      </xdr:spPr>
    </xdr:pic>
    <xdr:clientData/>
  </xdr:twoCellAnchor>
  <xdr:twoCellAnchor>
    <xdr:from>
      <xdr:col>7</xdr:col>
      <xdr:colOff>234650</xdr:colOff>
      <xdr:row>3</xdr:row>
      <xdr:rowOff>78104</xdr:rowOff>
    </xdr:from>
    <xdr:to>
      <xdr:col>8</xdr:col>
      <xdr:colOff>927511</xdr:colOff>
      <xdr:row>5</xdr:row>
      <xdr:rowOff>147918</xdr:rowOff>
    </xdr:to>
    <xdr:sp macro="" textlink="">
      <xdr:nvSpPr>
        <xdr:cNvPr id="3" name="Seta: para a Direita 2">
          <a:extLst>
            <a:ext uri="{FF2B5EF4-FFF2-40B4-BE49-F238E27FC236}">
              <a16:creationId xmlns:a16="http://schemas.microsoft.com/office/drawing/2014/main" id="{977EC815-3459-26C2-1C9B-F3963F74E7E2}"/>
            </a:ext>
          </a:extLst>
        </xdr:cNvPr>
        <xdr:cNvSpPr/>
      </xdr:nvSpPr>
      <xdr:spPr>
        <a:xfrm>
          <a:off x="9405544" y="669775"/>
          <a:ext cx="1947920" cy="607696"/>
        </a:xfrm>
        <a:prstGeom prst="rightArrow">
          <a:avLst/>
        </a:prstGeom>
        <a:solidFill>
          <a:srgbClr val="FFFF00"/>
        </a:solidFill>
        <a:ln w="19050">
          <a:solidFill>
            <a:schemeClr val="tx1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0</xdr:row>
      <xdr:rowOff>0</xdr:rowOff>
    </xdr:from>
    <xdr:to>
      <xdr:col>1</xdr:col>
      <xdr:colOff>1664975</xdr:colOff>
      <xdr:row>3</xdr:row>
      <xdr:rowOff>110938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D33DD3D-E756-45E7-BFA7-1123B6B8C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0"/>
          <a:ext cx="1543055" cy="7600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apapacombr-my.sharepoint.com/personal/bi_papapa_com_br/Documents/PAPAP&#193;/01%20Comercial%20-%20Fabio/TABELAS%20DE%20PRE&#199;OS%2023/A%20GEST&#195;O%20PRE&#199;OS%20TABELA/Tributa&#231;&#227;o%20cereais%20e%20biscoitos%20USAR%20ESTA%201%20FEV%202024.xlsx" TargetMode="External"/><Relationship Id="rId1" Type="http://schemas.openxmlformats.org/officeDocument/2006/relationships/externalLinkPath" Target="https://papapacombr.sharepoint.com/personal/bi_papapa_com_br/Documents/PAPAP&#193;/01%20Comercial%20-%20Fabio/TABELAS%20DE%20PRE&#199;OS%2023/A%20GEST&#195;O%20PRE&#199;OS%20TABELA/Tributa&#231;&#227;o%20cereais%20e%20biscoitos%20USAR%20ESTA%201%20FEV%202024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iogo\Documents\Tabela%20de%20pre&#231;os%20Papap&#225;%200325E%20v2%20A.xlsx" TargetMode="External"/><Relationship Id="rId1" Type="http://schemas.openxmlformats.org/officeDocument/2006/relationships/externalLinkPath" Target="Tabela%20de%20pre&#231;os%20Papap&#225;%200325E%20v2%20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FAL"/>
      <sheetName val="Cereais"/>
      <sheetName val="Biscoitos"/>
    </sheetNames>
    <sheetDataSet>
      <sheetData sheetId="0" refreshError="1">
        <row r="13">
          <cell r="C13" t="str">
            <v>AC</v>
          </cell>
          <cell r="D13">
            <v>0.04</v>
          </cell>
          <cell r="E13">
            <v>7.0000000000000007E-2</v>
          </cell>
          <cell r="F13" t="str">
            <v>6106</v>
          </cell>
          <cell r="G13">
            <v>0.17</v>
          </cell>
          <cell r="H13">
            <v>0.19</v>
          </cell>
        </row>
        <row r="14">
          <cell r="C14" t="str">
            <v>AL</v>
          </cell>
          <cell r="D14">
            <v>0.04</v>
          </cell>
          <cell r="E14">
            <v>7.0000000000000007E-2</v>
          </cell>
          <cell r="F14" t="str">
            <v>6106</v>
          </cell>
          <cell r="G14" t="str">
            <v>17% +1%</v>
          </cell>
          <cell r="H14" t="str">
            <v>19%+1%</v>
          </cell>
        </row>
        <row r="15">
          <cell r="C15" t="str">
            <v>AM</v>
          </cell>
          <cell r="D15">
            <v>0.04</v>
          </cell>
          <cell r="E15">
            <v>7.0000000000000007E-2</v>
          </cell>
          <cell r="F15" t="str">
            <v>6106</v>
          </cell>
          <cell r="G15">
            <v>0.18</v>
          </cell>
          <cell r="H15">
            <v>0.2</v>
          </cell>
        </row>
        <row r="16">
          <cell r="C16" t="str">
            <v>AP</v>
          </cell>
          <cell r="D16">
            <v>0.04</v>
          </cell>
          <cell r="E16">
            <v>7.0000000000000007E-2</v>
          </cell>
          <cell r="F16" t="str">
            <v>6106</v>
          </cell>
          <cell r="G16">
            <v>0.18</v>
          </cell>
          <cell r="H16">
            <v>0</v>
          </cell>
        </row>
        <row r="17">
          <cell r="C17" t="str">
            <v>BA</v>
          </cell>
          <cell r="D17">
            <v>0.04</v>
          </cell>
          <cell r="E17">
            <v>7.0000000000000007E-2</v>
          </cell>
          <cell r="F17" t="str">
            <v>6106</v>
          </cell>
          <cell r="G17">
            <v>0.18</v>
          </cell>
          <cell r="H17">
            <v>0.19</v>
          </cell>
        </row>
        <row r="18">
          <cell r="C18" t="str">
            <v>CE</v>
          </cell>
          <cell r="D18">
            <v>0.04</v>
          </cell>
          <cell r="E18">
            <v>7.0000000000000007E-2</v>
          </cell>
          <cell r="F18" t="str">
            <v>6106</v>
          </cell>
          <cell r="G18">
            <v>0.18</v>
          </cell>
          <cell r="H18">
            <v>0.2</v>
          </cell>
        </row>
        <row r="19">
          <cell r="C19" t="str">
            <v>DF</v>
          </cell>
          <cell r="D19">
            <v>0.04</v>
          </cell>
          <cell r="E19">
            <v>7.0000000000000007E-2</v>
          </cell>
          <cell r="F19" t="str">
            <v>6106</v>
          </cell>
          <cell r="G19">
            <v>0.18</v>
          </cell>
          <cell r="H19">
            <v>0</v>
          </cell>
        </row>
        <row r="20">
          <cell r="C20" t="str">
            <v>ES</v>
          </cell>
          <cell r="D20">
            <v>0.04</v>
          </cell>
          <cell r="E20">
            <v>7.0000000000000007E-2</v>
          </cell>
          <cell r="F20" t="str">
            <v>6106</v>
          </cell>
          <cell r="G20">
            <v>0.17</v>
          </cell>
          <cell r="H20">
            <v>0</v>
          </cell>
        </row>
        <row r="21">
          <cell r="C21" t="str">
            <v>GO</v>
          </cell>
          <cell r="D21">
            <v>0.04</v>
          </cell>
          <cell r="E21">
            <v>7.0000000000000007E-2</v>
          </cell>
          <cell r="F21" t="str">
            <v>6106</v>
          </cell>
          <cell r="G21">
            <v>0.17</v>
          </cell>
          <cell r="H21">
            <v>0</v>
          </cell>
        </row>
        <row r="22">
          <cell r="C22" t="str">
            <v>MA</v>
          </cell>
          <cell r="D22">
            <v>0.04</v>
          </cell>
          <cell r="E22">
            <v>7.0000000000000007E-2</v>
          </cell>
          <cell r="F22" t="str">
            <v>6106</v>
          </cell>
          <cell r="G22">
            <v>0.18</v>
          </cell>
          <cell r="H22">
            <v>0.2</v>
          </cell>
        </row>
        <row r="23">
          <cell r="C23" t="str">
            <v>MG</v>
          </cell>
          <cell r="D23">
            <v>0.04</v>
          </cell>
          <cell r="E23">
            <v>0.12</v>
          </cell>
          <cell r="F23" t="str">
            <v>6106</v>
          </cell>
          <cell r="G23">
            <v>0.18</v>
          </cell>
          <cell r="H23">
            <v>0</v>
          </cell>
        </row>
        <row r="24">
          <cell r="C24" t="str">
            <v>MS</v>
          </cell>
          <cell r="D24">
            <v>0.04</v>
          </cell>
          <cell r="E24">
            <v>7.0000000000000007E-2</v>
          </cell>
          <cell r="F24" t="str">
            <v>6106</v>
          </cell>
          <cell r="G24">
            <v>0.17</v>
          </cell>
          <cell r="H24">
            <v>0</v>
          </cell>
        </row>
        <row r="25">
          <cell r="C25" t="str">
            <v>MT</v>
          </cell>
          <cell r="D25">
            <v>0.04</v>
          </cell>
          <cell r="E25">
            <v>7.0000000000000007E-2</v>
          </cell>
          <cell r="F25" t="str">
            <v>6106</v>
          </cell>
          <cell r="G25">
            <v>0.17</v>
          </cell>
          <cell r="H25">
            <v>0</v>
          </cell>
        </row>
        <row r="26">
          <cell r="C26" t="str">
            <v>PA</v>
          </cell>
          <cell r="D26">
            <v>0.04</v>
          </cell>
          <cell r="E26">
            <v>7.0000000000000007E-2</v>
          </cell>
          <cell r="F26" t="str">
            <v>6106</v>
          </cell>
          <cell r="G26">
            <v>0.17</v>
          </cell>
          <cell r="H26">
            <v>0.19</v>
          </cell>
        </row>
        <row r="27">
          <cell r="C27" t="str">
            <v>PR</v>
          </cell>
          <cell r="D27">
            <v>0</v>
          </cell>
          <cell r="E27">
            <v>0</v>
          </cell>
          <cell r="F27">
            <v>0</v>
          </cell>
          <cell r="G27">
            <v>0.18</v>
          </cell>
          <cell r="H27">
            <v>0.19</v>
          </cell>
        </row>
        <row r="28">
          <cell r="C28" t="str">
            <v>PE</v>
          </cell>
          <cell r="D28">
            <v>0.04</v>
          </cell>
          <cell r="E28">
            <v>7.0000000000000007E-2</v>
          </cell>
          <cell r="F28" t="str">
            <v>6106</v>
          </cell>
          <cell r="G28">
            <v>0.18</v>
          </cell>
          <cell r="H28">
            <v>0</v>
          </cell>
        </row>
        <row r="29">
          <cell r="C29" t="str">
            <v>PB</v>
          </cell>
          <cell r="D29">
            <v>0.04</v>
          </cell>
          <cell r="E29">
            <v>7.0000000000000007E-2</v>
          </cell>
          <cell r="F29" t="str">
            <v>6106</v>
          </cell>
          <cell r="G29">
            <v>0.18</v>
          </cell>
          <cell r="H29">
            <v>0</v>
          </cell>
        </row>
        <row r="30">
          <cell r="C30" t="str">
            <v>PI</v>
          </cell>
          <cell r="D30">
            <v>0.04</v>
          </cell>
          <cell r="E30">
            <v>7.0000000000000007E-2</v>
          </cell>
          <cell r="F30" t="str">
            <v>6106</v>
          </cell>
          <cell r="G30" t="str">
            <v>17% + 1%</v>
          </cell>
          <cell r="H30">
            <v>0.21</v>
          </cell>
        </row>
        <row r="31">
          <cell r="C31" t="str">
            <v>RJ</v>
          </cell>
          <cell r="D31">
            <v>0.04</v>
          </cell>
          <cell r="E31">
            <v>0.12</v>
          </cell>
          <cell r="F31" t="str">
            <v>6106</v>
          </cell>
          <cell r="G31" t="str">
            <v>18%+2%</v>
          </cell>
          <cell r="H31">
            <v>0</v>
          </cell>
        </row>
        <row r="32">
          <cell r="C32" t="str">
            <v>RN</v>
          </cell>
          <cell r="D32">
            <v>0.04</v>
          </cell>
          <cell r="E32">
            <v>7.0000000000000007E-2</v>
          </cell>
          <cell r="F32" t="str">
            <v>6106</v>
          </cell>
          <cell r="G32">
            <v>0.18</v>
          </cell>
          <cell r="H32">
            <v>0.2</v>
          </cell>
        </row>
        <row r="33">
          <cell r="C33" t="str">
            <v>RO</v>
          </cell>
          <cell r="D33">
            <v>0.04</v>
          </cell>
          <cell r="E33">
            <v>7.0000000000000007E-2</v>
          </cell>
          <cell r="F33" t="str">
            <v>6106</v>
          </cell>
          <cell r="G33">
            <v>0.17499999999999999</v>
          </cell>
          <cell r="H33">
            <v>0</v>
          </cell>
        </row>
        <row r="34">
          <cell r="C34" t="str">
            <v>RR</v>
          </cell>
          <cell r="D34">
            <v>0.04</v>
          </cell>
          <cell r="E34">
            <v>7.0000000000000007E-2</v>
          </cell>
          <cell r="F34" t="str">
            <v>6106</v>
          </cell>
          <cell r="G34">
            <v>0.17</v>
          </cell>
          <cell r="H34">
            <v>0.2</v>
          </cell>
        </row>
        <row r="35">
          <cell r="C35" t="str">
            <v>RS</v>
          </cell>
          <cell r="D35">
            <v>0.04</v>
          </cell>
          <cell r="E35">
            <v>0.12</v>
          </cell>
          <cell r="F35" t="str">
            <v>6106</v>
          </cell>
          <cell r="G35">
            <v>0.17</v>
          </cell>
          <cell r="H35">
            <v>0</v>
          </cell>
        </row>
        <row r="36">
          <cell r="C36" t="str">
            <v>SC</v>
          </cell>
          <cell r="D36">
            <v>0.04</v>
          </cell>
          <cell r="E36">
            <v>0.12</v>
          </cell>
          <cell r="F36" t="str">
            <v>6106</v>
          </cell>
          <cell r="G36">
            <v>0.17</v>
          </cell>
          <cell r="H36">
            <v>0</v>
          </cell>
        </row>
        <row r="37">
          <cell r="C37" t="str">
            <v>SE</v>
          </cell>
          <cell r="D37">
            <v>0.04</v>
          </cell>
          <cell r="E37">
            <v>7.0000000000000007E-2</v>
          </cell>
          <cell r="F37" t="str">
            <v>6106</v>
          </cell>
          <cell r="G37">
            <v>0.18</v>
          </cell>
          <cell r="H37" t="str">
            <v>19% + 1%</v>
          </cell>
        </row>
        <row r="38">
          <cell r="C38" t="str">
            <v>SP</v>
          </cell>
          <cell r="D38">
            <v>0.04</v>
          </cell>
          <cell r="E38">
            <v>0.12</v>
          </cell>
          <cell r="F38" t="str">
            <v>6106</v>
          </cell>
          <cell r="G38">
            <v>0.18</v>
          </cell>
          <cell r="H38">
            <v>0</v>
          </cell>
        </row>
        <row r="39">
          <cell r="C39" t="str">
            <v>TO</v>
          </cell>
          <cell r="D39">
            <v>0.04</v>
          </cell>
          <cell r="E39">
            <v>7.0000000000000007E-2</v>
          </cell>
          <cell r="F39" t="str">
            <v>6106</v>
          </cell>
          <cell r="G39">
            <v>0.18</v>
          </cell>
          <cell r="H39">
            <v>0.2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ELA"/>
      <sheetName val="DADOS"/>
      <sheetName val="Planilha1"/>
      <sheetName val="ST BISCOITINHOS"/>
      <sheetName val="ST PAPAPASTA"/>
      <sheetName val="ST PALITINHOS"/>
      <sheetName val="ST BISCOTTI"/>
      <sheetName val="ST CEREAL"/>
      <sheetName val="ST CEREAL SABOR POUCH 170"/>
      <sheetName val="ST MULTI 170 POUCH"/>
      <sheetName val="ST MULTI 500 POUCH"/>
      <sheetName val="PREÇOS"/>
      <sheetName val="PSC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Estado</v>
          </cell>
          <cell r="B1" t="str">
            <v>Aliquota interestadual</v>
          </cell>
        </row>
        <row r="2">
          <cell r="A2" t="str">
            <v>AC</v>
          </cell>
          <cell r="B2">
            <v>7.0000000000000007E-2</v>
          </cell>
        </row>
        <row r="3">
          <cell r="A3" t="str">
            <v>AL</v>
          </cell>
          <cell r="B3">
            <v>7.0000000000000007E-2</v>
          </cell>
        </row>
        <row r="4">
          <cell r="A4" t="str">
            <v>AM</v>
          </cell>
          <cell r="B4">
            <v>7.0000000000000007E-2</v>
          </cell>
        </row>
        <row r="5">
          <cell r="A5" t="str">
            <v>AP</v>
          </cell>
          <cell r="B5">
            <v>7.0000000000000007E-2</v>
          </cell>
        </row>
        <row r="6">
          <cell r="A6" t="str">
            <v>BA</v>
          </cell>
          <cell r="B6">
            <v>7.0000000000000007E-2</v>
          </cell>
        </row>
        <row r="7">
          <cell r="A7" t="str">
            <v>CE</v>
          </cell>
          <cell r="B7">
            <v>7.0000000000000007E-2</v>
          </cell>
        </row>
        <row r="8">
          <cell r="A8" t="str">
            <v>DF</v>
          </cell>
          <cell r="B8">
            <v>7.0000000000000007E-2</v>
          </cell>
        </row>
        <row r="9">
          <cell r="A9" t="str">
            <v>ES</v>
          </cell>
          <cell r="B9">
            <v>7.0000000000000007E-2</v>
          </cell>
        </row>
        <row r="10">
          <cell r="A10" t="str">
            <v>GO</v>
          </cell>
          <cell r="B10">
            <v>7.0000000000000007E-2</v>
          </cell>
        </row>
        <row r="11">
          <cell r="A11" t="str">
            <v>MA</v>
          </cell>
          <cell r="B11">
            <v>7.0000000000000007E-2</v>
          </cell>
        </row>
        <row r="12">
          <cell r="A12" t="str">
            <v>MG</v>
          </cell>
          <cell r="B12">
            <v>0.12</v>
          </cell>
        </row>
        <row r="13">
          <cell r="A13" t="str">
            <v>MS</v>
          </cell>
          <cell r="B13">
            <v>7.0000000000000007E-2</v>
          </cell>
        </row>
        <row r="14">
          <cell r="A14" t="str">
            <v>MT</v>
          </cell>
          <cell r="B14">
            <v>7.0000000000000007E-2</v>
          </cell>
        </row>
        <row r="15">
          <cell r="A15" t="str">
            <v>PA</v>
          </cell>
          <cell r="B15">
            <v>7.0000000000000007E-2</v>
          </cell>
        </row>
        <row r="16">
          <cell r="A16" t="str">
            <v>PB</v>
          </cell>
          <cell r="B16">
            <v>7.0000000000000007E-2</v>
          </cell>
        </row>
        <row r="17">
          <cell r="A17" t="str">
            <v>PE</v>
          </cell>
          <cell r="B17">
            <v>7.0000000000000007E-2</v>
          </cell>
        </row>
        <row r="18">
          <cell r="A18" t="str">
            <v>PI</v>
          </cell>
          <cell r="B18">
            <v>7.0000000000000007E-2</v>
          </cell>
        </row>
        <row r="19">
          <cell r="A19" t="str">
            <v>PR</v>
          </cell>
          <cell r="B19">
            <v>0.12</v>
          </cell>
        </row>
        <row r="20">
          <cell r="A20" t="str">
            <v>RJ</v>
          </cell>
          <cell r="B20">
            <v>0.12</v>
          </cell>
        </row>
        <row r="21">
          <cell r="A21" t="str">
            <v>RN</v>
          </cell>
          <cell r="B21">
            <v>7.0000000000000007E-2</v>
          </cell>
        </row>
        <row r="22">
          <cell r="A22" t="str">
            <v>RO</v>
          </cell>
          <cell r="B22">
            <v>7.0000000000000007E-2</v>
          </cell>
        </row>
        <row r="23">
          <cell r="A23" t="str">
            <v>RR</v>
          </cell>
          <cell r="B23">
            <v>7.0000000000000007E-2</v>
          </cell>
        </row>
        <row r="24">
          <cell r="A24" t="str">
            <v>RS</v>
          </cell>
          <cell r="B24">
            <v>0.12</v>
          </cell>
        </row>
        <row r="25">
          <cell r="A25" t="str">
            <v>SC</v>
          </cell>
          <cell r="B25">
            <v>0.12</v>
          </cell>
        </row>
        <row r="26">
          <cell r="A26" t="str">
            <v>SE</v>
          </cell>
          <cell r="B26">
            <v>7.0000000000000007E-2</v>
          </cell>
        </row>
        <row r="27">
          <cell r="A27" t="str">
            <v>SP</v>
          </cell>
          <cell r="B27">
            <v>0.12</v>
          </cell>
        </row>
        <row r="28">
          <cell r="A28" t="str">
            <v>SP/Atacado</v>
          </cell>
          <cell r="B28">
            <v>0.12</v>
          </cell>
        </row>
        <row r="29">
          <cell r="A29" t="str">
            <v>TO</v>
          </cell>
          <cell r="B29">
            <v>7.0000000000000007E-2</v>
          </cell>
        </row>
        <row r="30">
          <cell r="A30" t="str">
            <v>EX</v>
          </cell>
        </row>
      </sheetData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3-08-19T19:58:57.77" personId="{00000000-0000-0000-0000-000000000000}" id="{4C8B391A-43D0-427D-B1A4-1562D0816930}">
    <text>IMPORTADO</text>
  </threadedComment>
  <threadedComment ref="D2" dT="2023-08-19T19:59:16.67" personId="{00000000-0000-0000-0000-000000000000}" id="{224CF3DE-AAC5-4DD1-B1E2-A7CCE9C4DEDD}">
    <text>IMPORTADO</text>
  </threadedComment>
  <threadedComment ref="R2" dT="2023-08-19T19:58:57.77" personId="{00000000-0000-0000-0000-000000000000}" id="{9750D224-49A6-4723-A8E0-26D93E3D1C17}">
    <text>IMPORTADO</text>
  </threadedComment>
  <threadedComment ref="T2" dT="2023-08-19T19:59:16.67" personId="{00000000-0000-0000-0000-000000000000}" id="{DB542AA2-FBF0-4F07-A1E1-043566107B7A}">
    <text>IMPORTADO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tabColor theme="4" tint="-0.249977111117893"/>
    <pageSetUpPr fitToPage="1"/>
  </sheetPr>
  <dimension ref="A1:U65"/>
  <sheetViews>
    <sheetView showGridLines="0" tabSelected="1" zoomScale="85" zoomScaleNormal="85" workbookViewId="0">
      <selection activeCell="E51" sqref="E51"/>
    </sheetView>
  </sheetViews>
  <sheetFormatPr defaultRowHeight="15" x14ac:dyDescent="0.25"/>
  <cols>
    <col min="1" max="1" width="2.140625" customWidth="1"/>
    <col min="2" max="2" width="26.5703125" customWidth="1"/>
    <col min="3" max="3" width="33.42578125" customWidth="1"/>
    <col min="4" max="13" width="18.85546875" customWidth="1"/>
    <col min="14" max="14" width="9.5703125" customWidth="1"/>
    <col min="15" max="15" width="14.140625" bestFit="1" customWidth="1"/>
    <col min="16" max="16" width="17.85546875" bestFit="1" customWidth="1"/>
    <col min="20" max="20" width="19.140625" customWidth="1"/>
  </cols>
  <sheetData>
    <row r="1" spans="1:21" ht="15.75" thickBot="1" x14ac:dyDescent="0.3"/>
    <row r="2" spans="1:21" ht="15.75" thickBot="1" x14ac:dyDescent="0.3">
      <c r="D2" s="164" t="s">
        <v>146</v>
      </c>
      <c r="E2" s="165"/>
      <c r="F2" s="165"/>
      <c r="G2" s="166"/>
    </row>
    <row r="3" spans="1:21" ht="15.75" thickBot="1" x14ac:dyDescent="0.3">
      <c r="D3" s="167"/>
      <c r="E3" s="168"/>
      <c r="F3" s="168"/>
      <c r="G3" s="169"/>
      <c r="J3" s="129" t="s">
        <v>150</v>
      </c>
      <c r="K3" s="160"/>
      <c r="L3" s="161"/>
    </row>
    <row r="4" spans="1:21" ht="15.75" thickBot="1" x14ac:dyDescent="0.3">
      <c r="D4" s="167"/>
      <c r="E4" s="168"/>
      <c r="F4" s="168"/>
      <c r="G4" s="169"/>
    </row>
    <row r="5" spans="1:21" ht="27" customHeight="1" thickBot="1" x14ac:dyDescent="0.3">
      <c r="D5" s="167"/>
      <c r="E5" s="168"/>
      <c r="F5" s="168"/>
      <c r="G5" s="169"/>
      <c r="J5" s="129" t="s">
        <v>4</v>
      </c>
      <c r="K5" s="162" t="s">
        <v>110</v>
      </c>
      <c r="L5" s="163"/>
    </row>
    <row r="6" spans="1:21" ht="17.25" customHeight="1" thickBot="1" x14ac:dyDescent="0.35">
      <c r="A6" s="34"/>
      <c r="B6" s="34"/>
      <c r="C6" s="41"/>
      <c r="D6" s="167"/>
      <c r="E6" s="168"/>
      <c r="F6" s="168"/>
      <c r="G6" s="169"/>
      <c r="U6" s="34"/>
    </row>
    <row r="7" spans="1:21" ht="22.5" customHeight="1" thickBot="1" x14ac:dyDescent="0.35">
      <c r="A7" s="34"/>
      <c r="B7" s="125"/>
      <c r="C7" s="41"/>
      <c r="D7" s="170"/>
      <c r="E7" s="171"/>
      <c r="F7" s="171"/>
      <c r="G7" s="172"/>
      <c r="J7" s="130" t="s">
        <v>6</v>
      </c>
      <c r="K7" s="17" t="s">
        <v>7</v>
      </c>
      <c r="L7" s="35"/>
      <c r="U7" s="126"/>
    </row>
    <row r="8" spans="1:21" ht="30" customHeight="1" x14ac:dyDescent="0.3">
      <c r="A8" s="34"/>
      <c r="B8" s="125"/>
      <c r="C8" s="41"/>
      <c r="D8" s="126"/>
      <c r="E8" s="58" t="s">
        <v>143</v>
      </c>
      <c r="F8" s="127"/>
      <c r="G8" s="126"/>
      <c r="H8" s="125"/>
      <c r="L8" s="58" t="s">
        <v>77</v>
      </c>
      <c r="M8" s="126"/>
      <c r="N8" s="125"/>
      <c r="O8" s="126"/>
      <c r="P8" s="128"/>
    </row>
    <row r="9" spans="1:21" s="35" customFormat="1" ht="18" x14ac:dyDescent="0.25">
      <c r="A9" s="42"/>
      <c r="B9" s="43" t="str">
        <f>PREÇOS!A1</f>
        <v>0325E</v>
      </c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140"/>
      <c r="O9" s="140"/>
      <c r="P9" s="140"/>
    </row>
    <row r="10" spans="1:21" ht="29.25" thickBot="1" x14ac:dyDescent="0.35">
      <c r="A10" s="34"/>
      <c r="B10" s="80" t="s">
        <v>8</v>
      </c>
      <c r="C10" s="80"/>
      <c r="D10" s="45" t="s">
        <v>9</v>
      </c>
      <c r="E10" s="45" t="s">
        <v>142</v>
      </c>
      <c r="F10" s="45" t="s">
        <v>145</v>
      </c>
      <c r="G10" s="45" t="s">
        <v>18</v>
      </c>
      <c r="H10" s="45" t="s">
        <v>144</v>
      </c>
      <c r="I10" s="45" t="s">
        <v>17</v>
      </c>
      <c r="J10" s="45" t="s">
        <v>19</v>
      </c>
      <c r="K10" s="45" t="s">
        <v>20</v>
      </c>
      <c r="L10" s="45" t="s">
        <v>21</v>
      </c>
      <c r="M10" s="45" t="s">
        <v>141</v>
      </c>
    </row>
    <row r="11" spans="1:21" ht="17.25" thickTop="1" x14ac:dyDescent="0.3">
      <c r="A11" s="34"/>
      <c r="B11" s="149" t="s">
        <v>22</v>
      </c>
      <c r="C11" s="150"/>
      <c r="D11" s="81">
        <v>5313</v>
      </c>
      <c r="E11" s="85"/>
      <c r="F11" s="83">
        <f>VLOOKUP($K$5,PREÇOS!$A$2:$L$31,9,FALSE)</f>
        <v>7.6854999999999993</v>
      </c>
      <c r="G11" s="87">
        <v>0</v>
      </c>
      <c r="H11" s="132">
        <f>SUM(F11:G11)</f>
        <v>7.6854999999999993</v>
      </c>
      <c r="I11" s="28">
        <f>F11*12</f>
        <v>92.225999999999999</v>
      </c>
      <c r="J11" s="28">
        <f>(F11+G11)*12</f>
        <v>92.225999999999999</v>
      </c>
      <c r="K11" s="86">
        <f>E11*I11</f>
        <v>0</v>
      </c>
      <c r="L11" s="84">
        <f>E11*J11</f>
        <v>0</v>
      </c>
      <c r="M11" s="83">
        <f>VLOOKUP($K$5,PSC!$A$2:$L$31,9,FALSE)</f>
        <v>12.49</v>
      </c>
    </row>
    <row r="12" spans="1:21" ht="16.5" x14ac:dyDescent="0.3">
      <c r="A12" s="34"/>
      <c r="B12" s="144" t="s">
        <v>26</v>
      </c>
      <c r="C12" s="145"/>
      <c r="D12" s="46">
        <v>5320</v>
      </c>
      <c r="E12" s="26"/>
      <c r="F12" s="29">
        <f>VLOOKUP($K$5,PREÇOS!$A$2:$L$31,9,FALSE)</f>
        <v>7.6854999999999993</v>
      </c>
      <c r="G12" s="88">
        <v>0</v>
      </c>
      <c r="H12" s="133">
        <f t="shared" ref="H12:H50" si="0">SUM(F12:G12)</f>
        <v>7.6854999999999993</v>
      </c>
      <c r="I12" s="31">
        <f>F12*12</f>
        <v>92.225999999999999</v>
      </c>
      <c r="J12" s="31">
        <f>(F12+G12)*12</f>
        <v>92.225999999999999</v>
      </c>
      <c r="K12" s="32">
        <f>E12*I12</f>
        <v>0</v>
      </c>
      <c r="L12" s="30">
        <f>E12*J12</f>
        <v>0</v>
      </c>
      <c r="M12" s="29">
        <f>VLOOKUP($K$5,PSC!$A$2:$L$31,9,FALSE)</f>
        <v>12.49</v>
      </c>
    </row>
    <row r="13" spans="1:21" ht="16.5" x14ac:dyDescent="0.3">
      <c r="A13" s="34"/>
      <c r="B13" s="80"/>
      <c r="C13" s="80"/>
      <c r="D13" s="45"/>
      <c r="E13" s="45"/>
      <c r="F13" s="45"/>
      <c r="G13" s="45"/>
      <c r="H13" s="45"/>
      <c r="I13" s="131"/>
      <c r="J13" s="45"/>
      <c r="K13" s="45"/>
      <c r="L13" s="45"/>
      <c r="M13" s="45"/>
    </row>
    <row r="14" spans="1:21" ht="16.5" x14ac:dyDescent="0.3">
      <c r="A14" s="34"/>
      <c r="B14" s="148" t="s">
        <v>27</v>
      </c>
      <c r="C14" s="145"/>
      <c r="D14" s="20">
        <v>5566</v>
      </c>
      <c r="E14" s="26"/>
      <c r="F14" s="22">
        <f>VLOOKUP($K$5,PREÇOS!$A$2:$M$31,13,FALSE)</f>
        <v>5.3864999999999998</v>
      </c>
      <c r="G14" s="24">
        <v>0</v>
      </c>
      <c r="H14" s="134">
        <f t="shared" si="0"/>
        <v>5.3864999999999998</v>
      </c>
      <c r="I14" s="25">
        <f>F14*16</f>
        <v>86.183999999999997</v>
      </c>
      <c r="J14" s="25">
        <f>I14</f>
        <v>86.183999999999997</v>
      </c>
      <c r="K14" s="27">
        <f>E14*I14</f>
        <v>0</v>
      </c>
      <c r="L14" s="23">
        <f>E14*J14</f>
        <v>0</v>
      </c>
      <c r="M14" s="22">
        <f>VLOOKUP($K$5,PSC!$A$2:$M$31,13,FALSE)</f>
        <v>9.49</v>
      </c>
    </row>
    <row r="15" spans="1:21" ht="16.5" x14ac:dyDescent="0.3">
      <c r="A15" s="34"/>
      <c r="B15" s="144" t="s">
        <v>30</v>
      </c>
      <c r="C15" s="145"/>
      <c r="D15" s="46">
        <v>5573</v>
      </c>
      <c r="E15" s="26"/>
      <c r="F15" s="29">
        <f>VLOOKUP($K$5,PREÇOS!$A$2:$M$31,13,FALSE)</f>
        <v>5.3864999999999998</v>
      </c>
      <c r="G15" s="49">
        <v>0</v>
      </c>
      <c r="H15" s="135">
        <f t="shared" si="0"/>
        <v>5.3864999999999998</v>
      </c>
      <c r="I15" s="31">
        <f>F15*16</f>
        <v>86.183999999999997</v>
      </c>
      <c r="J15" s="31">
        <f>I15</f>
        <v>86.183999999999997</v>
      </c>
      <c r="K15" s="32">
        <f>E15*I15</f>
        <v>0</v>
      </c>
      <c r="L15" s="30">
        <f>E15*J15</f>
        <v>0</v>
      </c>
      <c r="M15" s="29">
        <f>VLOOKUP($K$5,PSC!$A$2:$M$31,13,FALSE)</f>
        <v>9.49</v>
      </c>
    </row>
    <row r="16" spans="1:21" ht="16.5" x14ac:dyDescent="0.3">
      <c r="A16" s="34"/>
      <c r="B16" s="80"/>
      <c r="C16" s="80"/>
      <c r="D16" s="45"/>
      <c r="E16" s="45"/>
      <c r="F16" s="45"/>
      <c r="G16" s="45"/>
      <c r="H16" s="45"/>
      <c r="I16" s="131"/>
      <c r="J16" s="45"/>
      <c r="K16" s="45"/>
      <c r="L16" s="45"/>
      <c r="M16" s="45"/>
    </row>
    <row r="17" spans="1:13" ht="16.5" x14ac:dyDescent="0.3">
      <c r="A17" s="34"/>
      <c r="B17" s="148" t="s">
        <v>31</v>
      </c>
      <c r="C17" s="145"/>
      <c r="D17" s="20">
        <v>17898994908729</v>
      </c>
      <c r="E17" s="26"/>
      <c r="F17" s="22">
        <f>VLOOKUP($K$5,PREÇOS!$A$2:$L$31,2,FALSE)</f>
        <v>5.9279999999999999</v>
      </c>
      <c r="G17" s="24">
        <v>0</v>
      </c>
      <c r="H17" s="134">
        <f t="shared" si="0"/>
        <v>5.9279999999999999</v>
      </c>
      <c r="I17" s="25">
        <f t="shared" ref="I17:I22" si="1">F17*12</f>
        <v>71.135999999999996</v>
      </c>
      <c r="J17" s="25">
        <f t="shared" ref="J17:J22" si="2">I17</f>
        <v>71.135999999999996</v>
      </c>
      <c r="K17" s="27">
        <f t="shared" ref="K17:K22" si="3">E17*I17</f>
        <v>0</v>
      </c>
      <c r="L17" s="23">
        <f t="shared" ref="L17:L22" si="4">E17*J17</f>
        <v>0</v>
      </c>
      <c r="M17" s="22">
        <f>VLOOKUP($K$5,PSC!$A$2:$L$31,2,FALSE)</f>
        <v>9.49</v>
      </c>
    </row>
    <row r="18" spans="1:13" ht="16.5" x14ac:dyDescent="0.3">
      <c r="A18" s="34"/>
      <c r="B18" s="144" t="s">
        <v>35</v>
      </c>
      <c r="C18" s="145"/>
      <c r="D18" s="46">
        <v>17898994908736</v>
      </c>
      <c r="E18" s="26"/>
      <c r="F18" s="29">
        <f>VLOOKUP($K$5,PREÇOS!$A$2:$L$31,2,FALSE)</f>
        <v>5.9279999999999999</v>
      </c>
      <c r="G18" s="49">
        <v>0</v>
      </c>
      <c r="H18" s="135">
        <f t="shared" si="0"/>
        <v>5.9279999999999999</v>
      </c>
      <c r="I18" s="31">
        <f t="shared" si="1"/>
        <v>71.135999999999996</v>
      </c>
      <c r="J18" s="31">
        <f t="shared" si="2"/>
        <v>71.135999999999996</v>
      </c>
      <c r="K18" s="32">
        <f t="shared" si="3"/>
        <v>0</v>
      </c>
      <c r="L18" s="30">
        <f t="shared" si="4"/>
        <v>0</v>
      </c>
      <c r="M18" s="29">
        <f>VLOOKUP($K$5,PSC!$A$2:$L$31,2,FALSE)</f>
        <v>9.49</v>
      </c>
    </row>
    <row r="19" spans="1:13" ht="16.5" x14ac:dyDescent="0.3">
      <c r="A19" s="34"/>
      <c r="B19" s="148" t="s">
        <v>37</v>
      </c>
      <c r="C19" s="145"/>
      <c r="D19" s="20">
        <v>17898994908712</v>
      </c>
      <c r="E19" s="26"/>
      <c r="F19" s="22">
        <f>VLOOKUP($K$5,PREÇOS!$A$2:$L$31,2,FALSE)</f>
        <v>5.9279999999999999</v>
      </c>
      <c r="G19" s="24">
        <v>0</v>
      </c>
      <c r="H19" s="134">
        <f t="shared" si="0"/>
        <v>5.9279999999999999</v>
      </c>
      <c r="I19" s="25">
        <f t="shared" si="1"/>
        <v>71.135999999999996</v>
      </c>
      <c r="J19" s="25">
        <f t="shared" si="2"/>
        <v>71.135999999999996</v>
      </c>
      <c r="K19" s="27">
        <f t="shared" si="3"/>
        <v>0</v>
      </c>
      <c r="L19" s="23">
        <f t="shared" si="4"/>
        <v>0</v>
      </c>
      <c r="M19" s="22">
        <f>VLOOKUP($K$5,PSC!$A$2:$L$31,2,FALSE)</f>
        <v>9.49</v>
      </c>
    </row>
    <row r="20" spans="1:13" ht="16.5" x14ac:dyDescent="0.3">
      <c r="A20" s="34"/>
      <c r="B20" s="144" t="s">
        <v>39</v>
      </c>
      <c r="C20" s="145"/>
      <c r="D20" s="46">
        <v>17898994908750</v>
      </c>
      <c r="E20" s="26"/>
      <c r="F20" s="29">
        <f>VLOOKUP($K$5,PREÇOS!$A$2:$L$31,2,FALSE)</f>
        <v>5.9279999999999999</v>
      </c>
      <c r="G20" s="49">
        <v>0</v>
      </c>
      <c r="H20" s="135">
        <f t="shared" si="0"/>
        <v>5.9279999999999999</v>
      </c>
      <c r="I20" s="31">
        <f t="shared" si="1"/>
        <v>71.135999999999996</v>
      </c>
      <c r="J20" s="31">
        <f t="shared" si="2"/>
        <v>71.135999999999996</v>
      </c>
      <c r="K20" s="32">
        <f t="shared" si="3"/>
        <v>0</v>
      </c>
      <c r="L20" s="30">
        <f t="shared" si="4"/>
        <v>0</v>
      </c>
      <c r="M20" s="29">
        <f>VLOOKUP($K$5,PSC!$A$2:$L$31,2,FALSE)</f>
        <v>9.49</v>
      </c>
    </row>
    <row r="21" spans="1:13" ht="16.5" x14ac:dyDescent="0.3">
      <c r="A21" s="34"/>
      <c r="B21" s="148" t="s">
        <v>41</v>
      </c>
      <c r="C21" s="145"/>
      <c r="D21" s="20">
        <v>27898994908757</v>
      </c>
      <c r="E21" s="26"/>
      <c r="F21" s="22">
        <f>VLOOKUP($K$5,PREÇOS!$A$2:$L$31,2,FALSE)</f>
        <v>5.9279999999999999</v>
      </c>
      <c r="G21" s="24">
        <v>0</v>
      </c>
      <c r="H21" s="134">
        <f t="shared" si="0"/>
        <v>5.9279999999999999</v>
      </c>
      <c r="I21" s="25">
        <f t="shared" si="1"/>
        <v>71.135999999999996</v>
      </c>
      <c r="J21" s="25">
        <f t="shared" si="2"/>
        <v>71.135999999999996</v>
      </c>
      <c r="K21" s="27">
        <f t="shared" si="3"/>
        <v>0</v>
      </c>
      <c r="L21" s="23">
        <f t="shared" si="4"/>
        <v>0</v>
      </c>
      <c r="M21" s="22">
        <f>VLOOKUP($K$5,PSC!$A$2:$L$31,2,FALSE)</f>
        <v>9.49</v>
      </c>
    </row>
    <row r="22" spans="1:13" ht="16.5" x14ac:dyDescent="0.3">
      <c r="A22" s="34"/>
      <c r="B22" s="144" t="s">
        <v>43</v>
      </c>
      <c r="C22" s="151"/>
      <c r="D22" s="46">
        <v>5306</v>
      </c>
      <c r="E22" s="26"/>
      <c r="F22" s="29">
        <f>VLOOKUP($K$5,PREÇOS!$A$2:$L$31,2,FALSE)</f>
        <v>5.9279999999999999</v>
      </c>
      <c r="G22" s="49">
        <v>0</v>
      </c>
      <c r="H22" s="135">
        <f t="shared" si="0"/>
        <v>5.9279999999999999</v>
      </c>
      <c r="I22" s="31">
        <f t="shared" si="1"/>
        <v>71.135999999999996</v>
      </c>
      <c r="J22" s="31">
        <f t="shared" si="2"/>
        <v>71.135999999999996</v>
      </c>
      <c r="K22" s="32">
        <f t="shared" si="3"/>
        <v>0</v>
      </c>
      <c r="L22" s="30">
        <f t="shared" si="4"/>
        <v>0</v>
      </c>
      <c r="M22" s="29">
        <f>VLOOKUP($K$5,PSC!$A$2:$L$31,2,FALSE)</f>
        <v>9.49</v>
      </c>
    </row>
    <row r="23" spans="1:13" ht="16.5" x14ac:dyDescent="0.3">
      <c r="A23" s="34"/>
      <c r="B23" s="50"/>
      <c r="C23" s="50"/>
      <c r="D23" s="50"/>
      <c r="E23" s="50"/>
      <c r="F23" s="50"/>
      <c r="G23" s="50"/>
      <c r="H23" s="136"/>
      <c r="I23" s="50"/>
      <c r="J23" s="50"/>
      <c r="K23" s="50"/>
      <c r="L23" s="136"/>
      <c r="M23" s="50"/>
    </row>
    <row r="24" spans="1:13" ht="16.5" x14ac:dyDescent="0.3">
      <c r="A24" s="34"/>
      <c r="B24" s="148" t="s">
        <v>147</v>
      </c>
      <c r="C24" s="145"/>
      <c r="D24" s="20">
        <v>5085</v>
      </c>
      <c r="E24" s="26"/>
      <c r="F24" s="22">
        <f>VLOOKUP($K$5,PREÇOS!$A$2:$L$31,3,FALSE)</f>
        <v>3.5909999999999997</v>
      </c>
      <c r="G24" s="24">
        <f>IF($K$7="SIM",VLOOKUP($K$5,'ST PALITINHOS'!$A$1:$J$31,10,FALSE),VLOOKUP($K$5,'ST PALITINHOS'!$A$1:$J$31,9,FALSE))</f>
        <v>0.75039331499999995</v>
      </c>
      <c r="H24" s="134">
        <f t="shared" si="0"/>
        <v>4.3413933149999995</v>
      </c>
      <c r="I24" s="25">
        <f>F24*16</f>
        <v>57.455999999999996</v>
      </c>
      <c r="J24" s="25">
        <f>(F24+G24)*16</f>
        <v>69.462293039999992</v>
      </c>
      <c r="K24" s="27">
        <f>E24*I24</f>
        <v>0</v>
      </c>
      <c r="L24" s="23">
        <f>E24*J24</f>
        <v>0</v>
      </c>
      <c r="M24" s="22">
        <f>VLOOKUP($K$5,PSC!$A$2:$L$31,3,FALSE)</f>
        <v>5.79</v>
      </c>
    </row>
    <row r="25" spans="1:13" ht="16.5" x14ac:dyDescent="0.3">
      <c r="A25" s="34"/>
      <c r="B25" s="144" t="s">
        <v>148</v>
      </c>
      <c r="C25" s="145"/>
      <c r="D25" s="46">
        <v>5078</v>
      </c>
      <c r="E25" s="26"/>
      <c r="F25" s="29">
        <f>VLOOKUP($K$5,PREÇOS!$A$2:$L$31,3,FALSE)</f>
        <v>3.5909999999999997</v>
      </c>
      <c r="G25" s="49">
        <f>IF($K$7="SIM",VLOOKUP($K$5,'ST PALITINHOS'!$A$1:$J$31,10,FALSE),VLOOKUP($K$5,'ST PALITINHOS'!$A$1:$J$31,9,FALSE))</f>
        <v>0.75039331499999995</v>
      </c>
      <c r="H25" s="135">
        <f t="shared" si="0"/>
        <v>4.3413933149999995</v>
      </c>
      <c r="I25" s="31">
        <f>F25*16</f>
        <v>57.455999999999996</v>
      </c>
      <c r="J25" s="31">
        <f>(F25+G25)*16</f>
        <v>69.462293039999992</v>
      </c>
      <c r="K25" s="32">
        <f>E25*I25</f>
        <v>0</v>
      </c>
      <c r="L25" s="30">
        <f>E25*J25</f>
        <v>0</v>
      </c>
      <c r="M25" s="29">
        <f>VLOOKUP($K$5,PSC!$A$2:$L$31,3,FALSE)</f>
        <v>5.79</v>
      </c>
    </row>
    <row r="26" spans="1:13" ht="16.5" x14ac:dyDescent="0.3">
      <c r="A26" s="34"/>
      <c r="B26" s="148" t="s">
        <v>149</v>
      </c>
      <c r="C26" s="145"/>
      <c r="D26" s="20">
        <v>5061</v>
      </c>
      <c r="E26" s="26"/>
      <c r="F26" s="22">
        <f>VLOOKUP($K$5,PREÇOS!$A$2:$L$31,3,FALSE)</f>
        <v>3.5909999999999997</v>
      </c>
      <c r="G26" s="24">
        <f>IF($K$7="SIM",VLOOKUP($K$5,'ST PALITINHOS'!$A$1:$J$31,10,FALSE),VLOOKUP($K$5,'ST PALITINHOS'!$A$1:$J$31,9,FALSE))</f>
        <v>0.75039331499999995</v>
      </c>
      <c r="H26" s="134">
        <f t="shared" si="0"/>
        <v>4.3413933149999995</v>
      </c>
      <c r="I26" s="25">
        <f>F26*16</f>
        <v>57.455999999999996</v>
      </c>
      <c r="J26" s="25">
        <f>(F26+G26)*16</f>
        <v>69.462293039999992</v>
      </c>
      <c r="K26" s="27">
        <f>E26*I26</f>
        <v>0</v>
      </c>
      <c r="L26" s="23">
        <f>E26*J26</f>
        <v>0</v>
      </c>
      <c r="M26" s="22">
        <f>VLOOKUP($K$5,PSC!$A$2:$L$31,3,FALSE)</f>
        <v>5.79</v>
      </c>
    </row>
    <row r="27" spans="1:13" ht="16.5" x14ac:dyDescent="0.3">
      <c r="A27" s="34"/>
      <c r="B27" s="51"/>
      <c r="C27" s="51"/>
      <c r="D27" s="51"/>
      <c r="E27" s="51"/>
      <c r="F27" s="51"/>
      <c r="G27" s="51"/>
      <c r="H27" s="137"/>
      <c r="I27" s="51"/>
      <c r="J27" s="51"/>
      <c r="K27" s="51"/>
      <c r="L27" s="137"/>
      <c r="M27" s="51"/>
    </row>
    <row r="28" spans="1:13" ht="16.5" x14ac:dyDescent="0.3">
      <c r="A28" s="34"/>
      <c r="B28" s="148" t="s">
        <v>47</v>
      </c>
      <c r="C28" s="145"/>
      <c r="D28" s="20">
        <v>8774</v>
      </c>
      <c r="E28" s="26"/>
      <c r="F28" s="22">
        <f>VLOOKUP($K$5,PREÇOS!$A$2:$L$31,4,FALSE)</f>
        <v>11.950999999999999</v>
      </c>
      <c r="G28" s="24">
        <f>IF($K$7="SIM",VLOOKUP($K$5,'ST BISCOITINHOS'!$A$1:$J$31,10,FALSE),VLOOKUP($K$5,'ST BISCOITINHOS'!$A$1:$J$31,9,FALSE))</f>
        <v>0</v>
      </c>
      <c r="H28" s="134">
        <f t="shared" si="0"/>
        <v>11.950999999999999</v>
      </c>
      <c r="I28" s="25">
        <f>F28*12</f>
        <v>143.41199999999998</v>
      </c>
      <c r="J28" s="25">
        <f>(F28+G28)*12</f>
        <v>143.41199999999998</v>
      </c>
      <c r="K28" s="27">
        <f>E28*I28</f>
        <v>0</v>
      </c>
      <c r="L28" s="23">
        <f>E28*J28</f>
        <v>0</v>
      </c>
      <c r="M28" s="22">
        <f>VLOOKUP($K$5,PSC!$A$2:$L$31,4,FALSE)</f>
        <v>19.989999999999998</v>
      </c>
    </row>
    <row r="29" spans="1:13" ht="16.5" x14ac:dyDescent="0.3">
      <c r="A29" s="34"/>
      <c r="B29" s="144" t="s">
        <v>50</v>
      </c>
      <c r="C29" s="145"/>
      <c r="D29" s="46">
        <v>8767</v>
      </c>
      <c r="E29" s="26"/>
      <c r="F29" s="29">
        <f>VLOOKUP($K$5,PREÇOS!$A$2:$L$31,4,FALSE)</f>
        <v>11.950999999999999</v>
      </c>
      <c r="G29" s="49">
        <f>IF($K$7="SIM",VLOOKUP($K$5,'ST BISCOITINHOS'!$A$1:$J$31,10,FALSE),VLOOKUP($K$5,'ST BISCOITINHOS'!$A$1:$J$31,9,FALSE))</f>
        <v>0</v>
      </c>
      <c r="H29" s="135">
        <f t="shared" si="0"/>
        <v>11.950999999999999</v>
      </c>
      <c r="I29" s="31">
        <f>F29*12</f>
        <v>143.41199999999998</v>
      </c>
      <c r="J29" s="31">
        <f>(F29+G29)*12</f>
        <v>143.41199999999998</v>
      </c>
      <c r="K29" s="32">
        <f>E29*I29</f>
        <v>0</v>
      </c>
      <c r="L29" s="30">
        <f>E29*J29</f>
        <v>0</v>
      </c>
      <c r="M29" s="29">
        <f>VLOOKUP($K$5,PSC!$A$2:$L$31,4,FALSE)</f>
        <v>19.989999999999998</v>
      </c>
    </row>
    <row r="30" spans="1:13" ht="16.5" x14ac:dyDescent="0.3">
      <c r="A30" s="34"/>
      <c r="B30" s="51"/>
      <c r="C30" s="51"/>
      <c r="D30" s="51"/>
      <c r="E30" s="51"/>
      <c r="F30" s="51"/>
      <c r="G30" s="51"/>
      <c r="H30" s="137"/>
      <c r="I30" s="51"/>
      <c r="J30" s="51"/>
      <c r="K30" s="51"/>
      <c r="L30" s="137"/>
      <c r="M30" s="51"/>
    </row>
    <row r="31" spans="1:13" ht="16.5" x14ac:dyDescent="0.3">
      <c r="A31" s="34"/>
      <c r="B31" s="148" t="s">
        <v>51</v>
      </c>
      <c r="C31" s="145"/>
      <c r="D31" s="20">
        <v>5290</v>
      </c>
      <c r="E31" s="26"/>
      <c r="F31" s="22">
        <f>VLOOKUP($K$5,PREÇOS!$A$2:$L$31,5,FALSE)</f>
        <v>8.0274999999999981</v>
      </c>
      <c r="G31" s="24">
        <f>IF($K$7="SIM",VLOOKUP($K$5,'ST PAPAPASTA'!$A$1:$J$31,10,FALSE),VLOOKUP($K$5,'ST PAPAPASTA'!$A$1:$J$31,9,FALSE))</f>
        <v>0</v>
      </c>
      <c r="H31" s="134">
        <f t="shared" si="0"/>
        <v>8.0274999999999981</v>
      </c>
      <c r="I31" s="25">
        <f>F31*12</f>
        <v>96.329999999999984</v>
      </c>
      <c r="J31" s="25">
        <f>(F31+G31)*12</f>
        <v>96.329999999999984</v>
      </c>
      <c r="K31" s="27">
        <f>E31*I31</f>
        <v>0</v>
      </c>
      <c r="L31" s="23">
        <f>E31*J31</f>
        <v>0</v>
      </c>
      <c r="M31" s="22">
        <f>VLOOKUP($K$5,PSC!$A$2:$L$31,5,FALSE)</f>
        <v>13.69</v>
      </c>
    </row>
    <row r="32" spans="1:13" ht="16.5" x14ac:dyDescent="0.3">
      <c r="A32" s="34"/>
      <c r="B32" s="144" t="s">
        <v>55</v>
      </c>
      <c r="C32" s="145"/>
      <c r="D32" s="46">
        <v>5283</v>
      </c>
      <c r="E32" s="26"/>
      <c r="F32" s="29">
        <f>VLOOKUP($K$5,PREÇOS!$A$2:$L$31,5,FALSE)</f>
        <v>8.0274999999999981</v>
      </c>
      <c r="G32" s="49">
        <f>IF($K$7="SIM",VLOOKUP($K$5,'ST PAPAPASTA'!$A$1:$J$31,10,FALSE),VLOOKUP($K$5,'ST PAPAPASTA'!$A$1:$J$31,9,FALSE))</f>
        <v>0</v>
      </c>
      <c r="H32" s="135">
        <f t="shared" si="0"/>
        <v>8.0274999999999981</v>
      </c>
      <c r="I32" s="31">
        <f>F32*12</f>
        <v>96.329999999999984</v>
      </c>
      <c r="J32" s="31">
        <f>(F32+G32)*12</f>
        <v>96.329999999999984</v>
      </c>
      <c r="K32" s="32">
        <f>E32*I32</f>
        <v>0</v>
      </c>
      <c r="L32" s="30">
        <f>E32*J32</f>
        <v>0</v>
      </c>
      <c r="M32" s="29">
        <f>VLOOKUP($K$5,PSC!$A$2:$L$31,5,FALSE)</f>
        <v>13.69</v>
      </c>
    </row>
    <row r="33" spans="1:16" ht="16.5" x14ac:dyDescent="0.3">
      <c r="A33" s="34"/>
      <c r="B33" s="51"/>
      <c r="C33" s="51"/>
      <c r="D33" s="51"/>
      <c r="E33" s="51"/>
      <c r="F33" s="51"/>
      <c r="G33" s="51"/>
      <c r="H33" s="137"/>
      <c r="I33" s="51"/>
      <c r="J33" s="51"/>
      <c r="K33" s="51"/>
      <c r="L33" s="137"/>
      <c r="M33" s="51"/>
    </row>
    <row r="34" spans="1:16" x14ac:dyDescent="0.25">
      <c r="B34" s="148" t="s">
        <v>56</v>
      </c>
      <c r="C34" s="145"/>
      <c r="D34" s="20">
        <v>5276</v>
      </c>
      <c r="E34" s="26"/>
      <c r="F34" s="22">
        <f>VLOOKUP($K$5,PREÇOS!$A$2:$L$31,6,FALSE)</f>
        <v>11.21</v>
      </c>
      <c r="G34" s="24">
        <v>0</v>
      </c>
      <c r="H34" s="134">
        <f t="shared" si="0"/>
        <v>11.21</v>
      </c>
      <c r="I34" s="25">
        <f>F34*6</f>
        <v>67.260000000000005</v>
      </c>
      <c r="J34" s="25">
        <f>(F34+G34)*6</f>
        <v>67.260000000000005</v>
      </c>
      <c r="K34" s="27">
        <f>E34*I34</f>
        <v>0</v>
      </c>
      <c r="L34" s="23">
        <f>E34*J34</f>
        <v>0</v>
      </c>
      <c r="M34" s="22">
        <f>VLOOKUP($K$5,PSC!$A$2:$L$31,6,FALSE)</f>
        <v>17.989999999999998</v>
      </c>
    </row>
    <row r="35" spans="1:16" x14ac:dyDescent="0.25">
      <c r="B35" s="144" t="s">
        <v>58</v>
      </c>
      <c r="C35" s="145"/>
      <c r="D35" s="46">
        <v>5269</v>
      </c>
      <c r="E35" s="26"/>
      <c r="F35" s="29">
        <f>VLOOKUP($K$5,PREÇOS!$A$2:$L$31,6,FALSE)</f>
        <v>11.21</v>
      </c>
      <c r="G35" s="49">
        <v>0</v>
      </c>
      <c r="H35" s="135">
        <f t="shared" si="0"/>
        <v>11.21</v>
      </c>
      <c r="I35" s="31">
        <f>F35*6</f>
        <v>67.260000000000005</v>
      </c>
      <c r="J35" s="31">
        <f>(F35+G35)*6</f>
        <v>67.260000000000005</v>
      </c>
      <c r="K35" s="32">
        <f>E35*I35</f>
        <v>0</v>
      </c>
      <c r="L35" s="30">
        <f>E35*J35</f>
        <v>0</v>
      </c>
      <c r="M35" s="29">
        <f>VLOOKUP($K$5,PSC!$A$2:$L$31,6,FALSE)</f>
        <v>17.989999999999998</v>
      </c>
    </row>
    <row r="36" spans="1:16" x14ac:dyDescent="0.25">
      <c r="B36" s="148" t="s">
        <v>59</v>
      </c>
      <c r="C36" s="145"/>
      <c r="D36" s="20">
        <v>5252</v>
      </c>
      <c r="E36" s="26"/>
      <c r="F36" s="22">
        <f>VLOOKUP($K$5,PREÇOS!$A$2:$L$31,6,FALSE)</f>
        <v>11.21</v>
      </c>
      <c r="G36" s="24">
        <v>0</v>
      </c>
      <c r="H36" s="134">
        <f t="shared" si="0"/>
        <v>11.21</v>
      </c>
      <c r="I36" s="25">
        <f>F36*6</f>
        <v>67.260000000000005</v>
      </c>
      <c r="J36" s="25">
        <f>(F36+G36)*6</f>
        <v>67.260000000000005</v>
      </c>
      <c r="K36" s="27">
        <f>E36*I36</f>
        <v>0</v>
      </c>
      <c r="L36" s="23">
        <f>E36*J36</f>
        <v>0</v>
      </c>
      <c r="M36" s="22">
        <f>VLOOKUP($K$5,PSC!$A$2:$L$31,6,FALSE)</f>
        <v>17.989999999999998</v>
      </c>
    </row>
    <row r="37" spans="1:16" x14ac:dyDescent="0.25">
      <c r="B37" s="51"/>
      <c r="C37" s="51"/>
      <c r="D37" s="51"/>
      <c r="E37" s="51"/>
      <c r="F37" s="51"/>
      <c r="G37" s="51"/>
      <c r="H37" s="137"/>
      <c r="I37" s="51"/>
      <c r="J37" s="51"/>
      <c r="K37" s="51"/>
      <c r="L37" s="137"/>
      <c r="M37" s="51"/>
    </row>
    <row r="38" spans="1:16" x14ac:dyDescent="0.25">
      <c r="B38" s="148" t="s">
        <v>60</v>
      </c>
      <c r="C38" s="145"/>
      <c r="D38" s="20">
        <v>3344</v>
      </c>
      <c r="E38" s="26"/>
      <c r="F38" s="22">
        <f>VLOOKUP($K$5,PREÇOS!$A$2:$L$31,7,FALSE)</f>
        <v>7.8850000000000007</v>
      </c>
      <c r="G38" s="24">
        <f>IF($K$7="SIM",VLOOKUP($K$5,'ST CEREAL'!$A$1:$J$31,10,FALSE),VLOOKUP($K$5,'ST CEREAL'!$A$1:$J$31,9,FALSE))</f>
        <v>1.5262206000000003</v>
      </c>
      <c r="H38" s="134">
        <f t="shared" si="0"/>
        <v>9.4112206</v>
      </c>
      <c r="I38" s="25">
        <f t="shared" ref="I38:I44" si="5">F38*12</f>
        <v>94.62</v>
      </c>
      <c r="J38" s="25">
        <f t="shared" ref="J38:J44" si="6">(F38+G38)*12</f>
        <v>112.9346472</v>
      </c>
      <c r="K38" s="27">
        <f t="shared" ref="K38:K44" si="7">E38*I38</f>
        <v>0</v>
      </c>
      <c r="L38" s="23">
        <f t="shared" ref="L38:L44" si="8">E38*J38</f>
        <v>0</v>
      </c>
      <c r="M38" s="22">
        <f>VLOOKUP($K$5,PSC!$A$2:$L$31,7,FALSE)</f>
        <v>13.89</v>
      </c>
    </row>
    <row r="39" spans="1:16" x14ac:dyDescent="0.25">
      <c r="B39" s="144" t="s">
        <v>63</v>
      </c>
      <c r="C39" s="145"/>
      <c r="D39" s="46">
        <v>3343</v>
      </c>
      <c r="E39" s="26"/>
      <c r="F39" s="29">
        <f>VLOOKUP($K$5,PREÇOS!$A$2:$L$31,7,FALSE)</f>
        <v>7.8850000000000007</v>
      </c>
      <c r="G39" s="49">
        <f>IF($K$7="SIM",VLOOKUP($K$5,'ST CEREAL'!$A$1:$J$31,10,FALSE),VLOOKUP($K$5,'ST CEREAL'!$A$1:$J$31,9,FALSE))</f>
        <v>1.5262206000000003</v>
      </c>
      <c r="H39" s="135">
        <f t="shared" si="0"/>
        <v>9.4112206</v>
      </c>
      <c r="I39" s="31">
        <f t="shared" si="5"/>
        <v>94.62</v>
      </c>
      <c r="J39" s="31">
        <f t="shared" si="6"/>
        <v>112.9346472</v>
      </c>
      <c r="K39" s="32">
        <f t="shared" si="7"/>
        <v>0</v>
      </c>
      <c r="L39" s="30">
        <f t="shared" si="8"/>
        <v>0</v>
      </c>
      <c r="M39" s="29">
        <f>VLOOKUP($K$5,PSC!$A$2:$L$31,7,FALSE)</f>
        <v>13.89</v>
      </c>
    </row>
    <row r="40" spans="1:16" x14ac:dyDescent="0.25">
      <c r="B40" s="148" t="s">
        <v>64</v>
      </c>
      <c r="C40" s="145"/>
      <c r="D40" s="20">
        <v>5382</v>
      </c>
      <c r="E40" s="26"/>
      <c r="F40" s="22">
        <f>VLOOKUP($K$5,PREÇOS!$A$2:$L$31,7,FALSE)</f>
        <v>7.8850000000000007</v>
      </c>
      <c r="G40" s="24">
        <f>IF($K$7="SIM",VLOOKUP($K$5,'ST CEREAL'!$A$1:$J$31,10,FALSE),VLOOKUP($K$5,'ST CEREAL'!$A$1:$J$31,9,FALSE))</f>
        <v>1.5262206000000003</v>
      </c>
      <c r="H40" s="134">
        <f t="shared" si="0"/>
        <v>9.4112206</v>
      </c>
      <c r="I40" s="25">
        <f t="shared" si="5"/>
        <v>94.62</v>
      </c>
      <c r="J40" s="25">
        <f t="shared" si="6"/>
        <v>112.9346472</v>
      </c>
      <c r="K40" s="27">
        <f t="shared" si="7"/>
        <v>0</v>
      </c>
      <c r="L40" s="23">
        <f t="shared" si="8"/>
        <v>0</v>
      </c>
      <c r="M40" s="22">
        <f>VLOOKUP($K$5,PSC!$A$2:$L$31,7,FALSE)</f>
        <v>13.89</v>
      </c>
    </row>
    <row r="41" spans="1:16" x14ac:dyDescent="0.25">
      <c r="B41" s="144" t="s">
        <v>65</v>
      </c>
      <c r="C41" s="145"/>
      <c r="D41" s="46">
        <v>5402</v>
      </c>
      <c r="E41" s="26"/>
      <c r="F41" s="29">
        <f>VLOOKUP($K$5,PREÇOS!$A$2:$L$31,10,FALSE)</f>
        <v>5.8425000000000002</v>
      </c>
      <c r="G41" s="109">
        <f>IF($K$7="SIM",VLOOKUP($K$5,'ST CEREAL'!$A$1:$J$31,10,FALSE),VLOOKUP($K$5,'ST CEREAL'!$A$1:$J$31,9,FALSE))</f>
        <v>1.5262206000000003</v>
      </c>
      <c r="H41" s="138">
        <f t="shared" si="0"/>
        <v>7.3687206000000005</v>
      </c>
      <c r="I41" s="31">
        <f t="shared" si="5"/>
        <v>70.11</v>
      </c>
      <c r="J41" s="31">
        <f t="shared" si="6"/>
        <v>88.42464720000001</v>
      </c>
      <c r="K41" s="32">
        <f t="shared" si="7"/>
        <v>0</v>
      </c>
      <c r="L41" s="30">
        <f t="shared" si="8"/>
        <v>0</v>
      </c>
      <c r="M41" s="29">
        <f>VLOOKUP($K$5,PSC!$A$2:$L$31,10,FALSE)</f>
        <v>9.99</v>
      </c>
    </row>
    <row r="42" spans="1:16" x14ac:dyDescent="0.25">
      <c r="B42" s="148" t="s">
        <v>66</v>
      </c>
      <c r="C42" s="145"/>
      <c r="D42" s="20">
        <v>5419</v>
      </c>
      <c r="E42" s="26"/>
      <c r="F42" s="22">
        <f>VLOOKUP($K$5,PREÇOS!$A$2:$L$31,10,FALSE)</f>
        <v>5.8425000000000002</v>
      </c>
      <c r="G42" s="24">
        <f>IF($K$7="SIM",VLOOKUP($K$5,'ST CEREAL'!$A$1:$J$31,10,FALSE),VLOOKUP($K$5,'ST CEREAL'!$A$1:$J$31,9,FALSE))</f>
        <v>1.5262206000000003</v>
      </c>
      <c r="H42" s="134">
        <f t="shared" si="0"/>
        <v>7.3687206000000005</v>
      </c>
      <c r="I42" s="25">
        <f t="shared" si="5"/>
        <v>70.11</v>
      </c>
      <c r="J42" s="25">
        <f t="shared" si="6"/>
        <v>88.42464720000001</v>
      </c>
      <c r="K42" s="27">
        <f t="shared" si="7"/>
        <v>0</v>
      </c>
      <c r="L42" s="23">
        <f t="shared" si="8"/>
        <v>0</v>
      </c>
      <c r="M42" s="22">
        <f>VLOOKUP($K$5,PSC!$A$2:$L$31,10,FALSE)</f>
        <v>9.99</v>
      </c>
    </row>
    <row r="43" spans="1:16" x14ac:dyDescent="0.25">
      <c r="B43" s="144" t="s">
        <v>67</v>
      </c>
      <c r="C43" s="145"/>
      <c r="D43" s="46">
        <v>5429</v>
      </c>
      <c r="E43" s="26"/>
      <c r="F43" s="29">
        <f>VLOOKUP($K$5,PREÇOS!$A$2:$L$31,11,FALSE)</f>
        <v>5.8425000000000002</v>
      </c>
      <c r="G43" s="109">
        <f>IF($K$7="SIM",VLOOKUP($K$5,'ST CEREAL'!$A$1:$J$31,10,FALSE),VLOOKUP($K$5,'ST CEREAL'!$A$1:$J$31,9,FALSE))</f>
        <v>1.5262206000000003</v>
      </c>
      <c r="H43" s="138">
        <f t="shared" si="0"/>
        <v>7.3687206000000005</v>
      </c>
      <c r="I43" s="31">
        <f t="shared" si="5"/>
        <v>70.11</v>
      </c>
      <c r="J43" s="31">
        <f t="shared" si="6"/>
        <v>88.42464720000001</v>
      </c>
      <c r="K43" s="32">
        <f t="shared" si="7"/>
        <v>0</v>
      </c>
      <c r="L43" s="30">
        <f t="shared" si="8"/>
        <v>0</v>
      </c>
      <c r="M43" s="29">
        <f>VLOOKUP($K$5,PSC!$A$2:$L$31,11,FALSE)</f>
        <v>9.99</v>
      </c>
    </row>
    <row r="44" spans="1:16" x14ac:dyDescent="0.25">
      <c r="B44" s="146" t="s">
        <v>68</v>
      </c>
      <c r="C44" s="147"/>
      <c r="D44" s="20">
        <v>5399</v>
      </c>
      <c r="E44" s="26"/>
      <c r="F44" s="22">
        <f>VLOOKUP($K$5,PREÇOS!$A$2:$L$31,12,FALSE)</f>
        <v>14.240499999999999</v>
      </c>
      <c r="G44" s="24">
        <f>IF($K$7="SIM",VLOOKUP($K$5,'ST CEREAL'!$A$1:$J$31,10,FALSE),VLOOKUP($K$5,'ST CEREAL'!$A$1:$J$31,9,FALSE))</f>
        <v>1.5262206000000003</v>
      </c>
      <c r="H44" s="134">
        <f>SUM(F44:G44)</f>
        <v>15.766720599999999</v>
      </c>
      <c r="I44" s="25">
        <f t="shared" si="5"/>
        <v>170.886</v>
      </c>
      <c r="J44" s="25">
        <f t="shared" si="6"/>
        <v>189.20064719999999</v>
      </c>
      <c r="K44" s="27">
        <f t="shared" si="7"/>
        <v>0</v>
      </c>
      <c r="L44" s="23">
        <f t="shared" si="8"/>
        <v>0</v>
      </c>
      <c r="M44" s="22">
        <f>VLOOKUP($K$5,PSC!$A$2:$L$31,12,FALSE)</f>
        <v>24.99</v>
      </c>
    </row>
    <row r="45" spans="1:16" x14ac:dyDescent="0.25">
      <c r="B45" s="52"/>
      <c r="C45" s="53"/>
      <c r="D45" s="54"/>
      <c r="F45" s="38"/>
      <c r="G45" s="57"/>
      <c r="H45" s="139"/>
      <c r="I45" s="40"/>
      <c r="J45" s="40"/>
      <c r="K45" s="40"/>
      <c r="L45" s="39"/>
      <c r="M45" s="37"/>
    </row>
    <row r="46" spans="1:16" x14ac:dyDescent="0.25">
      <c r="B46" s="148" t="s">
        <v>70</v>
      </c>
      <c r="C46" s="145"/>
      <c r="D46" s="20">
        <v>5375</v>
      </c>
      <c r="E46" s="26"/>
      <c r="F46" s="22">
        <f>VLOOKUP($K$5,PREÇOS!$A$2:$L$31,8,FALSE)</f>
        <v>7.9799999999999995</v>
      </c>
      <c r="G46" s="24">
        <f>IF($K$7="SIM",VLOOKUP($K$5,'ST BISCOTTI'!$A$1:$J$31,10,FALSE),VLOOKUP($K$5,'ST BISCOTTI'!$A$1:$J$31,9,FALSE))</f>
        <v>0</v>
      </c>
      <c r="H46" s="134">
        <f t="shared" si="0"/>
        <v>7.9799999999999995</v>
      </c>
      <c r="I46" s="25">
        <f>F46*12</f>
        <v>95.759999999999991</v>
      </c>
      <c r="J46" s="25">
        <f>(F46+G46)*12</f>
        <v>95.759999999999991</v>
      </c>
      <c r="K46" s="27">
        <f>E46*I46</f>
        <v>0</v>
      </c>
      <c r="L46" s="23">
        <f>E46*J46</f>
        <v>0</v>
      </c>
      <c r="M46" s="22">
        <f>VLOOKUP($K$5,PSC!$A$2:$L$31,8,FALSE)</f>
        <v>13.49</v>
      </c>
    </row>
    <row r="47" spans="1:16" x14ac:dyDescent="0.25">
      <c r="B47" s="144" t="s">
        <v>73</v>
      </c>
      <c r="C47" s="145"/>
      <c r="D47" s="46">
        <v>5351</v>
      </c>
      <c r="E47" s="141"/>
      <c r="F47" s="29">
        <f>VLOOKUP($K$5,PREÇOS!$A$2:$L$31,8,FALSE)</f>
        <v>7.9799999999999995</v>
      </c>
      <c r="G47" s="49">
        <f>IF($K$7="SIM",VLOOKUP($K$5,'ST BISCOTTI'!$A$1:$J$31,10,FALSE),VLOOKUP($K$5,'ST BISCOTTI'!$A$1:$J$31,9,FALSE))</f>
        <v>0</v>
      </c>
      <c r="H47" s="135">
        <f t="shared" si="0"/>
        <v>7.9799999999999995</v>
      </c>
      <c r="I47" s="31">
        <f>F47*12</f>
        <v>95.759999999999991</v>
      </c>
      <c r="J47" s="31">
        <f>(F47+G47)*12</f>
        <v>95.759999999999991</v>
      </c>
      <c r="K47" s="143">
        <f>E47*I47</f>
        <v>0</v>
      </c>
      <c r="L47" s="142">
        <f>E47*J47</f>
        <v>0</v>
      </c>
      <c r="M47" s="29">
        <f>VLOOKUP($K$5,PSC!$A$2:$L$31,8,FALSE)</f>
        <v>13.49</v>
      </c>
      <c r="P47" s="177"/>
    </row>
    <row r="48" spans="1:16" x14ac:dyDescent="0.25">
      <c r="B48" s="148" t="s">
        <v>74</v>
      </c>
      <c r="C48" s="145"/>
      <c r="D48" s="20">
        <v>5368</v>
      </c>
      <c r="E48" s="26"/>
      <c r="F48" s="22">
        <f>VLOOKUP($K$5,PREÇOS!$A$2:$L$31,8,FALSE)</f>
        <v>7.9799999999999995</v>
      </c>
      <c r="G48" s="24">
        <f>IF($K$7="SIM",VLOOKUP($K$5,'ST BISCOTTI'!$A$1:$J$31,10,FALSE),VLOOKUP($K$5,'ST BISCOTTI'!$A$1:$J$31,9,FALSE))</f>
        <v>0</v>
      </c>
      <c r="H48" s="134">
        <f t="shared" si="0"/>
        <v>7.9799999999999995</v>
      </c>
      <c r="I48" s="25">
        <f>F48*12</f>
        <v>95.759999999999991</v>
      </c>
      <c r="J48" s="25">
        <f>(F48+G48)*12</f>
        <v>95.759999999999991</v>
      </c>
      <c r="K48" s="27">
        <f>E48*I48</f>
        <v>0</v>
      </c>
      <c r="L48" s="23">
        <f>E48*J48</f>
        <v>0</v>
      </c>
      <c r="M48" s="22">
        <f>VLOOKUP($K$5,PSC!$A$2:$L$31,8,FALSE)</f>
        <v>13.49</v>
      </c>
    </row>
    <row r="49" spans="2:15" x14ac:dyDescent="0.25">
      <c r="B49" s="144" t="s">
        <v>75</v>
      </c>
      <c r="C49" s="145"/>
      <c r="D49" s="46">
        <v>5597</v>
      </c>
      <c r="E49" s="26"/>
      <c r="F49" s="29">
        <f>VLOOKUP($K$5,PREÇOS!$A$2:$L$31,8,FALSE)</f>
        <v>7.9799999999999995</v>
      </c>
      <c r="G49" s="49">
        <f>IF($K$7="SIM",VLOOKUP($K$5,'ST BISCOTTI'!$A$1:$J$31,10,FALSE),VLOOKUP($K$5,'ST BISCOTTI'!$A$1:$J$31,9,FALSE))</f>
        <v>0</v>
      </c>
      <c r="H49" s="135">
        <f t="shared" si="0"/>
        <v>7.9799999999999995</v>
      </c>
      <c r="I49" s="31">
        <f>F49*12</f>
        <v>95.759999999999991</v>
      </c>
      <c r="J49" s="31">
        <f>(F49+G49)*12</f>
        <v>95.759999999999991</v>
      </c>
      <c r="K49" s="32">
        <f>E49*I49</f>
        <v>0</v>
      </c>
      <c r="L49" s="30">
        <f>E49*J49</f>
        <v>0</v>
      </c>
      <c r="M49" s="29">
        <f>VLOOKUP($K$5,PSC!$A$2:$L$31,8,FALSE)</f>
        <v>13.49</v>
      </c>
    </row>
    <row r="50" spans="2:15" x14ac:dyDescent="0.25">
      <c r="B50" s="148" t="s">
        <v>76</v>
      </c>
      <c r="C50" s="145"/>
      <c r="D50" s="123">
        <v>5580</v>
      </c>
      <c r="E50" s="26"/>
      <c r="F50" s="22">
        <f>VLOOKUP($K$5,PREÇOS!$A$2:$L$31,8,FALSE)</f>
        <v>7.9799999999999995</v>
      </c>
      <c r="G50" s="24">
        <f>IF($K$7="SIM",VLOOKUP($K$5,'ST BISCOTTI'!$A$1:$J$31,10,FALSE),VLOOKUP($K$5,'ST BISCOTTI'!$A$1:$J$31,9,FALSE))</f>
        <v>0</v>
      </c>
      <c r="H50" s="134">
        <f t="shared" si="0"/>
        <v>7.9799999999999995</v>
      </c>
      <c r="I50" s="25">
        <f>F50*12</f>
        <v>95.759999999999991</v>
      </c>
      <c r="J50" s="25">
        <f>(F50+G50)*12</f>
        <v>95.759999999999991</v>
      </c>
      <c r="K50" s="27">
        <f>E50*I50</f>
        <v>0</v>
      </c>
      <c r="L50" s="23">
        <f>E50*J50</f>
        <v>0</v>
      </c>
      <c r="M50" s="22">
        <f>VLOOKUP($K$5,PSC!$A$2:$L$31,8,FALSE)</f>
        <v>13.49</v>
      </c>
    </row>
    <row r="52" spans="2:15" x14ac:dyDescent="0.25">
      <c r="B52" s="148" t="s">
        <v>151</v>
      </c>
      <c r="C52" s="145"/>
      <c r="D52" s="20">
        <v>5610</v>
      </c>
      <c r="E52" s="26"/>
      <c r="F52" s="22">
        <f>VLOOKUP($K$5,PREÇOS!$A$2:$N$31,14,FALSE)</f>
        <v>11.703999999999999</v>
      </c>
      <c r="G52" s="24">
        <v>0</v>
      </c>
      <c r="H52" s="134">
        <f t="shared" ref="H52:H55" si="9">SUM(F52:G52)</f>
        <v>11.703999999999999</v>
      </c>
      <c r="I52" s="25">
        <f>F52*6</f>
        <v>70.22399999999999</v>
      </c>
      <c r="J52" s="25">
        <f>(F52+G52)*6</f>
        <v>70.22399999999999</v>
      </c>
      <c r="K52" s="27">
        <f>E52*I52</f>
        <v>0</v>
      </c>
      <c r="L52" s="23">
        <f>E52*J52</f>
        <v>0</v>
      </c>
      <c r="M52" s="23">
        <f>VLOOKUP($K$5,PSC!$A$2:$N$31,14,FALSE)</f>
        <v>18.989999999999998</v>
      </c>
    </row>
    <row r="53" spans="2:15" x14ac:dyDescent="0.25">
      <c r="B53" s="144" t="s">
        <v>152</v>
      </c>
      <c r="C53" s="145"/>
      <c r="D53" s="46">
        <v>5634</v>
      </c>
      <c r="E53" s="26"/>
      <c r="F53" s="178">
        <f>VLOOKUP($K$5,PREÇOS!$A$2:$N$31,14,FALSE)</f>
        <v>11.703999999999999</v>
      </c>
      <c r="G53" s="49">
        <v>0</v>
      </c>
      <c r="H53" s="175">
        <f t="shared" si="9"/>
        <v>11.703999999999999</v>
      </c>
      <c r="I53" s="176">
        <f t="shared" ref="I53:I55" si="10">F53*6</f>
        <v>70.22399999999999</v>
      </c>
      <c r="J53" s="176">
        <f t="shared" ref="J53:J55" si="11">(F53+G53)*6</f>
        <v>70.22399999999999</v>
      </c>
      <c r="K53" s="32">
        <f>E53*I53</f>
        <v>0</v>
      </c>
      <c r="L53" s="30">
        <f>E53*J53</f>
        <v>0</v>
      </c>
      <c r="M53" s="29">
        <f>VLOOKUP($K$5,PSC!$A$2:$N$31,14,FALSE)</f>
        <v>18.989999999999998</v>
      </c>
    </row>
    <row r="54" spans="2:15" x14ac:dyDescent="0.25">
      <c r="B54" s="148" t="s">
        <v>153</v>
      </c>
      <c r="C54" s="145"/>
      <c r="D54" s="20">
        <v>5627</v>
      </c>
      <c r="E54" s="26"/>
      <c r="F54" s="22">
        <f>VLOOKUP($K$5,PREÇOS!$A$2:$N$31,14,FALSE)</f>
        <v>11.703999999999999</v>
      </c>
      <c r="G54" s="24">
        <v>0</v>
      </c>
      <c r="H54" s="134">
        <f t="shared" si="9"/>
        <v>11.703999999999999</v>
      </c>
      <c r="I54" s="25">
        <f t="shared" si="10"/>
        <v>70.22399999999999</v>
      </c>
      <c r="J54" s="25">
        <f t="shared" si="11"/>
        <v>70.22399999999999</v>
      </c>
      <c r="K54" s="27">
        <f>E54*I54</f>
        <v>0</v>
      </c>
      <c r="L54" s="23">
        <f>E54*J54</f>
        <v>0</v>
      </c>
      <c r="M54" s="23">
        <f>VLOOKUP($K$5,PSC!$A$2:$N$31,14,FALSE)</f>
        <v>18.989999999999998</v>
      </c>
    </row>
    <row r="55" spans="2:15" x14ac:dyDescent="0.25">
      <c r="B55" s="144" t="s">
        <v>154</v>
      </c>
      <c r="C55" s="145"/>
      <c r="D55" s="46">
        <v>5606</v>
      </c>
      <c r="E55" s="26"/>
      <c r="F55" s="178">
        <f>VLOOKUP($K$5,PREÇOS!$A$2:$N$31,14,FALSE)</f>
        <v>11.703999999999999</v>
      </c>
      <c r="G55" s="49">
        <v>0</v>
      </c>
      <c r="H55" s="175">
        <f t="shared" si="9"/>
        <v>11.703999999999999</v>
      </c>
      <c r="I55" s="176">
        <f t="shared" si="10"/>
        <v>70.22399999999999</v>
      </c>
      <c r="J55" s="176">
        <f t="shared" si="11"/>
        <v>70.22399999999999</v>
      </c>
      <c r="K55" s="32">
        <f>E55*I55</f>
        <v>0</v>
      </c>
      <c r="L55" s="30">
        <f>E55*J55</f>
        <v>0</v>
      </c>
      <c r="M55" s="29">
        <f>VLOOKUP($K$5,PSC!$A$2:$N$31,14,FALSE)</f>
        <v>18.989999999999998</v>
      </c>
    </row>
    <row r="56" spans="2:15" ht="15.75" thickBot="1" x14ac:dyDescent="0.3"/>
    <row r="57" spans="2:15" ht="17.25" thickBot="1" x14ac:dyDescent="0.35">
      <c r="E57" s="156" t="s">
        <v>78</v>
      </c>
      <c r="F57" s="157"/>
      <c r="G57" s="119"/>
      <c r="H57" s="120">
        <v>800</v>
      </c>
      <c r="J57" s="158" t="s">
        <v>79</v>
      </c>
      <c r="K57" s="159"/>
      <c r="L57" s="59"/>
      <c r="M57" s="15">
        <f>SUM(K17:K22,K14:K15,K11:K12,K24:K26,K28:K29,K31:K32,K34:K36,K38:K44,K46:K50,K52:K55)</f>
        <v>0</v>
      </c>
    </row>
    <row r="58" spans="2:15" ht="17.25" thickBot="1" x14ac:dyDescent="0.35">
      <c r="E58" s="34"/>
      <c r="F58" s="34"/>
      <c r="G58" s="34"/>
      <c r="H58" s="34"/>
      <c r="K58" s="34"/>
      <c r="L58" s="60"/>
      <c r="M58" s="16"/>
    </row>
    <row r="59" spans="2:15" ht="17.25" customHeight="1" thickBot="1" x14ac:dyDescent="0.35">
      <c r="E59" s="152" t="s">
        <v>80</v>
      </c>
      <c r="F59" s="153"/>
      <c r="G59" s="154"/>
      <c r="H59" s="155"/>
      <c r="J59" s="158" t="s">
        <v>81</v>
      </c>
      <c r="K59" s="159"/>
      <c r="L59" s="59"/>
      <c r="M59" s="15">
        <f>M61-M57</f>
        <v>0</v>
      </c>
    </row>
    <row r="60" spans="2:15" ht="17.25" thickBot="1" x14ac:dyDescent="0.35">
      <c r="J60" s="41"/>
      <c r="K60" s="34"/>
      <c r="L60" s="60"/>
      <c r="M60" s="16"/>
    </row>
    <row r="61" spans="2:15" ht="17.25" thickBot="1" x14ac:dyDescent="0.35">
      <c r="J61" s="158" t="s">
        <v>82</v>
      </c>
      <c r="K61" s="159"/>
      <c r="L61" s="59"/>
      <c r="M61" s="15">
        <f>SUM(L17:L22,L14:L15,L11:L12,L24:L26,L28:L29,L31:L32,L34:L36,L38:L44,L46:L50,L52:L55)</f>
        <v>0</v>
      </c>
    </row>
    <row r="63" spans="2:15" ht="16.5" x14ac:dyDescent="0.3">
      <c r="L63" s="34"/>
      <c r="M63" s="34"/>
      <c r="N63" s="34"/>
      <c r="O63" s="34"/>
    </row>
    <row r="65" ht="69.599999999999994" customHeight="1" x14ac:dyDescent="0.25"/>
  </sheetData>
  <sheetProtection algorithmName="SHA-512" hashValue="gXE0+TWOs2xYUoPPsL1gOywc8vU5wN60HL5ICe7mP8NU4srOeMSN2QBVErcK9iEGdjGBTYz2CDa6Ii4eC0KCeQ==" saltValue="vfo95oK1rBrP8xxYDYebRw==" spinCount="100000" sheet="1" objects="1" scenarios="1"/>
  <protectedRanges>
    <protectedRange sqref="G59" name="Intervalo5"/>
    <protectedRange sqref="E46 E48:E50" name="Intervalo1_3_1"/>
    <protectedRange sqref="E38:E45" name="Intervalo1_4"/>
    <protectedRange sqref="E22" name="Intervalo1"/>
    <protectedRange sqref="E17:E21 E11:E12 E23:E37 E14:E15" name="Intervalo1_3"/>
    <protectedRange sqref="E52:E55" name="Intervalo1_3_1_1"/>
  </protectedRanges>
  <dataConsolidate/>
  <mergeCells count="45">
    <mergeCell ref="K3:L3"/>
    <mergeCell ref="J61:K61"/>
    <mergeCell ref="K5:L5"/>
    <mergeCell ref="D2:G7"/>
    <mergeCell ref="B26:C26"/>
    <mergeCell ref="B38:C38"/>
    <mergeCell ref="B39:C39"/>
    <mergeCell ref="B35:C35"/>
    <mergeCell ref="B36:C36"/>
    <mergeCell ref="B28:C28"/>
    <mergeCell ref="B29:C29"/>
    <mergeCell ref="B31:C31"/>
    <mergeCell ref="B48:C48"/>
    <mergeCell ref="B46:C46"/>
    <mergeCell ref="B47:C47"/>
    <mergeCell ref="B49:C49"/>
    <mergeCell ref="B50:C50"/>
    <mergeCell ref="E59:F59"/>
    <mergeCell ref="G59:H59"/>
    <mergeCell ref="E57:F57"/>
    <mergeCell ref="J57:K57"/>
    <mergeCell ref="J59:K59"/>
    <mergeCell ref="B52:C52"/>
    <mergeCell ref="B53:C53"/>
    <mergeCell ref="B54:C54"/>
    <mergeCell ref="B55:C55"/>
    <mergeCell ref="B20:C20"/>
    <mergeCell ref="B21:C21"/>
    <mergeCell ref="B24:C24"/>
    <mergeCell ref="B25:C25"/>
    <mergeCell ref="B22:C22"/>
    <mergeCell ref="B11:C11"/>
    <mergeCell ref="B12:C12"/>
    <mergeCell ref="B17:C17"/>
    <mergeCell ref="B18:C18"/>
    <mergeCell ref="B19:C19"/>
    <mergeCell ref="B14:C14"/>
    <mergeCell ref="B15:C15"/>
    <mergeCell ref="B43:C43"/>
    <mergeCell ref="B44:C44"/>
    <mergeCell ref="B32:C32"/>
    <mergeCell ref="B34:C34"/>
    <mergeCell ref="B40:C40"/>
    <mergeCell ref="B41:C41"/>
    <mergeCell ref="B42:C42"/>
  </mergeCells>
  <conditionalFormatting sqref="M57">
    <cfRule type="cellIs" dxfId="2" priority="17" operator="lessThan">
      <formula>$H$57</formula>
    </cfRule>
    <cfRule type="cellIs" dxfId="1" priority="18" operator="lessThan">
      <formula>$F$48</formula>
    </cfRule>
  </conditionalFormatting>
  <conditionalFormatting sqref="M61">
    <cfRule type="cellIs" dxfId="0" priority="12" operator="lessThan">
      <formula>$H$57</formula>
    </cfRule>
  </conditionalFormatting>
  <pageMargins left="3.937007874015748E-2" right="3.937007874015748E-2" top="0.78740157480314965" bottom="0.78740157480314965" header="0.31496062992125984" footer="0.31496062992125984"/>
  <pageSetup paperSize="9" scale="49" orientation="landscape" horizontalDpi="360" verticalDpi="360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2C69838-3697-4711-9BBF-FD980C9E5586}">
          <x14:formula1>
            <xm:f>'ST BISCOITINHOS'!$A$2:$A$30</xm:f>
          </x14:formula1>
          <xm:sqref>K5</xm:sqref>
        </x14:dataValidation>
        <x14:dataValidation type="list" allowBlank="1" showInputMessage="1" showErrorMessage="1" xr:uid="{EC1BA276-5F08-42D9-AE9C-0AFCBB83C7ED}">
          <x14:formula1>
            <xm:f>Planilha1!$C$2:$C$3</xm:f>
          </x14:formula1>
          <xm:sqref>K7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D9221-22BD-48A4-917B-4793E04F133C}">
  <sheetPr codeName="Planilha7">
    <tabColor theme="4" tint="-0.249977111117893"/>
    <pageSetUpPr fitToPage="1"/>
  </sheetPr>
  <dimension ref="A1:J52"/>
  <sheetViews>
    <sheetView showGridLines="0" zoomScale="85" zoomScaleNormal="85" workbookViewId="0">
      <selection activeCell="L3" sqref="L3"/>
    </sheetView>
  </sheetViews>
  <sheetFormatPr defaultRowHeight="15" x14ac:dyDescent="0.25"/>
  <cols>
    <col min="1" max="1" width="2.140625" customWidth="1"/>
    <col min="2" max="2" width="26.5703125" customWidth="1"/>
    <col min="3" max="3" width="33.42578125" customWidth="1"/>
    <col min="4" max="10" width="17.5703125" customWidth="1"/>
    <col min="14" max="14" width="19.140625" customWidth="1"/>
  </cols>
  <sheetData>
    <row r="1" spans="1:10" ht="17.25" thickBot="1" x14ac:dyDescent="0.35">
      <c r="A1" s="34"/>
      <c r="B1" s="34"/>
      <c r="C1" s="41" t="s">
        <v>0</v>
      </c>
      <c r="D1" s="34"/>
      <c r="E1" s="34"/>
      <c r="F1" s="34"/>
      <c r="G1" s="34"/>
      <c r="H1" s="34"/>
      <c r="I1" s="34"/>
      <c r="J1" s="34"/>
    </row>
    <row r="2" spans="1:10" ht="17.25" thickBot="1" x14ac:dyDescent="0.35">
      <c r="A2" s="34"/>
      <c r="B2" s="34"/>
      <c r="C2" s="41" t="s">
        <v>1</v>
      </c>
      <c r="D2" s="34"/>
      <c r="E2" s="34"/>
      <c r="F2" s="34"/>
      <c r="G2" s="34"/>
      <c r="H2" s="129" t="s">
        <v>4</v>
      </c>
      <c r="I2" s="173" t="str">
        <f>TABELA!K5</f>
        <v>PR</v>
      </c>
      <c r="J2" s="174"/>
    </row>
    <row r="3" spans="1:10" ht="16.5" x14ac:dyDescent="0.3">
      <c r="A3" s="34"/>
      <c r="B3" s="34"/>
      <c r="C3" s="41" t="s">
        <v>2</v>
      </c>
      <c r="D3" s="34"/>
      <c r="E3" s="34"/>
      <c r="F3" s="34"/>
      <c r="G3" s="34"/>
      <c r="H3" s="34"/>
      <c r="I3" s="34"/>
      <c r="J3" s="34"/>
    </row>
    <row r="4" spans="1:10" ht="16.5" x14ac:dyDescent="0.3">
      <c r="A4" s="34"/>
      <c r="B4" s="34"/>
      <c r="C4" s="41" t="s">
        <v>3</v>
      </c>
      <c r="D4" s="34"/>
      <c r="E4" s="34"/>
      <c r="F4" s="34"/>
      <c r="G4" s="34"/>
      <c r="H4" s="34"/>
      <c r="I4" s="34"/>
      <c r="J4" s="34"/>
    </row>
    <row r="5" spans="1:10" ht="16.5" x14ac:dyDescent="0.3">
      <c r="A5" s="34"/>
      <c r="B5" s="34"/>
      <c r="C5" s="34"/>
      <c r="D5" s="34"/>
      <c r="E5" s="34"/>
      <c r="F5" s="34"/>
      <c r="G5" s="34"/>
      <c r="H5" s="34"/>
      <c r="I5" s="34"/>
      <c r="J5" s="34"/>
    </row>
    <row r="6" spans="1:10" s="35" customFormat="1" ht="18" x14ac:dyDescent="0.25">
      <c r="A6" s="42"/>
      <c r="B6" s="43" t="str">
        <f>PREÇOS!A1</f>
        <v>0325E</v>
      </c>
      <c r="C6" s="44"/>
      <c r="D6" s="44"/>
      <c r="E6" s="44"/>
      <c r="F6" s="44"/>
      <c r="G6" s="44"/>
      <c r="H6" s="44"/>
      <c r="I6" s="44"/>
      <c r="J6" s="44"/>
    </row>
    <row r="7" spans="1:10" ht="29.25" thickBot="1" x14ac:dyDescent="0.35">
      <c r="A7" s="34"/>
      <c r="B7" s="80" t="s">
        <v>8</v>
      </c>
      <c r="C7" s="80"/>
      <c r="D7" s="45" t="s">
        <v>9</v>
      </c>
      <c r="E7" s="45" t="s">
        <v>10</v>
      </c>
      <c r="F7" s="45" t="s">
        <v>11</v>
      </c>
      <c r="G7" s="45" t="s">
        <v>13</v>
      </c>
      <c r="H7" s="45" t="s">
        <v>14</v>
      </c>
      <c r="I7" s="45" t="s">
        <v>15</v>
      </c>
      <c r="J7" s="45" t="s">
        <v>16</v>
      </c>
    </row>
    <row r="8" spans="1:10" ht="17.25" thickTop="1" x14ac:dyDescent="0.3">
      <c r="A8" s="34"/>
      <c r="B8" s="149" t="s">
        <v>22</v>
      </c>
      <c r="C8" s="150"/>
      <c r="D8" s="81">
        <v>5313</v>
      </c>
      <c r="E8" s="81" t="s">
        <v>23</v>
      </c>
      <c r="F8" s="81" t="s">
        <v>24</v>
      </c>
      <c r="G8" s="18" t="s">
        <v>25</v>
      </c>
      <c r="H8" s="18">
        <v>7898969895316</v>
      </c>
      <c r="I8" s="18">
        <v>17898969895313</v>
      </c>
      <c r="J8" s="82">
        <f>VLOOKUP($I$2,'ST BISCOITINHOS'!A:B,2,FALSE)</f>
        <v>0.12</v>
      </c>
    </row>
    <row r="9" spans="1:10" ht="16.5" x14ac:dyDescent="0.3">
      <c r="A9" s="34"/>
      <c r="B9" s="144" t="s">
        <v>26</v>
      </c>
      <c r="C9" s="145"/>
      <c r="D9" s="46">
        <v>5320</v>
      </c>
      <c r="E9" s="47" t="s">
        <v>23</v>
      </c>
      <c r="F9" s="47" t="s">
        <v>24</v>
      </c>
      <c r="G9" s="46" t="s">
        <v>25</v>
      </c>
      <c r="H9" s="46">
        <v>7898969895323</v>
      </c>
      <c r="I9" s="46">
        <v>17898969895320</v>
      </c>
      <c r="J9" s="48">
        <f>VLOOKUP($I$2,'ST BISCOITINHOS'!A:B,2,FALSE)</f>
        <v>0.12</v>
      </c>
    </row>
    <row r="10" spans="1:10" ht="16.5" x14ac:dyDescent="0.3">
      <c r="A10" s="34"/>
      <c r="B10" s="80"/>
      <c r="C10" s="80"/>
      <c r="D10" s="45"/>
      <c r="E10" s="45"/>
      <c r="F10" s="45"/>
      <c r="G10" s="45"/>
      <c r="H10" s="45"/>
      <c r="I10" s="45"/>
      <c r="J10" s="45"/>
    </row>
    <row r="11" spans="1:10" ht="16.5" x14ac:dyDescent="0.3">
      <c r="A11" s="34"/>
      <c r="B11" s="148" t="s">
        <v>27</v>
      </c>
      <c r="C11" s="145"/>
      <c r="D11" s="20">
        <v>5566</v>
      </c>
      <c r="E11" s="19" t="s">
        <v>28</v>
      </c>
      <c r="F11" s="19" t="s">
        <v>29</v>
      </c>
      <c r="G11" s="20" t="s">
        <v>25</v>
      </c>
      <c r="H11" s="20">
        <v>7898969895569</v>
      </c>
      <c r="I11" s="20">
        <v>27898969895563</v>
      </c>
      <c r="J11" s="21">
        <f>VLOOKUP($I$2,'ST BISCOITINHOS'!A:B,2,FALSE)</f>
        <v>0.12</v>
      </c>
    </row>
    <row r="12" spans="1:10" ht="16.5" x14ac:dyDescent="0.3">
      <c r="A12" s="34"/>
      <c r="B12" s="144" t="s">
        <v>30</v>
      </c>
      <c r="C12" s="145"/>
      <c r="D12" s="46">
        <v>5573</v>
      </c>
      <c r="E12" s="46" t="s">
        <v>28</v>
      </c>
      <c r="F12" s="46" t="s">
        <v>29</v>
      </c>
      <c r="G12" s="47" t="s">
        <v>25</v>
      </c>
      <c r="H12" s="46">
        <v>7898969895576</v>
      </c>
      <c r="I12" s="46">
        <v>27898969895570</v>
      </c>
      <c r="J12" s="48">
        <f>VLOOKUP($I$2,'ST BISCOITINHOS'!A:B,2,FALSE)</f>
        <v>0.12</v>
      </c>
    </row>
    <row r="13" spans="1:10" ht="16.5" x14ac:dyDescent="0.3">
      <c r="A13" s="34"/>
      <c r="B13" s="80"/>
      <c r="C13" s="80"/>
      <c r="D13" s="45"/>
      <c r="E13" s="45"/>
      <c r="F13" s="45"/>
      <c r="G13" s="45"/>
      <c r="H13" s="45"/>
      <c r="I13" s="45"/>
      <c r="J13" s="45"/>
    </row>
    <row r="14" spans="1:10" ht="16.5" x14ac:dyDescent="0.3">
      <c r="A14" s="34"/>
      <c r="B14" s="148" t="s">
        <v>31</v>
      </c>
      <c r="C14" s="145"/>
      <c r="D14" s="20">
        <v>17898994908729</v>
      </c>
      <c r="E14" s="19" t="s">
        <v>33</v>
      </c>
      <c r="F14" s="19" t="s">
        <v>34</v>
      </c>
      <c r="G14" s="20" t="s">
        <v>25</v>
      </c>
      <c r="H14" s="20" t="s">
        <v>32</v>
      </c>
      <c r="I14" s="20">
        <v>17898994908729</v>
      </c>
      <c r="J14" s="21">
        <f>VLOOKUP($I$2,'ST BISCOITINHOS'!A:B,2,FALSE)</f>
        <v>0.12</v>
      </c>
    </row>
    <row r="15" spans="1:10" ht="16.5" x14ac:dyDescent="0.3">
      <c r="A15" s="34"/>
      <c r="B15" s="144" t="s">
        <v>35</v>
      </c>
      <c r="C15" s="145"/>
      <c r="D15" s="46">
        <v>17898994908736</v>
      </c>
      <c r="E15" s="47" t="s">
        <v>33</v>
      </c>
      <c r="F15" s="47" t="s">
        <v>34</v>
      </c>
      <c r="G15" s="46" t="s">
        <v>25</v>
      </c>
      <c r="H15" s="46" t="s">
        <v>36</v>
      </c>
      <c r="I15" s="46">
        <v>17898994908736</v>
      </c>
      <c r="J15" s="48">
        <f>VLOOKUP($I$2,'ST BISCOITINHOS'!A:B,2,FALSE)</f>
        <v>0.12</v>
      </c>
    </row>
    <row r="16" spans="1:10" ht="16.5" x14ac:dyDescent="0.3">
      <c r="A16" s="34"/>
      <c r="B16" s="148" t="s">
        <v>37</v>
      </c>
      <c r="C16" s="145"/>
      <c r="D16" s="20">
        <v>17898994908712</v>
      </c>
      <c r="E16" s="19" t="s">
        <v>33</v>
      </c>
      <c r="F16" s="19" t="s">
        <v>34</v>
      </c>
      <c r="G16" s="20" t="s">
        <v>25</v>
      </c>
      <c r="H16" s="20" t="s">
        <v>38</v>
      </c>
      <c r="I16" s="20">
        <v>17898994908712</v>
      </c>
      <c r="J16" s="21">
        <f>VLOOKUP($I$2,'ST BISCOITINHOS'!A:B,2,FALSE)</f>
        <v>0.12</v>
      </c>
    </row>
    <row r="17" spans="1:10" ht="16.5" x14ac:dyDescent="0.3">
      <c r="A17" s="34"/>
      <c r="B17" s="144" t="s">
        <v>39</v>
      </c>
      <c r="C17" s="145"/>
      <c r="D17" s="46">
        <v>17898994908750</v>
      </c>
      <c r="E17" s="47" t="s">
        <v>33</v>
      </c>
      <c r="F17" s="47" t="s">
        <v>34</v>
      </c>
      <c r="G17" s="46" t="s">
        <v>25</v>
      </c>
      <c r="H17" s="46" t="s">
        <v>40</v>
      </c>
      <c r="I17" s="46">
        <v>17898994908750</v>
      </c>
      <c r="J17" s="48">
        <f>VLOOKUP($I$2,'ST BISCOITINHOS'!A:B,2,FALSE)</f>
        <v>0.12</v>
      </c>
    </row>
    <row r="18" spans="1:10" ht="16.5" x14ac:dyDescent="0.3">
      <c r="A18" s="34"/>
      <c r="B18" s="148" t="s">
        <v>41</v>
      </c>
      <c r="C18" s="145"/>
      <c r="D18" s="20">
        <v>27898994908757</v>
      </c>
      <c r="E18" s="19" t="s">
        <v>33</v>
      </c>
      <c r="F18" s="19" t="s">
        <v>34</v>
      </c>
      <c r="G18" s="20" t="s">
        <v>25</v>
      </c>
      <c r="H18" s="20" t="s">
        <v>42</v>
      </c>
      <c r="I18" s="20">
        <v>27898994908757</v>
      </c>
      <c r="J18" s="21">
        <f>VLOOKUP($I$2,'ST BISCOITINHOS'!A:B,2,FALSE)</f>
        <v>0.12</v>
      </c>
    </row>
    <row r="19" spans="1:10" ht="16.5" x14ac:dyDescent="0.3">
      <c r="A19" s="34"/>
      <c r="B19" s="144" t="s">
        <v>43</v>
      </c>
      <c r="C19" s="151"/>
      <c r="D19" s="46">
        <v>5306</v>
      </c>
      <c r="E19" s="47" t="s">
        <v>33</v>
      </c>
      <c r="F19" s="47" t="s">
        <v>34</v>
      </c>
      <c r="G19" s="46" t="s">
        <v>25</v>
      </c>
      <c r="H19" s="46">
        <v>7898969895309</v>
      </c>
      <c r="I19" s="46">
        <v>17898969895306</v>
      </c>
      <c r="J19" s="48">
        <f>VLOOKUP($I$2,'ST BISCOITINHOS'!A:B,2,FALSE)</f>
        <v>0.12</v>
      </c>
    </row>
    <row r="20" spans="1:10" ht="16.5" x14ac:dyDescent="0.3">
      <c r="A20" s="34"/>
      <c r="B20" s="50"/>
      <c r="C20" s="50"/>
      <c r="D20" s="50"/>
      <c r="E20" s="50"/>
      <c r="F20" s="50"/>
      <c r="G20" s="50"/>
      <c r="H20" s="50"/>
      <c r="I20" s="50"/>
      <c r="J20" s="50"/>
    </row>
    <row r="21" spans="1:10" ht="16.5" x14ac:dyDescent="0.3">
      <c r="A21" s="34"/>
      <c r="B21" s="148" t="s">
        <v>147</v>
      </c>
      <c r="C21" s="145"/>
      <c r="D21" s="20">
        <v>5085</v>
      </c>
      <c r="E21" s="19" t="s">
        <v>44</v>
      </c>
      <c r="F21" s="19" t="s">
        <v>45</v>
      </c>
      <c r="G21" s="20" t="s">
        <v>46</v>
      </c>
      <c r="H21" s="20">
        <v>7898969895088</v>
      </c>
      <c r="I21" s="20">
        <v>17898969895085</v>
      </c>
      <c r="J21" s="21">
        <f>VLOOKUP($I$2,'ST PALITINHOS'!A:B,2,FALSE)</f>
        <v>0.12</v>
      </c>
    </row>
    <row r="22" spans="1:10" ht="16.5" x14ac:dyDescent="0.3">
      <c r="A22" s="34"/>
      <c r="B22" s="144" t="s">
        <v>148</v>
      </c>
      <c r="C22" s="145"/>
      <c r="D22" s="46">
        <v>5078</v>
      </c>
      <c r="E22" s="47" t="s">
        <v>44</v>
      </c>
      <c r="F22" s="47" t="s">
        <v>45</v>
      </c>
      <c r="G22" s="46" t="s">
        <v>46</v>
      </c>
      <c r="H22" s="46">
        <v>7898969895071</v>
      </c>
      <c r="I22" s="46">
        <v>17898969895078</v>
      </c>
      <c r="J22" s="48">
        <f>VLOOKUP($I$2,'ST PALITINHOS'!A:B,2,FALSE)</f>
        <v>0.12</v>
      </c>
    </row>
    <row r="23" spans="1:10" ht="16.5" x14ac:dyDescent="0.3">
      <c r="A23" s="34"/>
      <c r="B23" s="148" t="s">
        <v>149</v>
      </c>
      <c r="C23" s="145"/>
      <c r="D23" s="20">
        <v>5061</v>
      </c>
      <c r="E23" s="19" t="s">
        <v>44</v>
      </c>
      <c r="F23" s="19" t="s">
        <v>45</v>
      </c>
      <c r="G23" s="20" t="s">
        <v>46</v>
      </c>
      <c r="H23" s="20">
        <v>7898969895064</v>
      </c>
      <c r="I23" s="20">
        <v>17898969895061</v>
      </c>
      <c r="J23" s="21">
        <f>VLOOKUP($I$2,'ST PALITINHOS'!A:B,2,FALSE)</f>
        <v>0.12</v>
      </c>
    </row>
    <row r="24" spans="1:10" ht="16.5" x14ac:dyDescent="0.3">
      <c r="A24" s="34"/>
      <c r="B24" s="51"/>
      <c r="C24" s="51"/>
      <c r="D24" s="51"/>
      <c r="E24" s="51"/>
      <c r="F24" s="51"/>
      <c r="G24" s="51"/>
      <c r="H24" s="51"/>
      <c r="I24" s="51"/>
      <c r="J24" s="51"/>
    </row>
    <row r="25" spans="1:10" ht="16.5" x14ac:dyDescent="0.3">
      <c r="A25" s="34"/>
      <c r="B25" s="148" t="s">
        <v>47</v>
      </c>
      <c r="C25" s="145"/>
      <c r="D25" s="20">
        <v>8774</v>
      </c>
      <c r="E25" s="19" t="s">
        <v>48</v>
      </c>
      <c r="F25" s="19" t="s">
        <v>29</v>
      </c>
      <c r="G25" s="20" t="s">
        <v>49</v>
      </c>
      <c r="H25" s="20">
        <v>7898994908777</v>
      </c>
      <c r="I25" s="20">
        <v>17898994908774</v>
      </c>
      <c r="J25" s="21">
        <f>VLOOKUP($I$2,'ST BISCOITINHOS'!A:B,2,FALSE)</f>
        <v>0.12</v>
      </c>
    </row>
    <row r="26" spans="1:10" ht="16.5" x14ac:dyDescent="0.3">
      <c r="A26" s="34"/>
      <c r="B26" s="144" t="s">
        <v>50</v>
      </c>
      <c r="C26" s="145"/>
      <c r="D26" s="46">
        <v>8767</v>
      </c>
      <c r="E26" s="47" t="s">
        <v>48</v>
      </c>
      <c r="F26" s="47" t="s">
        <v>29</v>
      </c>
      <c r="G26" s="46" t="s">
        <v>49</v>
      </c>
      <c r="H26" s="46">
        <v>7898994908760</v>
      </c>
      <c r="I26" s="46">
        <v>17898994908767</v>
      </c>
      <c r="J26" s="48">
        <f>VLOOKUP($I$2,'ST BISCOITINHOS'!A:B,2,FALSE)</f>
        <v>0.12</v>
      </c>
    </row>
    <row r="27" spans="1:10" ht="16.5" x14ac:dyDescent="0.3">
      <c r="A27" s="34"/>
      <c r="B27" s="51"/>
      <c r="C27" s="51"/>
      <c r="D27" s="51"/>
      <c r="E27" s="51"/>
      <c r="F27" s="51"/>
      <c r="G27" s="51"/>
      <c r="H27" s="51"/>
      <c r="I27" s="51"/>
      <c r="J27" s="51"/>
    </row>
    <row r="28" spans="1:10" ht="16.5" x14ac:dyDescent="0.3">
      <c r="A28" s="34"/>
      <c r="B28" s="148" t="s">
        <v>51</v>
      </c>
      <c r="C28" s="145"/>
      <c r="D28" s="20">
        <v>5290</v>
      </c>
      <c r="E28" s="19" t="s">
        <v>52</v>
      </c>
      <c r="F28" s="19" t="s">
        <v>53</v>
      </c>
      <c r="G28" s="20" t="s">
        <v>54</v>
      </c>
      <c r="H28" s="20">
        <v>7898969895293</v>
      </c>
      <c r="I28" s="20">
        <v>17898969895293</v>
      </c>
      <c r="J28" s="21">
        <f>VLOOKUP($I$2,'ST PAPAPASTA'!A:B,2,FALSE)</f>
        <v>0.12</v>
      </c>
    </row>
    <row r="29" spans="1:10" ht="16.5" x14ac:dyDescent="0.3">
      <c r="A29" s="34"/>
      <c r="B29" s="144" t="s">
        <v>55</v>
      </c>
      <c r="C29" s="145"/>
      <c r="D29" s="46">
        <v>5283</v>
      </c>
      <c r="E29" s="47" t="s">
        <v>52</v>
      </c>
      <c r="F29" s="47" t="s">
        <v>53</v>
      </c>
      <c r="G29" s="46" t="s">
        <v>54</v>
      </c>
      <c r="H29" s="46">
        <v>7898969895286</v>
      </c>
      <c r="I29" s="46">
        <v>17898969895286</v>
      </c>
      <c r="J29" s="48">
        <f>VLOOKUP($I$2,'ST PAPAPASTA'!A:B,2,FALSE)</f>
        <v>0.12</v>
      </c>
    </row>
    <row r="30" spans="1:10" ht="16.5" x14ac:dyDescent="0.3">
      <c r="A30" s="34"/>
      <c r="B30" s="51"/>
      <c r="C30" s="51"/>
      <c r="D30" s="51"/>
      <c r="E30" s="51"/>
      <c r="F30" s="51"/>
      <c r="G30" s="51"/>
      <c r="H30" s="51"/>
      <c r="I30" s="51"/>
      <c r="J30" s="51"/>
    </row>
    <row r="31" spans="1:10" x14ac:dyDescent="0.25">
      <c r="B31" s="148" t="s">
        <v>56</v>
      </c>
      <c r="C31" s="145"/>
      <c r="D31" s="20">
        <v>5276</v>
      </c>
      <c r="E31" s="19" t="s">
        <v>57</v>
      </c>
      <c r="F31" s="19" t="s">
        <v>34</v>
      </c>
      <c r="G31" s="20" t="s">
        <v>25</v>
      </c>
      <c r="H31" s="20">
        <v>7898969895279</v>
      </c>
      <c r="I31" s="20">
        <v>17898969895276</v>
      </c>
      <c r="J31" s="21">
        <f>VLOOKUP($I$2,'ST PAPAPASTA'!A:B,2,FALSE)</f>
        <v>0.12</v>
      </c>
    </row>
    <row r="32" spans="1:10" x14ac:dyDescent="0.25">
      <c r="B32" s="144" t="s">
        <v>58</v>
      </c>
      <c r="C32" s="145"/>
      <c r="D32" s="46">
        <v>5269</v>
      </c>
      <c r="E32" s="47" t="s">
        <v>57</v>
      </c>
      <c r="F32" s="47" t="s">
        <v>34</v>
      </c>
      <c r="G32" s="46" t="s">
        <v>25</v>
      </c>
      <c r="H32" s="46">
        <v>7898969895262</v>
      </c>
      <c r="I32" s="46">
        <v>17898969895269</v>
      </c>
      <c r="J32" s="48">
        <f>VLOOKUP($I$2,'ST PAPAPASTA'!A:B,2,FALSE)</f>
        <v>0.12</v>
      </c>
    </row>
    <row r="33" spans="2:10" x14ac:dyDescent="0.25">
      <c r="B33" s="148" t="s">
        <v>59</v>
      </c>
      <c r="C33" s="145"/>
      <c r="D33" s="20">
        <v>5252</v>
      </c>
      <c r="E33" s="19" t="s">
        <v>57</v>
      </c>
      <c r="F33" s="19" t="s">
        <v>34</v>
      </c>
      <c r="G33" s="20" t="s">
        <v>25</v>
      </c>
      <c r="H33" s="20">
        <v>7898969895255</v>
      </c>
      <c r="I33" s="20">
        <v>17898969895252</v>
      </c>
      <c r="J33" s="21">
        <f>VLOOKUP($I$2,'ST PAPAPASTA'!A:B,2,FALSE)</f>
        <v>0.12</v>
      </c>
    </row>
    <row r="34" spans="2:10" x14ac:dyDescent="0.25">
      <c r="B34" s="51"/>
      <c r="C34" s="51"/>
      <c r="D34" s="51"/>
      <c r="E34" s="51"/>
      <c r="F34" s="51"/>
      <c r="G34" s="51"/>
      <c r="H34" s="51"/>
      <c r="I34" s="51"/>
      <c r="J34" s="51"/>
    </row>
    <row r="35" spans="2:10" x14ac:dyDescent="0.25">
      <c r="B35" s="148" t="s">
        <v>60</v>
      </c>
      <c r="C35" s="145"/>
      <c r="D35" s="20">
        <v>3344</v>
      </c>
      <c r="E35" s="20" t="s">
        <v>61</v>
      </c>
      <c r="F35" s="19" t="s">
        <v>24</v>
      </c>
      <c r="G35" s="20" t="s">
        <v>62</v>
      </c>
      <c r="H35" s="20">
        <v>7898969895330</v>
      </c>
      <c r="I35" s="20">
        <v>17898969895337</v>
      </c>
      <c r="J35" s="21">
        <f>VLOOKUP($I$2,'ST CEREAL'!A:B,2,FALSE)</f>
        <v>0.12</v>
      </c>
    </row>
    <row r="36" spans="2:10" x14ac:dyDescent="0.25">
      <c r="B36" s="144" t="s">
        <v>63</v>
      </c>
      <c r="C36" s="145"/>
      <c r="D36" s="46">
        <v>3343</v>
      </c>
      <c r="E36" s="46" t="s">
        <v>61</v>
      </c>
      <c r="F36" s="47" t="s">
        <v>24</v>
      </c>
      <c r="G36" s="46" t="s">
        <v>62</v>
      </c>
      <c r="H36" s="46">
        <v>7898969895347</v>
      </c>
      <c r="I36" s="46">
        <v>17898969895344</v>
      </c>
      <c r="J36" s="48">
        <f>VLOOKUP($I$2,'ST CEREAL'!A:B,2,FALSE)</f>
        <v>0.12</v>
      </c>
    </row>
    <row r="37" spans="2:10" x14ac:dyDescent="0.25">
      <c r="B37" s="148" t="s">
        <v>64</v>
      </c>
      <c r="C37" s="145"/>
      <c r="D37" s="20">
        <v>5382</v>
      </c>
      <c r="E37" s="20" t="s">
        <v>61</v>
      </c>
      <c r="F37" s="19" t="s">
        <v>24</v>
      </c>
      <c r="G37" s="20" t="s">
        <v>62</v>
      </c>
      <c r="H37" s="20">
        <v>7898969895385</v>
      </c>
      <c r="I37" s="20">
        <v>17898969895382</v>
      </c>
      <c r="J37" s="21">
        <f>VLOOKUP($I$2,'ST CEREAL'!A:B,2,FALSE)</f>
        <v>0.12</v>
      </c>
    </row>
    <row r="38" spans="2:10" x14ac:dyDescent="0.25">
      <c r="B38" s="144" t="s">
        <v>65</v>
      </c>
      <c r="C38" s="145"/>
      <c r="D38" s="46">
        <v>5402</v>
      </c>
      <c r="E38" s="46" t="s">
        <v>61</v>
      </c>
      <c r="F38" s="47" t="s">
        <v>24</v>
      </c>
      <c r="G38" s="46" t="s">
        <v>62</v>
      </c>
      <c r="H38" s="46">
        <v>7898969895408</v>
      </c>
      <c r="I38" s="46">
        <v>27898969895402</v>
      </c>
      <c r="J38" s="48">
        <f>VLOOKUP($I$2,'ST CEREAL SABOR POUCH 170'!A:B,2,FALSE)</f>
        <v>0.12</v>
      </c>
    </row>
    <row r="39" spans="2:10" x14ac:dyDescent="0.25">
      <c r="B39" s="148" t="s">
        <v>66</v>
      </c>
      <c r="C39" s="145"/>
      <c r="D39" s="20">
        <v>5419</v>
      </c>
      <c r="E39" s="20" t="s">
        <v>61</v>
      </c>
      <c r="F39" s="19" t="s">
        <v>24</v>
      </c>
      <c r="G39" s="20" t="s">
        <v>62</v>
      </c>
      <c r="H39" s="20">
        <v>7898969895415</v>
      </c>
      <c r="I39" s="20">
        <v>27898969895419</v>
      </c>
      <c r="J39" s="21">
        <f>VLOOKUP($I$2,'ST CEREAL SABOR POUCH 170'!A:B,2,FALSE)</f>
        <v>0.12</v>
      </c>
    </row>
    <row r="40" spans="2:10" x14ac:dyDescent="0.25">
      <c r="B40" s="144" t="s">
        <v>67</v>
      </c>
      <c r="C40" s="145"/>
      <c r="D40" s="46">
        <v>5429</v>
      </c>
      <c r="E40" s="46" t="s">
        <v>61</v>
      </c>
      <c r="F40" s="47" t="s">
        <v>24</v>
      </c>
      <c r="G40" s="46" t="s">
        <v>62</v>
      </c>
      <c r="H40" s="46">
        <v>7898969895422</v>
      </c>
      <c r="I40" s="46">
        <v>17898969895429</v>
      </c>
      <c r="J40" s="48">
        <f>VLOOKUP($I$2,'ST MULTI 170 POUCH'!A:B,2,FALSE)</f>
        <v>0.12</v>
      </c>
    </row>
    <row r="41" spans="2:10" x14ac:dyDescent="0.25">
      <c r="B41" s="146" t="s">
        <v>68</v>
      </c>
      <c r="C41" s="147"/>
      <c r="D41" s="20">
        <v>5399</v>
      </c>
      <c r="E41" s="110" t="s">
        <v>69</v>
      </c>
      <c r="F41" s="19" t="s">
        <v>24</v>
      </c>
      <c r="G41" s="20" t="s">
        <v>62</v>
      </c>
      <c r="H41" s="20">
        <v>7898969895392</v>
      </c>
      <c r="I41" s="20">
        <v>17898969895399</v>
      </c>
      <c r="J41" s="21">
        <f>VLOOKUP($I$2,'ST MULTI 500 POUCH'!A:B,2,FALSE)</f>
        <v>0.12</v>
      </c>
    </row>
    <row r="42" spans="2:10" x14ac:dyDescent="0.25">
      <c r="B42" s="52"/>
      <c r="C42" s="53"/>
      <c r="D42" s="54"/>
      <c r="E42" s="55"/>
      <c r="F42" s="55"/>
      <c r="G42" s="54"/>
      <c r="H42" s="54"/>
      <c r="I42" s="54"/>
      <c r="J42" s="56"/>
    </row>
    <row r="43" spans="2:10" x14ac:dyDescent="0.25">
      <c r="B43" s="148" t="s">
        <v>70</v>
      </c>
      <c r="C43" s="145"/>
      <c r="D43" s="20">
        <v>5375</v>
      </c>
      <c r="E43" s="19" t="s">
        <v>71</v>
      </c>
      <c r="F43" s="19" t="s">
        <v>72</v>
      </c>
      <c r="G43" s="20" t="s">
        <v>49</v>
      </c>
      <c r="H43" s="20">
        <v>7898969895378</v>
      </c>
      <c r="I43" s="20">
        <v>17898969895375</v>
      </c>
      <c r="J43" s="21">
        <f>VLOOKUP($I$2,'ST BISCOTTI'!A:B,2,FALSE)</f>
        <v>0.12</v>
      </c>
    </row>
    <row r="44" spans="2:10" x14ac:dyDescent="0.25">
      <c r="B44" s="144" t="s">
        <v>73</v>
      </c>
      <c r="C44" s="145"/>
      <c r="D44" s="46">
        <v>5351</v>
      </c>
      <c r="E44" s="47" t="s">
        <v>71</v>
      </c>
      <c r="F44" s="47" t="s">
        <v>72</v>
      </c>
      <c r="G44" s="46" t="s">
        <v>49</v>
      </c>
      <c r="H44" s="46">
        <v>7898969895354</v>
      </c>
      <c r="I44" s="46">
        <v>17898969895351</v>
      </c>
      <c r="J44" s="48">
        <f>VLOOKUP($I$2,'ST BISCOTTI'!A:B,2,FALSE)</f>
        <v>0.12</v>
      </c>
    </row>
    <row r="45" spans="2:10" x14ac:dyDescent="0.25">
      <c r="B45" s="148" t="s">
        <v>74</v>
      </c>
      <c r="C45" s="145"/>
      <c r="D45" s="20">
        <v>5368</v>
      </c>
      <c r="E45" s="19" t="s">
        <v>71</v>
      </c>
      <c r="F45" s="19" t="s">
        <v>72</v>
      </c>
      <c r="G45" s="20" t="s">
        <v>49</v>
      </c>
      <c r="H45" s="20">
        <v>7898969895361</v>
      </c>
      <c r="I45" s="20">
        <v>17898969895368</v>
      </c>
      <c r="J45" s="21">
        <f>VLOOKUP($I$2,'ST BISCOTTI'!A:B,2,FALSE)</f>
        <v>0.12</v>
      </c>
    </row>
    <row r="46" spans="2:10" x14ac:dyDescent="0.25">
      <c r="B46" s="144" t="s">
        <v>75</v>
      </c>
      <c r="C46" s="145"/>
      <c r="D46" s="46">
        <v>5597</v>
      </c>
      <c r="E46" s="47" t="s">
        <v>71</v>
      </c>
      <c r="F46" s="47" t="s">
        <v>72</v>
      </c>
      <c r="G46" s="46" t="s">
        <v>49</v>
      </c>
      <c r="H46" s="46">
        <v>7898969895590</v>
      </c>
      <c r="I46" s="46">
        <v>17898969895597</v>
      </c>
      <c r="J46" s="48">
        <f>VLOOKUP($I$2,'ST BISCOTTI'!A:B,2,FALSE)</f>
        <v>0.12</v>
      </c>
    </row>
    <row r="47" spans="2:10" x14ac:dyDescent="0.25">
      <c r="B47" s="148" t="s">
        <v>76</v>
      </c>
      <c r="C47" s="145"/>
      <c r="D47" s="123">
        <v>5580</v>
      </c>
      <c r="E47" s="19" t="s">
        <v>71</v>
      </c>
      <c r="F47" s="19" t="s">
        <v>72</v>
      </c>
      <c r="G47" s="20" t="s">
        <v>49</v>
      </c>
      <c r="H47" s="124">
        <v>7898969895583</v>
      </c>
      <c r="I47" s="124">
        <v>17898969895580</v>
      </c>
      <c r="J47" s="21">
        <f>VLOOKUP($I$2,'ST BISCOTTI'!A:B,2,FALSE)</f>
        <v>0.12</v>
      </c>
    </row>
    <row r="49" spans="2:10" x14ac:dyDescent="0.25">
      <c r="B49" s="148" t="s">
        <v>151</v>
      </c>
      <c r="C49" s="145"/>
      <c r="D49" s="20">
        <v>5610</v>
      </c>
      <c r="E49" s="19" t="s">
        <v>155</v>
      </c>
      <c r="F49" s="19" t="s">
        <v>24</v>
      </c>
      <c r="G49" s="20" t="s">
        <v>25</v>
      </c>
      <c r="H49" s="20">
        <v>7898969895613</v>
      </c>
      <c r="I49" s="20">
        <v>17898969895610</v>
      </c>
      <c r="J49" s="21">
        <f>VLOOKUP($I$2,'[2]ST BISCOTTI'!A:B,2,FALSE)</f>
        <v>0.12</v>
      </c>
    </row>
    <row r="50" spans="2:10" ht="15" customHeight="1" x14ac:dyDescent="0.25">
      <c r="B50" s="144" t="s">
        <v>152</v>
      </c>
      <c r="C50" s="145"/>
      <c r="D50" s="46">
        <v>5634</v>
      </c>
      <c r="E50" s="46" t="s">
        <v>155</v>
      </c>
      <c r="F50" s="47" t="s">
        <v>24</v>
      </c>
      <c r="G50" s="46" t="s">
        <v>25</v>
      </c>
      <c r="H50" s="46">
        <v>7898969895637</v>
      </c>
      <c r="I50" s="46">
        <v>17898969895634</v>
      </c>
      <c r="J50" s="48">
        <f>VLOOKUP($I$2,'[2]ST BISCOTTI'!A:B,2,FALSE)</f>
        <v>0.12</v>
      </c>
    </row>
    <row r="51" spans="2:10" x14ac:dyDescent="0.25">
      <c r="B51" s="148" t="s">
        <v>153</v>
      </c>
      <c r="C51" s="145"/>
      <c r="D51" s="20">
        <v>5627</v>
      </c>
      <c r="E51" s="19" t="s">
        <v>155</v>
      </c>
      <c r="F51" s="19" t="s">
        <v>24</v>
      </c>
      <c r="G51" s="20" t="s">
        <v>25</v>
      </c>
      <c r="H51" s="20">
        <v>7898969895620</v>
      </c>
      <c r="I51" s="20">
        <v>17898969895627</v>
      </c>
      <c r="J51" s="21">
        <f>VLOOKUP($I$2,'[2]ST BISCOTTI'!A:B,2,FALSE)</f>
        <v>0.12</v>
      </c>
    </row>
    <row r="52" spans="2:10" x14ac:dyDescent="0.25">
      <c r="B52" s="144" t="s">
        <v>154</v>
      </c>
      <c r="C52" s="145"/>
      <c r="D52" s="46">
        <v>5603</v>
      </c>
      <c r="E52" s="46" t="s">
        <v>155</v>
      </c>
      <c r="F52" s="47" t="s">
        <v>24</v>
      </c>
      <c r="G52" s="46" t="s">
        <v>25</v>
      </c>
      <c r="H52" s="46">
        <v>7898969895606</v>
      </c>
      <c r="I52" s="46">
        <v>17898969895603</v>
      </c>
      <c r="J52" s="48">
        <f>VLOOKUP($I$2,'[2]ST BISCOTTI'!A:B,2,FALSE)</f>
        <v>0.12</v>
      </c>
    </row>
  </sheetData>
  <dataConsolidate/>
  <mergeCells count="37">
    <mergeCell ref="B49:C49"/>
    <mergeCell ref="B50:C50"/>
    <mergeCell ref="B51:C51"/>
    <mergeCell ref="B52:C52"/>
    <mergeCell ref="B45:C45"/>
    <mergeCell ref="B46:C46"/>
    <mergeCell ref="B47:C47"/>
    <mergeCell ref="B38:C38"/>
    <mergeCell ref="B39:C39"/>
    <mergeCell ref="B40:C40"/>
    <mergeCell ref="B41:C41"/>
    <mergeCell ref="B43:C43"/>
    <mergeCell ref="B44:C44"/>
    <mergeCell ref="B37:C37"/>
    <mergeCell ref="B22:C22"/>
    <mergeCell ref="B23:C23"/>
    <mergeCell ref="B25:C25"/>
    <mergeCell ref="B26:C26"/>
    <mergeCell ref="B28:C28"/>
    <mergeCell ref="B29:C29"/>
    <mergeCell ref="B31:C31"/>
    <mergeCell ref="B32:C32"/>
    <mergeCell ref="B33:C33"/>
    <mergeCell ref="B35:C35"/>
    <mergeCell ref="B36:C36"/>
    <mergeCell ref="B21:C21"/>
    <mergeCell ref="I2:J2"/>
    <mergeCell ref="B8:C8"/>
    <mergeCell ref="B9:C9"/>
    <mergeCell ref="B11:C11"/>
    <mergeCell ref="B12:C12"/>
    <mergeCell ref="B14:C14"/>
    <mergeCell ref="B15:C15"/>
    <mergeCell ref="B16:C16"/>
    <mergeCell ref="B17:C17"/>
    <mergeCell ref="B18:C18"/>
    <mergeCell ref="B19:C19"/>
  </mergeCells>
  <pageMargins left="3.937007874015748E-2" right="3.937007874015748E-2" top="0.78740157480314965" bottom="0.78740157480314965" header="0.31496062992125984" footer="0.31496062992125984"/>
  <pageSetup paperSize="9" scale="59" orientation="landscape" horizontalDpi="360" verticalDpi="36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18B9A06-6877-4400-A898-FCEA9335DE60}">
          <x14:formula1>
            <xm:f>'ST BISCOITINHOS'!$A$2:$A$30</xm:f>
          </x14:formula1>
          <xm:sqref>I2:J2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2B843-0FDB-4C24-A043-C31246D35D92}">
  <sheetPr codeName="Planilha2"/>
  <dimension ref="C2:C3"/>
  <sheetViews>
    <sheetView workbookViewId="0">
      <selection activeCell="Q21" sqref="Q21"/>
    </sheetView>
  </sheetViews>
  <sheetFormatPr defaultRowHeight="15" x14ac:dyDescent="0.25"/>
  <sheetData>
    <row r="2" spans="3:3" x14ac:dyDescent="0.25">
      <c r="C2" t="s">
        <v>83</v>
      </c>
    </row>
    <row r="3" spans="3:3" x14ac:dyDescent="0.25">
      <c r="C3" t="s">
        <v>7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DF41E-61EB-4EE0-A51B-1E2674E85904}">
  <sheetPr codeName="Planilha3"/>
  <dimension ref="A1:P30"/>
  <sheetViews>
    <sheetView showGridLines="0" zoomScale="81" zoomScaleNormal="81" workbookViewId="0">
      <selection activeCell="Q21" sqref="Q21"/>
    </sheetView>
  </sheetViews>
  <sheetFormatPr defaultRowHeight="15" x14ac:dyDescent="0.25"/>
  <cols>
    <col min="1" max="1" width="9" bestFit="1" customWidth="1"/>
    <col min="2" max="3" width="25.42578125" bestFit="1" customWidth="1"/>
    <col min="4" max="4" width="16" bestFit="1" customWidth="1"/>
    <col min="5" max="5" width="17" bestFit="1" customWidth="1"/>
    <col min="6" max="6" width="20.5703125" bestFit="1" customWidth="1"/>
    <col min="7" max="7" width="21.5703125" bestFit="1" customWidth="1"/>
    <col min="8" max="8" width="10.140625" bestFit="1" customWidth="1"/>
    <col min="9" max="9" width="12.5703125" bestFit="1" customWidth="1"/>
    <col min="10" max="10" width="13.5703125" style="4" bestFit="1" customWidth="1"/>
    <col min="12" max="12" width="9.5703125" bestFit="1" customWidth="1"/>
    <col min="14" max="14" width="10.5703125" bestFit="1" customWidth="1"/>
  </cols>
  <sheetData>
    <row r="1" spans="1:10" ht="15.75" x14ac:dyDescent="0.25">
      <c r="A1" s="1" t="s">
        <v>84</v>
      </c>
      <c r="B1" s="5" t="s">
        <v>85</v>
      </c>
      <c r="C1" s="5" t="s">
        <v>86</v>
      </c>
      <c r="D1" s="2" t="s">
        <v>87</v>
      </c>
      <c r="E1" s="2" t="s">
        <v>88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</row>
    <row r="2" spans="1:10" x14ac:dyDescent="0.25">
      <c r="A2" s="96" t="s">
        <v>94</v>
      </c>
      <c r="B2" s="97">
        <v>0.04</v>
      </c>
      <c r="C2" s="97">
        <v>0.04</v>
      </c>
      <c r="D2" s="98"/>
      <c r="E2" s="98"/>
      <c r="F2" s="98"/>
      <c r="G2" s="98"/>
      <c r="H2" s="4">
        <f>PREÇOS!D3</f>
        <v>10.8965</v>
      </c>
      <c r="I2" s="4">
        <f>IF(F2=0,,H2*(1+F2)*C2-(H2*B2))</f>
        <v>0</v>
      </c>
      <c r="J2" s="4">
        <f>IF(G2=0,IF(F2=0,,H2*(1+F2)*C2-(H2*B2)),H2*(1+G2)*C2-(H2*B2))</f>
        <v>0</v>
      </c>
    </row>
    <row r="3" spans="1:10" x14ac:dyDescent="0.25">
      <c r="A3" s="99" t="s">
        <v>95</v>
      </c>
      <c r="B3" s="100">
        <v>0.04</v>
      </c>
      <c r="C3" s="100">
        <v>0.2</v>
      </c>
      <c r="D3" s="66">
        <v>0.3</v>
      </c>
      <c r="E3" s="66"/>
      <c r="F3" s="66">
        <v>0.56000000000000005</v>
      </c>
      <c r="G3" s="66"/>
      <c r="H3" s="4">
        <f>PREÇOS!D4</f>
        <v>10.8965</v>
      </c>
      <c r="I3" s="4">
        <f>IF(F3=0,,H3*(1+F3)*C3-(H3*B3))</f>
        <v>2.963848</v>
      </c>
      <c r="J3" s="4">
        <f t="shared" ref="J3:J26" si="0">IF(G3=0,IF(F3=0,,H3*(1+F3)*C3-(H3*B3)),H3*(1+G3)*C3-(H3*B3))</f>
        <v>2.963848</v>
      </c>
    </row>
    <row r="4" spans="1:10" x14ac:dyDescent="0.25">
      <c r="A4" s="96" t="s">
        <v>96</v>
      </c>
      <c r="B4" s="97">
        <v>0.04</v>
      </c>
      <c r="C4" s="97">
        <v>0.04</v>
      </c>
      <c r="D4" s="98"/>
      <c r="E4" s="98"/>
      <c r="F4" s="98"/>
      <c r="G4" s="98"/>
      <c r="H4" s="4">
        <f>PREÇOS!D5</f>
        <v>10.8965</v>
      </c>
      <c r="I4" s="4">
        <f t="shared" ref="I4:I26" si="1">IF(F4=0,,H4*(1+F4)*C4-(H4*B4))</f>
        <v>0</v>
      </c>
      <c r="J4" s="4">
        <f t="shared" si="0"/>
        <v>0</v>
      </c>
    </row>
    <row r="5" spans="1:10" x14ac:dyDescent="0.25">
      <c r="A5" s="96" t="s">
        <v>97</v>
      </c>
      <c r="B5" s="97">
        <v>0.04</v>
      </c>
      <c r="C5" s="97">
        <v>0.18</v>
      </c>
      <c r="D5" s="98">
        <v>0.34</v>
      </c>
      <c r="E5" s="98"/>
      <c r="F5" s="98">
        <v>0.56879999999999997</v>
      </c>
      <c r="G5" s="98"/>
      <c r="H5" s="4">
        <f>PREÇOS!D6</f>
        <v>10.8965</v>
      </c>
      <c r="I5" s="4">
        <f t="shared" si="1"/>
        <v>2.6411372559999999</v>
      </c>
      <c r="J5" s="4">
        <f t="shared" si="0"/>
        <v>2.6411372559999999</v>
      </c>
    </row>
    <row r="6" spans="1:10" x14ac:dyDescent="0.25">
      <c r="A6" s="96" t="s">
        <v>98</v>
      </c>
      <c r="B6" s="97">
        <v>0.04</v>
      </c>
      <c r="C6" s="97">
        <v>0.04</v>
      </c>
      <c r="D6" s="98"/>
      <c r="E6" s="98"/>
      <c r="F6" s="98"/>
      <c r="G6" s="98"/>
      <c r="H6" s="4">
        <f>PREÇOS!D7</f>
        <v>10.8965</v>
      </c>
      <c r="I6" s="4">
        <f t="shared" si="1"/>
        <v>0</v>
      </c>
      <c r="J6" s="4">
        <f t="shared" si="0"/>
        <v>0</v>
      </c>
    </row>
    <row r="7" spans="1:10" x14ac:dyDescent="0.25">
      <c r="A7" s="96" t="s">
        <v>99</v>
      </c>
      <c r="B7" s="97">
        <v>0.04</v>
      </c>
      <c r="C7" s="97">
        <v>0.04</v>
      </c>
      <c r="D7" s="98"/>
      <c r="E7" s="98"/>
      <c r="F7" s="98"/>
      <c r="G7" s="98"/>
      <c r="H7" s="4">
        <f>PREÇOS!D8</f>
        <v>10.8965</v>
      </c>
      <c r="I7" s="4">
        <f t="shared" si="1"/>
        <v>0</v>
      </c>
      <c r="J7" s="4">
        <f t="shared" si="0"/>
        <v>0</v>
      </c>
    </row>
    <row r="8" spans="1:10" x14ac:dyDescent="0.25">
      <c r="A8" s="96" t="s">
        <v>5</v>
      </c>
      <c r="B8" s="97">
        <v>0.04</v>
      </c>
      <c r="C8" s="97">
        <v>0.04</v>
      </c>
      <c r="D8" s="98"/>
      <c r="E8" s="98"/>
      <c r="F8" s="98"/>
      <c r="G8" s="98"/>
      <c r="H8" s="4">
        <f>PREÇOS!D9</f>
        <v>10.8965</v>
      </c>
      <c r="I8" s="4">
        <f t="shared" si="1"/>
        <v>0</v>
      </c>
      <c r="J8" s="4">
        <f t="shared" si="0"/>
        <v>0</v>
      </c>
    </row>
    <row r="9" spans="1:10" x14ac:dyDescent="0.25">
      <c r="A9" s="96" t="s">
        <v>100</v>
      </c>
      <c r="B9" s="97">
        <v>0.04</v>
      </c>
      <c r="C9" s="97">
        <v>0.04</v>
      </c>
      <c r="D9" s="98"/>
      <c r="E9" s="98"/>
      <c r="F9" s="98"/>
      <c r="G9" s="98"/>
      <c r="H9" s="4">
        <f>PREÇOS!D10</f>
        <v>10.8965</v>
      </c>
      <c r="I9" s="4">
        <f t="shared" si="1"/>
        <v>0</v>
      </c>
      <c r="J9" s="4">
        <f t="shared" si="0"/>
        <v>0</v>
      </c>
    </row>
    <row r="10" spans="1:10" x14ac:dyDescent="0.25">
      <c r="A10" s="96" t="s">
        <v>101</v>
      </c>
      <c r="B10" s="97">
        <v>0.04</v>
      </c>
      <c r="C10" s="97">
        <v>0.04</v>
      </c>
      <c r="D10" s="98"/>
      <c r="E10" s="98"/>
      <c r="F10" s="98"/>
      <c r="G10" s="98"/>
      <c r="H10" s="4">
        <f>PREÇOS!D11</f>
        <v>10.8965</v>
      </c>
      <c r="I10" s="4">
        <f t="shared" si="1"/>
        <v>0</v>
      </c>
      <c r="J10" s="4">
        <f t="shared" si="0"/>
        <v>0</v>
      </c>
    </row>
    <row r="11" spans="1:10" x14ac:dyDescent="0.25">
      <c r="A11" s="96" t="s">
        <v>102</v>
      </c>
      <c r="B11" s="97">
        <v>0.04</v>
      </c>
      <c r="C11" s="97">
        <v>0.04</v>
      </c>
      <c r="D11" s="98"/>
      <c r="E11" s="98"/>
      <c r="F11" s="98"/>
      <c r="G11" s="98"/>
      <c r="H11" s="4">
        <f>PREÇOS!D12</f>
        <v>10.8965</v>
      </c>
      <c r="I11" s="4">
        <f t="shared" si="1"/>
        <v>0</v>
      </c>
      <c r="J11" s="4">
        <f t="shared" si="0"/>
        <v>0</v>
      </c>
    </row>
    <row r="12" spans="1:10" x14ac:dyDescent="0.25">
      <c r="A12" s="99" t="s">
        <v>103</v>
      </c>
      <c r="B12" s="100">
        <v>0.04</v>
      </c>
      <c r="C12" s="100">
        <v>0.18</v>
      </c>
      <c r="D12" s="66">
        <v>0.25</v>
      </c>
      <c r="E12" s="66"/>
      <c r="F12" s="66">
        <v>0.36359999999999998</v>
      </c>
      <c r="G12" s="66"/>
      <c r="H12" s="4">
        <f>PREÇOS!D13</f>
        <v>10.8965</v>
      </c>
      <c r="I12" s="4">
        <f>IF(F12=0,,H12*(1+F12)*C12-(H12*B12))</f>
        <v>2.2386641319999998</v>
      </c>
      <c r="J12" s="4">
        <f t="shared" si="0"/>
        <v>2.2386641319999998</v>
      </c>
    </row>
    <row r="13" spans="1:10" x14ac:dyDescent="0.25">
      <c r="A13" s="96" t="s">
        <v>104</v>
      </c>
      <c r="B13" s="97">
        <v>0.04</v>
      </c>
      <c r="C13" s="97">
        <v>0.04</v>
      </c>
      <c r="D13" s="98"/>
      <c r="E13" s="98"/>
      <c r="F13" s="98"/>
      <c r="G13" s="98"/>
      <c r="H13" s="4">
        <f>PREÇOS!D14</f>
        <v>10.8965</v>
      </c>
      <c r="I13" s="4">
        <f t="shared" si="1"/>
        <v>0</v>
      </c>
      <c r="J13" s="4">
        <f t="shared" si="0"/>
        <v>0</v>
      </c>
    </row>
    <row r="14" spans="1:10" x14ac:dyDescent="0.25">
      <c r="A14" s="99" t="s">
        <v>105</v>
      </c>
      <c r="B14" s="100">
        <v>0.04</v>
      </c>
      <c r="C14" s="100">
        <v>0.04</v>
      </c>
      <c r="D14" s="66"/>
      <c r="E14" s="66"/>
      <c r="F14" s="66"/>
      <c r="G14" s="66"/>
      <c r="H14" s="4">
        <f>PREÇOS!D15</f>
        <v>10.8965</v>
      </c>
      <c r="I14" s="4">
        <f t="shared" si="1"/>
        <v>0</v>
      </c>
      <c r="J14" s="4">
        <f t="shared" si="0"/>
        <v>0</v>
      </c>
    </row>
    <row r="15" spans="1:10" x14ac:dyDescent="0.25">
      <c r="A15" s="101" t="s">
        <v>106</v>
      </c>
      <c r="B15" s="102">
        <v>0.04</v>
      </c>
      <c r="C15" s="102">
        <v>0.04</v>
      </c>
      <c r="D15" s="103"/>
      <c r="E15" s="103"/>
      <c r="F15" s="103"/>
      <c r="G15" s="103"/>
      <c r="H15" s="4">
        <f>PREÇOS!D16</f>
        <v>10.8965</v>
      </c>
      <c r="I15" s="4">
        <f t="shared" si="1"/>
        <v>0</v>
      </c>
      <c r="J15" s="4">
        <f t="shared" si="0"/>
        <v>0</v>
      </c>
    </row>
    <row r="16" spans="1:10" x14ac:dyDescent="0.25">
      <c r="A16" s="101" t="s">
        <v>107</v>
      </c>
      <c r="B16" s="102">
        <v>0.04</v>
      </c>
      <c r="C16" s="102">
        <v>0.04</v>
      </c>
      <c r="D16" s="103"/>
      <c r="E16" s="103"/>
      <c r="F16" s="103"/>
      <c r="G16" s="103"/>
      <c r="H16" s="4">
        <f>PREÇOS!D17</f>
        <v>10.8965</v>
      </c>
      <c r="I16" s="4">
        <f t="shared" si="1"/>
        <v>0</v>
      </c>
      <c r="J16" s="4">
        <f t="shared" si="0"/>
        <v>0</v>
      </c>
    </row>
    <row r="17" spans="1:16" x14ac:dyDescent="0.25">
      <c r="A17" s="101" t="s">
        <v>108</v>
      </c>
      <c r="B17" s="102">
        <v>0.04</v>
      </c>
      <c r="C17" s="102">
        <v>0.04</v>
      </c>
      <c r="D17" s="103"/>
      <c r="E17" s="103"/>
      <c r="F17" s="103"/>
      <c r="G17" s="103"/>
      <c r="H17" s="4">
        <f>PREÇOS!D18</f>
        <v>10.8965</v>
      </c>
      <c r="I17" s="4">
        <f t="shared" si="1"/>
        <v>0</v>
      </c>
      <c r="J17" s="4">
        <f t="shared" si="0"/>
        <v>0</v>
      </c>
    </row>
    <row r="18" spans="1:16" x14ac:dyDescent="0.25">
      <c r="A18" s="101" t="s">
        <v>109</v>
      </c>
      <c r="B18" s="102">
        <v>0.04</v>
      </c>
      <c r="C18" s="102">
        <v>0.04</v>
      </c>
      <c r="D18" s="103"/>
      <c r="E18" s="103"/>
      <c r="F18" s="103"/>
      <c r="G18" s="103"/>
      <c r="H18" s="4">
        <f>PREÇOS!D19</f>
        <v>10.8965</v>
      </c>
      <c r="I18" s="4">
        <f t="shared" si="1"/>
        <v>0</v>
      </c>
      <c r="J18" s="4">
        <f t="shared" si="0"/>
        <v>0</v>
      </c>
    </row>
    <row r="19" spans="1:16" x14ac:dyDescent="0.25">
      <c r="A19" s="101" t="s">
        <v>110</v>
      </c>
      <c r="B19" s="102">
        <v>0.12</v>
      </c>
      <c r="C19" s="102">
        <v>0.12</v>
      </c>
      <c r="D19" s="103"/>
      <c r="E19" s="103"/>
      <c r="F19" s="103"/>
      <c r="G19" s="103"/>
      <c r="H19" s="4">
        <f>PREÇOS!D20</f>
        <v>11.950999999999999</v>
      </c>
      <c r="I19" s="4">
        <f t="shared" si="1"/>
        <v>0</v>
      </c>
      <c r="J19" s="4">
        <f t="shared" si="0"/>
        <v>0</v>
      </c>
    </row>
    <row r="20" spans="1:16" x14ac:dyDescent="0.25">
      <c r="A20" s="99" t="s">
        <v>111</v>
      </c>
      <c r="B20" s="100">
        <v>0.04</v>
      </c>
      <c r="C20" s="100">
        <v>0.22</v>
      </c>
      <c r="D20" s="66">
        <v>0.35199999999999998</v>
      </c>
      <c r="E20" s="66"/>
      <c r="F20" s="66">
        <v>0.66400000000000003</v>
      </c>
      <c r="G20" s="66"/>
      <c r="H20" s="4">
        <f>PREÇOS!D21</f>
        <v>10.8965</v>
      </c>
      <c r="I20" s="4">
        <f>IF(F20=0,,H20*(1+F20)*C20-(H20*B20))</f>
        <v>3.5531307200000004</v>
      </c>
      <c r="J20" s="4">
        <f t="shared" si="0"/>
        <v>3.5531307200000004</v>
      </c>
    </row>
    <row r="21" spans="1:16" x14ac:dyDescent="0.25">
      <c r="A21" s="96" t="s">
        <v>112</v>
      </c>
      <c r="B21" s="97">
        <v>0.04</v>
      </c>
      <c r="C21" s="97">
        <v>0.04</v>
      </c>
      <c r="D21" s="98"/>
      <c r="E21" s="98"/>
      <c r="F21" s="98"/>
      <c r="G21" s="98"/>
      <c r="H21" s="4">
        <f>PREÇOS!D22</f>
        <v>10.8965</v>
      </c>
      <c r="I21" s="4">
        <f t="shared" si="1"/>
        <v>0</v>
      </c>
      <c r="J21" s="4">
        <f t="shared" si="0"/>
        <v>0</v>
      </c>
    </row>
    <row r="22" spans="1:16" x14ac:dyDescent="0.25">
      <c r="A22" s="96" t="s">
        <v>113</v>
      </c>
      <c r="B22" s="97">
        <v>0.04</v>
      </c>
      <c r="C22" s="97">
        <v>0.04</v>
      </c>
      <c r="D22" s="98"/>
      <c r="E22" s="98"/>
      <c r="F22" s="98"/>
      <c r="G22" s="98"/>
      <c r="H22" s="4">
        <f>PREÇOS!D23</f>
        <v>10.8965</v>
      </c>
      <c r="I22" s="4">
        <f t="shared" si="1"/>
        <v>0</v>
      </c>
      <c r="J22" s="4">
        <f t="shared" si="0"/>
        <v>0</v>
      </c>
    </row>
    <row r="23" spans="1:16" x14ac:dyDescent="0.25">
      <c r="A23" s="96" t="s">
        <v>114</v>
      </c>
      <c r="B23" s="97">
        <v>0.04</v>
      </c>
      <c r="C23" s="97">
        <v>0.04</v>
      </c>
      <c r="D23" s="98"/>
      <c r="E23" s="98"/>
      <c r="F23" s="98"/>
      <c r="G23" s="98"/>
      <c r="H23" s="4">
        <f>PREÇOS!D24</f>
        <v>10.8965</v>
      </c>
      <c r="I23" s="4">
        <f t="shared" si="1"/>
        <v>0</v>
      </c>
      <c r="J23" s="4">
        <f t="shared" si="0"/>
        <v>0</v>
      </c>
    </row>
    <row r="24" spans="1:16" x14ac:dyDescent="0.25">
      <c r="A24" s="96" t="s">
        <v>115</v>
      </c>
      <c r="B24" s="97">
        <v>0.04</v>
      </c>
      <c r="C24" s="97">
        <v>0.04</v>
      </c>
      <c r="D24" s="98"/>
      <c r="E24" s="98"/>
      <c r="F24" s="98"/>
      <c r="G24" s="98"/>
      <c r="H24" s="4">
        <f>PREÇOS!D25</f>
        <v>10.8965</v>
      </c>
      <c r="I24" s="4">
        <f t="shared" si="1"/>
        <v>0</v>
      </c>
      <c r="J24" s="4">
        <f t="shared" si="0"/>
        <v>0</v>
      </c>
    </row>
    <row r="25" spans="1:16" x14ac:dyDescent="0.25">
      <c r="A25" s="96" t="s">
        <v>116</v>
      </c>
      <c r="B25" s="97">
        <v>0.04</v>
      </c>
      <c r="C25" s="97">
        <v>0.04</v>
      </c>
      <c r="D25" s="98"/>
      <c r="E25" s="98"/>
      <c r="F25" s="98"/>
      <c r="G25" s="98"/>
      <c r="H25" s="4">
        <f>PREÇOS!D26</f>
        <v>10.8965</v>
      </c>
      <c r="I25" s="4">
        <f t="shared" si="1"/>
        <v>0</v>
      </c>
      <c r="J25" s="4">
        <f t="shared" si="0"/>
        <v>0</v>
      </c>
    </row>
    <row r="26" spans="1:16" x14ac:dyDescent="0.25">
      <c r="A26" s="96" t="s">
        <v>117</v>
      </c>
      <c r="B26" s="97">
        <v>0.04</v>
      </c>
      <c r="C26" s="97">
        <v>0.04</v>
      </c>
      <c r="D26" s="98"/>
      <c r="E26" s="98"/>
      <c r="F26" s="98"/>
      <c r="G26" s="98"/>
      <c r="H26" s="4">
        <f>PREÇOS!D27</f>
        <v>10.8965</v>
      </c>
      <c r="I26" s="4">
        <f t="shared" si="1"/>
        <v>0</v>
      </c>
      <c r="J26" s="4">
        <f t="shared" si="0"/>
        <v>0</v>
      </c>
    </row>
    <row r="27" spans="1:16" x14ac:dyDescent="0.25">
      <c r="A27" s="96" t="s">
        <v>118</v>
      </c>
      <c r="B27" s="97">
        <v>0.04</v>
      </c>
      <c r="C27" s="97">
        <v>0.18</v>
      </c>
      <c r="D27" s="98">
        <v>0.48320000000000002</v>
      </c>
      <c r="E27" s="98"/>
      <c r="F27" s="98">
        <v>0.61799999999999999</v>
      </c>
      <c r="G27" s="98"/>
      <c r="H27" s="4">
        <f>PREÇOS!D28</f>
        <v>10.8965</v>
      </c>
      <c r="I27" s="4">
        <f t="shared" ref="I27:I30" si="2">IF(F27=0,,H27*(1+F27)*C27-(H27*B27))</f>
        <v>2.7376366599999993</v>
      </c>
      <c r="J27" s="4">
        <f t="shared" ref="J27:J30" si="3">IF(G27=0,IF(F27=0,,H27*(1+F27)*C27-(H27*B27)),H27*(1+G27)*C27-(H27*B27))</f>
        <v>2.7376366599999993</v>
      </c>
      <c r="L27" s="6"/>
      <c r="N27" s="6"/>
      <c r="P27" s="6"/>
    </row>
    <row r="28" spans="1:16" x14ac:dyDescent="0.25">
      <c r="A28" s="99" t="s">
        <v>119</v>
      </c>
      <c r="B28" s="100">
        <f>B27</f>
        <v>0.04</v>
      </c>
      <c r="C28" s="100">
        <f t="shared" ref="C28:G28" si="4">C27</f>
        <v>0.18</v>
      </c>
      <c r="D28" s="66">
        <f t="shared" si="4"/>
        <v>0.48320000000000002</v>
      </c>
      <c r="E28" s="100">
        <f t="shared" si="4"/>
        <v>0</v>
      </c>
      <c r="F28" s="66">
        <f t="shared" si="4"/>
        <v>0.61799999999999999</v>
      </c>
      <c r="G28" s="100">
        <f t="shared" si="4"/>
        <v>0</v>
      </c>
      <c r="H28" s="93">
        <f>PREÇOS!D29</f>
        <v>10.8965</v>
      </c>
      <c r="I28" s="93">
        <f t="shared" si="2"/>
        <v>2.7376366599999993</v>
      </c>
      <c r="J28" s="93">
        <f t="shared" si="3"/>
        <v>2.7376366599999993</v>
      </c>
      <c r="L28" s="6"/>
      <c r="N28" s="6"/>
      <c r="P28" s="6"/>
    </row>
    <row r="29" spans="1:16" x14ac:dyDescent="0.25">
      <c r="A29" s="96" t="s">
        <v>120</v>
      </c>
      <c r="B29" s="97">
        <v>0.04</v>
      </c>
      <c r="C29" s="97">
        <v>0.04</v>
      </c>
      <c r="D29" s="98"/>
      <c r="E29" s="98"/>
      <c r="F29" s="98"/>
      <c r="G29" s="98"/>
      <c r="H29" s="4">
        <f>PREÇOS!D30</f>
        <v>10.8965</v>
      </c>
      <c r="I29" s="4">
        <f t="shared" si="2"/>
        <v>0</v>
      </c>
      <c r="J29" s="4">
        <f t="shared" si="3"/>
        <v>0</v>
      </c>
    </row>
    <row r="30" spans="1:16" x14ac:dyDescent="0.25">
      <c r="A30" s="3" t="s">
        <v>121</v>
      </c>
      <c r="H30" s="4">
        <f>PREÇOS!D31</f>
        <v>0</v>
      </c>
      <c r="I30" s="4">
        <f t="shared" si="2"/>
        <v>0</v>
      </c>
      <c r="J30" s="4">
        <f t="shared" si="3"/>
        <v>0</v>
      </c>
      <c r="L30" s="6"/>
      <c r="P30" s="6"/>
    </row>
  </sheetData>
  <sheetProtection selectLockedCells="1" selectUnlockedCells="1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CC421-ACA8-43F6-A3D3-68C43F3FC9DB}">
  <sheetPr codeName="Planilha4"/>
  <dimension ref="A1:J30"/>
  <sheetViews>
    <sheetView showGridLines="0" zoomScale="82" zoomScaleNormal="82" workbookViewId="0">
      <selection activeCell="Q21" sqref="Q21"/>
    </sheetView>
  </sheetViews>
  <sheetFormatPr defaultRowHeight="15" x14ac:dyDescent="0.25"/>
  <cols>
    <col min="1" max="1" width="9" bestFit="1" customWidth="1"/>
    <col min="2" max="2" width="25.42578125" bestFit="1" customWidth="1"/>
    <col min="3" max="3" width="18.5703125" bestFit="1" customWidth="1"/>
    <col min="4" max="4" width="16" bestFit="1" customWidth="1"/>
    <col min="5" max="5" width="17" bestFit="1" customWidth="1"/>
    <col min="6" max="6" width="20.5703125" bestFit="1" customWidth="1"/>
    <col min="7" max="7" width="21.5703125" bestFit="1" customWidth="1"/>
    <col min="8" max="8" width="10.5703125" customWidth="1"/>
    <col min="9" max="9" width="12.5703125" bestFit="1" customWidth="1"/>
    <col min="10" max="10" width="13.5703125" style="4" bestFit="1" customWidth="1"/>
  </cols>
  <sheetData>
    <row r="1" spans="1:10" ht="15.75" x14ac:dyDescent="0.25">
      <c r="A1" s="1" t="s">
        <v>84</v>
      </c>
      <c r="B1" s="5" t="s">
        <v>85</v>
      </c>
      <c r="C1" s="5" t="s">
        <v>86</v>
      </c>
      <c r="D1" s="2" t="s">
        <v>87</v>
      </c>
      <c r="E1" s="2" t="s">
        <v>88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</row>
    <row r="2" spans="1:10" x14ac:dyDescent="0.25">
      <c r="A2" s="96" t="s">
        <v>94</v>
      </c>
      <c r="B2" s="104">
        <v>7.0000000000000007E-2</v>
      </c>
      <c r="C2" s="104">
        <v>7.0000000000000007E-2</v>
      </c>
      <c r="D2" s="98"/>
      <c r="E2" s="98"/>
      <c r="F2" s="98"/>
      <c r="G2" s="98"/>
      <c r="H2" s="7">
        <f>PREÇOS!E3</f>
        <v>7.5334999999999992</v>
      </c>
      <c r="I2" s="4">
        <f t="shared" ref="I2:I26" si="0">IF(F2=0,,H2*(1+F2)*C2-(H2*B2))</f>
        <v>0</v>
      </c>
      <c r="J2" s="4">
        <f t="shared" ref="J2:J26" si="1">IF(G2=0,IF(F2=0,,H2*(1+F2)*C2-(H2*B2)),H2*(1+G2)*C2-(H2*B2))</f>
        <v>0</v>
      </c>
    </row>
    <row r="3" spans="1:10" x14ac:dyDescent="0.25">
      <c r="A3" s="96" t="s">
        <v>95</v>
      </c>
      <c r="B3" s="104">
        <v>7.0000000000000007E-2</v>
      </c>
      <c r="C3" s="104">
        <v>0.19</v>
      </c>
      <c r="D3" s="98">
        <v>0.2</v>
      </c>
      <c r="E3" s="98"/>
      <c r="F3" s="98">
        <v>0.36099999999999999</v>
      </c>
      <c r="G3" s="98"/>
      <c r="H3" s="7">
        <f>PREÇOS!E4</f>
        <v>7.5334999999999992</v>
      </c>
      <c r="I3" s="4">
        <f t="shared" si="0"/>
        <v>1.4207427649999997</v>
      </c>
      <c r="J3" s="4">
        <f t="shared" si="1"/>
        <v>1.4207427649999997</v>
      </c>
    </row>
    <row r="4" spans="1:10" x14ac:dyDescent="0.25">
      <c r="A4" s="96" t="s">
        <v>96</v>
      </c>
      <c r="B4" s="104">
        <v>7.0000000000000007E-2</v>
      </c>
      <c r="C4" s="104">
        <v>7.0000000000000007E-2</v>
      </c>
      <c r="D4" s="98"/>
      <c r="E4" s="98"/>
      <c r="F4" s="98"/>
      <c r="G4" s="98"/>
      <c r="H4" s="7">
        <f>PREÇOS!E5</f>
        <v>7.5334999999999992</v>
      </c>
      <c r="I4" s="4">
        <f t="shared" si="0"/>
        <v>0</v>
      </c>
      <c r="J4" s="4">
        <f t="shared" si="1"/>
        <v>0</v>
      </c>
    </row>
    <row r="5" spans="1:10" x14ac:dyDescent="0.25">
      <c r="A5" s="96" t="s">
        <v>97</v>
      </c>
      <c r="B5" s="104">
        <v>7.0000000000000007E-2</v>
      </c>
      <c r="C5" s="104">
        <v>0.18</v>
      </c>
      <c r="D5" s="98">
        <v>0.38</v>
      </c>
      <c r="E5" s="98"/>
      <c r="F5" s="98">
        <v>0.56510000000000005</v>
      </c>
      <c r="G5" s="98"/>
      <c r="H5" s="7">
        <f>PREÇOS!E6</f>
        <v>7.5334999999999992</v>
      </c>
      <c r="I5" s="4">
        <f t="shared" si="0"/>
        <v>1.5949775529999997</v>
      </c>
      <c r="J5" s="4">
        <f t="shared" si="1"/>
        <v>1.5949775529999997</v>
      </c>
    </row>
    <row r="6" spans="1:10" x14ac:dyDescent="0.25">
      <c r="A6" s="96" t="s">
        <v>98</v>
      </c>
      <c r="B6" s="104">
        <v>7.0000000000000007E-2</v>
      </c>
      <c r="C6" s="104">
        <v>7.0000000000000007E-2</v>
      </c>
      <c r="D6" s="98"/>
      <c r="E6" s="98"/>
      <c r="F6" s="98"/>
      <c r="G6" s="98"/>
      <c r="H6" s="7">
        <f>PREÇOS!E7</f>
        <v>7.5334999999999992</v>
      </c>
      <c r="I6" s="4">
        <f t="shared" si="0"/>
        <v>0</v>
      </c>
      <c r="J6" s="4">
        <f t="shared" si="1"/>
        <v>0</v>
      </c>
    </row>
    <row r="7" spans="1:10" x14ac:dyDescent="0.25">
      <c r="A7" s="96" t="s">
        <v>99</v>
      </c>
      <c r="B7" s="104">
        <v>7.0000000000000007E-2</v>
      </c>
      <c r="C7" s="104">
        <v>7.0000000000000007E-2</v>
      </c>
      <c r="D7" s="98"/>
      <c r="E7" s="98"/>
      <c r="F7" s="98"/>
      <c r="G7" s="98"/>
      <c r="H7" s="7">
        <f>PREÇOS!E8</f>
        <v>7.5334999999999992</v>
      </c>
      <c r="I7" s="4">
        <f t="shared" si="0"/>
        <v>0</v>
      </c>
      <c r="J7" s="4">
        <f t="shared" si="1"/>
        <v>0</v>
      </c>
    </row>
    <row r="8" spans="1:10" x14ac:dyDescent="0.25">
      <c r="A8" s="96" t="s">
        <v>5</v>
      </c>
      <c r="B8" s="104">
        <v>7.0000000000000007E-2</v>
      </c>
      <c r="C8" s="104">
        <v>7.0000000000000007E-2</v>
      </c>
      <c r="D8" s="98"/>
      <c r="E8" s="98"/>
      <c r="F8" s="98"/>
      <c r="G8" s="98"/>
      <c r="H8" s="7">
        <f>PREÇOS!E9</f>
        <v>7.5334999999999992</v>
      </c>
      <c r="I8" s="4">
        <f t="shared" si="0"/>
        <v>0</v>
      </c>
      <c r="J8" s="4">
        <f t="shared" si="1"/>
        <v>0</v>
      </c>
    </row>
    <row r="9" spans="1:10" x14ac:dyDescent="0.25">
      <c r="A9" s="96" t="s">
        <v>100</v>
      </c>
      <c r="B9" s="104">
        <v>7.0000000000000007E-2</v>
      </c>
      <c r="C9" s="97">
        <v>7.0000000000000007E-2</v>
      </c>
      <c r="D9" s="98"/>
      <c r="E9" s="98"/>
      <c r="F9" s="98"/>
      <c r="G9" s="98"/>
      <c r="H9" s="7">
        <f>PREÇOS!E10</f>
        <v>7.5334999999999992</v>
      </c>
      <c r="I9" s="4">
        <f t="shared" si="0"/>
        <v>0</v>
      </c>
      <c r="J9" s="4">
        <f t="shared" si="1"/>
        <v>0</v>
      </c>
    </row>
    <row r="10" spans="1:10" x14ac:dyDescent="0.25">
      <c r="A10" s="96" t="s">
        <v>101</v>
      </c>
      <c r="B10" s="104">
        <v>7.0000000000000007E-2</v>
      </c>
      <c r="C10" s="97">
        <v>7.0000000000000007E-2</v>
      </c>
      <c r="D10" s="98"/>
      <c r="E10" s="98"/>
      <c r="F10" s="98"/>
      <c r="G10" s="98"/>
      <c r="H10" s="7">
        <f>PREÇOS!E11</f>
        <v>7.5334999999999992</v>
      </c>
      <c r="I10" s="4">
        <f t="shared" si="0"/>
        <v>0</v>
      </c>
      <c r="J10" s="4">
        <f t="shared" si="1"/>
        <v>0</v>
      </c>
    </row>
    <row r="11" spans="1:10" x14ac:dyDescent="0.25">
      <c r="A11" s="96" t="s">
        <v>102</v>
      </c>
      <c r="B11" s="104">
        <v>7.0000000000000007E-2</v>
      </c>
      <c r="C11" s="97">
        <v>7.0000000000000007E-2</v>
      </c>
      <c r="D11" s="98"/>
      <c r="E11" s="98"/>
      <c r="F11" s="98"/>
      <c r="G11" s="98"/>
      <c r="H11" s="7">
        <f>PREÇOS!E12</f>
        <v>7.5334999999999992</v>
      </c>
      <c r="I11" s="4">
        <f t="shared" si="0"/>
        <v>0</v>
      </c>
      <c r="J11" s="4">
        <f t="shared" si="1"/>
        <v>0</v>
      </c>
    </row>
    <row r="12" spans="1:10" x14ac:dyDescent="0.25">
      <c r="A12" s="96" t="s">
        <v>103</v>
      </c>
      <c r="B12" s="104">
        <v>0.12</v>
      </c>
      <c r="C12" s="97">
        <v>0.18</v>
      </c>
      <c r="D12" s="98">
        <v>0.35</v>
      </c>
      <c r="E12" s="98"/>
      <c r="F12" s="98">
        <v>0.35</v>
      </c>
      <c r="G12" s="98"/>
      <c r="H12" s="7">
        <f>PREÇOS!E13</f>
        <v>8.0274999999999981</v>
      </c>
      <c r="I12" s="4">
        <f t="shared" si="0"/>
        <v>0.98738249999999994</v>
      </c>
      <c r="J12" s="4">
        <f t="shared" si="1"/>
        <v>0.98738249999999994</v>
      </c>
    </row>
    <row r="13" spans="1:10" x14ac:dyDescent="0.25">
      <c r="A13" s="96" t="s">
        <v>104</v>
      </c>
      <c r="B13" s="104">
        <v>7.0000000000000007E-2</v>
      </c>
      <c r="C13" s="97">
        <v>7.0000000000000007E-2</v>
      </c>
      <c r="D13" s="98"/>
      <c r="E13" s="98"/>
      <c r="F13" s="98"/>
      <c r="G13" s="98"/>
      <c r="H13" s="7">
        <f>PREÇOS!E14</f>
        <v>7.5334999999999992</v>
      </c>
      <c r="I13" s="4">
        <f t="shared" si="0"/>
        <v>0</v>
      </c>
      <c r="J13" s="4">
        <f t="shared" si="1"/>
        <v>0</v>
      </c>
    </row>
    <row r="14" spans="1:10" x14ac:dyDescent="0.25">
      <c r="A14" s="96" t="s">
        <v>105</v>
      </c>
      <c r="B14" s="104">
        <v>7.0000000000000007E-2</v>
      </c>
      <c r="C14" s="97">
        <v>0.17</v>
      </c>
      <c r="D14" s="98">
        <v>0.35449999999999998</v>
      </c>
      <c r="E14" s="98"/>
      <c r="F14" s="98">
        <v>0.35449999999999998</v>
      </c>
      <c r="G14" s="98"/>
      <c r="H14" s="7">
        <f>PREÇOS!E15</f>
        <v>7.5334999999999992</v>
      </c>
      <c r="I14" s="4">
        <f t="shared" si="0"/>
        <v>1.2073563775</v>
      </c>
      <c r="J14" s="4">
        <f t="shared" si="1"/>
        <v>1.2073563775</v>
      </c>
    </row>
    <row r="15" spans="1:10" x14ac:dyDescent="0.25">
      <c r="A15" s="96" t="s">
        <v>106</v>
      </c>
      <c r="B15" s="104">
        <v>7.0000000000000007E-2</v>
      </c>
      <c r="C15" s="97">
        <v>7.0000000000000007E-2</v>
      </c>
      <c r="D15" s="98"/>
      <c r="E15" s="98"/>
      <c r="F15" s="98"/>
      <c r="G15" s="98"/>
      <c r="H15" s="7">
        <f>PREÇOS!E16</f>
        <v>7.5334999999999992</v>
      </c>
      <c r="I15" s="4">
        <f t="shared" si="0"/>
        <v>0</v>
      </c>
      <c r="J15" s="4">
        <f t="shared" si="1"/>
        <v>0</v>
      </c>
    </row>
    <row r="16" spans="1:10" x14ac:dyDescent="0.25">
      <c r="A16" s="96" t="s">
        <v>107</v>
      </c>
      <c r="B16" s="104">
        <v>7.0000000000000007E-2</v>
      </c>
      <c r="C16" s="97">
        <v>7.0000000000000007E-2</v>
      </c>
      <c r="D16" s="98"/>
      <c r="E16" s="98"/>
      <c r="F16" s="98"/>
      <c r="G16" s="98"/>
      <c r="H16" s="7">
        <f>PREÇOS!E17</f>
        <v>7.5334999999999992</v>
      </c>
      <c r="I16" s="4">
        <f t="shared" si="0"/>
        <v>0</v>
      </c>
      <c r="J16" s="4">
        <f t="shared" si="1"/>
        <v>0</v>
      </c>
    </row>
    <row r="17" spans="1:10" x14ac:dyDescent="0.25">
      <c r="A17" s="96" t="s">
        <v>108</v>
      </c>
      <c r="B17" s="104">
        <v>7.0000000000000007E-2</v>
      </c>
      <c r="C17" s="97">
        <v>7.0000000000000007E-2</v>
      </c>
      <c r="D17" s="98"/>
      <c r="E17" s="98"/>
      <c r="F17" s="98"/>
      <c r="G17" s="98"/>
      <c r="H17" s="7">
        <f>PREÇOS!E18</f>
        <v>7.5334999999999992</v>
      </c>
      <c r="I17" s="4">
        <f t="shared" si="0"/>
        <v>0</v>
      </c>
      <c r="J17" s="4">
        <f t="shared" si="1"/>
        <v>0</v>
      </c>
    </row>
    <row r="18" spans="1:10" x14ac:dyDescent="0.25">
      <c r="A18" s="96" t="s">
        <v>109</v>
      </c>
      <c r="B18" s="104">
        <v>7.0000000000000007E-2</v>
      </c>
      <c r="C18" s="97">
        <v>7.0000000000000007E-2</v>
      </c>
      <c r="D18" s="98"/>
      <c r="E18" s="98"/>
      <c r="F18" s="98"/>
      <c r="G18" s="98"/>
      <c r="H18" s="7">
        <f>PREÇOS!E19</f>
        <v>7.5334999999999992</v>
      </c>
      <c r="I18" s="4">
        <f t="shared" si="0"/>
        <v>0</v>
      </c>
      <c r="J18" s="4">
        <f t="shared" si="1"/>
        <v>0</v>
      </c>
    </row>
    <row r="19" spans="1:10" x14ac:dyDescent="0.25">
      <c r="A19" s="96" t="s">
        <v>110</v>
      </c>
      <c r="B19" s="104">
        <v>0.12</v>
      </c>
      <c r="C19" s="97">
        <v>0.12</v>
      </c>
      <c r="D19" s="98"/>
      <c r="E19" s="98"/>
      <c r="F19" s="98"/>
      <c r="G19" s="98"/>
      <c r="H19" s="7">
        <f>PREÇOS!E20</f>
        <v>8.0274999999999981</v>
      </c>
      <c r="I19" s="4">
        <f t="shared" si="0"/>
        <v>0</v>
      </c>
      <c r="J19" s="4">
        <f t="shared" si="1"/>
        <v>0</v>
      </c>
    </row>
    <row r="20" spans="1:10" x14ac:dyDescent="0.25">
      <c r="A20" s="96" t="s">
        <v>111</v>
      </c>
      <c r="B20" s="104">
        <v>0.12</v>
      </c>
      <c r="C20" s="97">
        <v>0.12</v>
      </c>
      <c r="D20" s="98"/>
      <c r="E20" s="98"/>
      <c r="F20" s="98"/>
      <c r="G20" s="98"/>
      <c r="H20" s="7">
        <f>PREÇOS!E21</f>
        <v>8.0274999999999981</v>
      </c>
      <c r="I20" s="4">
        <f t="shared" si="0"/>
        <v>0</v>
      </c>
      <c r="J20" s="4">
        <f t="shared" si="1"/>
        <v>0</v>
      </c>
    </row>
    <row r="21" spans="1:10" x14ac:dyDescent="0.25">
      <c r="A21" s="96" t="s">
        <v>112</v>
      </c>
      <c r="B21" s="104">
        <v>7.0000000000000007E-2</v>
      </c>
      <c r="C21" s="97">
        <v>7.0000000000000007E-2</v>
      </c>
      <c r="D21" s="98"/>
      <c r="E21" s="98"/>
      <c r="F21" s="98"/>
      <c r="G21" s="98"/>
      <c r="H21" s="7">
        <f>PREÇOS!E22</f>
        <v>7.5334999999999992</v>
      </c>
      <c r="I21" s="4">
        <f t="shared" si="0"/>
        <v>0</v>
      </c>
      <c r="J21" s="4">
        <f t="shared" si="1"/>
        <v>0</v>
      </c>
    </row>
    <row r="22" spans="1:10" x14ac:dyDescent="0.25">
      <c r="A22" s="96" t="s">
        <v>113</v>
      </c>
      <c r="B22" s="104">
        <v>7.0000000000000007E-2</v>
      </c>
      <c r="C22" s="97">
        <v>7.0000000000000007E-2</v>
      </c>
      <c r="D22" s="98"/>
      <c r="E22" s="98"/>
      <c r="F22" s="98"/>
      <c r="G22" s="98"/>
      <c r="H22" s="7">
        <f>PREÇOS!E23</f>
        <v>7.5334999999999992</v>
      </c>
      <c r="I22" s="4">
        <f t="shared" si="0"/>
        <v>0</v>
      </c>
      <c r="J22" s="4">
        <f t="shared" si="1"/>
        <v>0</v>
      </c>
    </row>
    <row r="23" spans="1:10" x14ac:dyDescent="0.25">
      <c r="A23" s="96" t="s">
        <v>114</v>
      </c>
      <c r="B23" s="104">
        <v>7.0000000000000007E-2</v>
      </c>
      <c r="C23" s="97">
        <v>7.0000000000000007E-2</v>
      </c>
      <c r="D23" s="98"/>
      <c r="E23" s="98"/>
      <c r="F23" s="98"/>
      <c r="G23" s="98"/>
      <c r="H23" s="7">
        <f>PREÇOS!E24</f>
        <v>7.5334999999999992</v>
      </c>
      <c r="I23" s="4">
        <f t="shared" si="0"/>
        <v>0</v>
      </c>
      <c r="J23" s="4">
        <f t="shared" si="1"/>
        <v>0</v>
      </c>
    </row>
    <row r="24" spans="1:10" x14ac:dyDescent="0.25">
      <c r="A24" s="96" t="s">
        <v>115</v>
      </c>
      <c r="B24" s="104">
        <v>0.12</v>
      </c>
      <c r="C24" s="97">
        <v>0.12</v>
      </c>
      <c r="D24" s="98"/>
      <c r="E24" s="98"/>
      <c r="F24" s="98"/>
      <c r="G24" s="98"/>
      <c r="H24" s="7">
        <f>PREÇOS!E25</f>
        <v>8.0274999999999981</v>
      </c>
      <c r="I24" s="4">
        <f t="shared" si="0"/>
        <v>0</v>
      </c>
      <c r="J24" s="4">
        <f t="shared" si="1"/>
        <v>0</v>
      </c>
    </row>
    <row r="25" spans="1:10" x14ac:dyDescent="0.25">
      <c r="A25" s="96" t="s">
        <v>116</v>
      </c>
      <c r="B25" s="104">
        <v>0.12</v>
      </c>
      <c r="C25" s="97">
        <v>0.12</v>
      </c>
      <c r="D25" s="98"/>
      <c r="E25" s="98"/>
      <c r="F25" s="98"/>
      <c r="G25" s="98"/>
      <c r="H25" s="7">
        <f>PREÇOS!E26</f>
        <v>8.0274999999999981</v>
      </c>
      <c r="I25" s="4">
        <f t="shared" si="0"/>
        <v>0</v>
      </c>
      <c r="J25" s="4">
        <f t="shared" si="1"/>
        <v>0</v>
      </c>
    </row>
    <row r="26" spans="1:10" x14ac:dyDescent="0.25">
      <c r="A26" s="96" t="s">
        <v>117</v>
      </c>
      <c r="B26" s="104">
        <v>7.0000000000000007E-2</v>
      </c>
      <c r="C26" s="97">
        <v>7.0000000000000007E-2</v>
      </c>
      <c r="D26" s="98"/>
      <c r="E26" s="98"/>
      <c r="F26" s="98"/>
      <c r="G26" s="98"/>
      <c r="H26" s="7">
        <f>PREÇOS!E27</f>
        <v>7.5334999999999992</v>
      </c>
      <c r="I26" s="4">
        <f t="shared" si="0"/>
        <v>0</v>
      </c>
      <c r="J26" s="4">
        <f t="shared" si="1"/>
        <v>0</v>
      </c>
    </row>
    <row r="27" spans="1:10" x14ac:dyDescent="0.25">
      <c r="A27" s="96" t="s">
        <v>118</v>
      </c>
      <c r="B27" s="104">
        <v>0.12</v>
      </c>
      <c r="C27" s="97">
        <v>0.12</v>
      </c>
      <c r="D27" s="98"/>
      <c r="E27" s="98"/>
      <c r="F27" s="98"/>
      <c r="G27" s="98"/>
      <c r="H27" s="7">
        <f>PREÇOS!E28</f>
        <v>8.0274999999999981</v>
      </c>
      <c r="I27" s="4">
        <f t="shared" ref="I27:I30" si="2">IF(F27=0,,H27*(1+F27)*C27-(H27*B27))</f>
        <v>0</v>
      </c>
      <c r="J27" s="4">
        <f t="shared" ref="J27:J30" si="3">IF(G27=0,IF(F27=0,,H27*(1+F27)*C27-(H27*B27)),H27*(1+G27)*C27-(H27*B27))</f>
        <v>0</v>
      </c>
    </row>
    <row r="28" spans="1:10" x14ac:dyDescent="0.25">
      <c r="A28" s="99" t="s">
        <v>119</v>
      </c>
      <c r="B28" s="67">
        <f>B27</f>
        <v>0.12</v>
      </c>
      <c r="C28" s="67">
        <f t="shared" ref="C28:G28" si="4">C27</f>
        <v>0.12</v>
      </c>
      <c r="D28" s="67">
        <f t="shared" si="4"/>
        <v>0</v>
      </c>
      <c r="E28" s="67">
        <f t="shared" si="4"/>
        <v>0</v>
      </c>
      <c r="F28" s="67">
        <f t="shared" si="4"/>
        <v>0</v>
      </c>
      <c r="G28" s="67">
        <f t="shared" si="4"/>
        <v>0</v>
      </c>
      <c r="H28" s="94">
        <f>PREÇOS!E29</f>
        <v>8.0274999999999981</v>
      </c>
      <c r="I28" s="93">
        <f t="shared" si="2"/>
        <v>0</v>
      </c>
      <c r="J28" s="93">
        <f t="shared" si="3"/>
        <v>0</v>
      </c>
    </row>
    <row r="29" spans="1:10" x14ac:dyDescent="0.25">
      <c r="A29" s="96" t="s">
        <v>120</v>
      </c>
      <c r="B29" s="104">
        <v>7.0000000000000007E-2</v>
      </c>
      <c r="C29" s="97">
        <v>7.0000000000000007E-2</v>
      </c>
      <c r="D29" s="98"/>
      <c r="E29" s="98"/>
      <c r="F29" s="98"/>
      <c r="G29" s="98"/>
      <c r="H29" s="7">
        <f>PREÇOS!E30</f>
        <v>7.5334999999999992</v>
      </c>
      <c r="I29" s="4">
        <f t="shared" si="2"/>
        <v>0</v>
      </c>
      <c r="J29" s="4">
        <f t="shared" si="3"/>
        <v>0</v>
      </c>
    </row>
    <row r="30" spans="1:10" x14ac:dyDescent="0.25">
      <c r="A30" s="3" t="s">
        <v>121</v>
      </c>
      <c r="H30" s="7">
        <f>PREÇOS!E31</f>
        <v>0</v>
      </c>
      <c r="I30" s="4">
        <f t="shared" si="2"/>
        <v>0</v>
      </c>
      <c r="J30" s="4">
        <f t="shared" si="3"/>
        <v>0</v>
      </c>
    </row>
  </sheetData>
  <sheetProtection selectLockedCells="1" selectUnlockedCells="1"/>
  <autoFilter ref="A1:J1" xr:uid="{BD2CC421-ACA8-43F6-A3D3-68C43F3FC9DB}">
    <sortState xmlns:xlrd2="http://schemas.microsoft.com/office/spreadsheetml/2017/richdata2" ref="A2:J28">
      <sortCondition ref="A1"/>
    </sortState>
  </autoFilter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154F3-0795-44C1-B026-974BF55431D2}">
  <sheetPr codeName="Planilha5"/>
  <dimension ref="A1:J30"/>
  <sheetViews>
    <sheetView showGridLines="0" zoomScale="85" zoomScaleNormal="85" workbookViewId="0">
      <selection activeCell="Q21" sqref="Q21"/>
    </sheetView>
  </sheetViews>
  <sheetFormatPr defaultRowHeight="15" x14ac:dyDescent="0.25"/>
  <cols>
    <col min="1" max="1" width="9" bestFit="1" customWidth="1"/>
    <col min="2" max="2" width="25.42578125" bestFit="1" customWidth="1"/>
    <col min="3" max="3" width="18.5703125" bestFit="1" customWidth="1"/>
    <col min="4" max="4" width="16" bestFit="1" customWidth="1"/>
    <col min="5" max="5" width="17" bestFit="1" customWidth="1"/>
    <col min="6" max="6" width="20.5703125" bestFit="1" customWidth="1"/>
    <col min="7" max="7" width="21.5703125" bestFit="1" customWidth="1"/>
    <col min="8" max="8" width="10.5703125" customWidth="1"/>
    <col min="9" max="9" width="12.5703125" bestFit="1" customWidth="1"/>
    <col min="10" max="10" width="13.5703125" style="4" bestFit="1" customWidth="1"/>
  </cols>
  <sheetData>
    <row r="1" spans="1:10" ht="15.75" x14ac:dyDescent="0.25">
      <c r="A1" s="1" t="s">
        <v>84</v>
      </c>
      <c r="B1" s="5" t="s">
        <v>85</v>
      </c>
      <c r="C1" s="5" t="s">
        <v>86</v>
      </c>
      <c r="D1" s="2" t="s">
        <v>87</v>
      </c>
      <c r="E1" s="2" t="s">
        <v>88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</row>
    <row r="2" spans="1:10" x14ac:dyDescent="0.25">
      <c r="A2" s="96" t="s">
        <v>94</v>
      </c>
      <c r="B2" s="104">
        <v>7.0000000000000007E-2</v>
      </c>
      <c r="C2" s="104">
        <v>7.0000000000000007E-2</v>
      </c>
      <c r="D2" s="98"/>
      <c r="E2" s="98"/>
      <c r="F2" s="98"/>
      <c r="G2" s="98"/>
      <c r="H2" s="4">
        <f>PREÇOS!C3</f>
        <v>3.3914999999999997</v>
      </c>
      <c r="I2" s="4">
        <f>IF(F2=0,,H2*(1+F2)*C2-(H2*B2))</f>
        <v>0</v>
      </c>
      <c r="J2" s="4">
        <f>IF(G2=0,IF(F2=0,,H2*(1+F2)*C2-(H2*B2)),H2*(1+G2)*C2-(H2*B2))</f>
        <v>0</v>
      </c>
    </row>
    <row r="3" spans="1:10" x14ac:dyDescent="0.25">
      <c r="A3" s="96" t="s">
        <v>95</v>
      </c>
      <c r="B3" s="104">
        <v>7.0000000000000007E-2</v>
      </c>
      <c r="C3" s="104">
        <v>0.19</v>
      </c>
      <c r="D3" s="98">
        <v>0.54320000000000002</v>
      </c>
      <c r="E3" s="98"/>
      <c r="F3" s="98">
        <v>0.79400000000000004</v>
      </c>
      <c r="G3" s="98"/>
      <c r="H3" s="4">
        <f>PREÇOS!C4</f>
        <v>3.3914999999999997</v>
      </c>
      <c r="I3" s="4">
        <f t="shared" ref="I3:I26" si="0">IF(F3=0,,H3*(1+F3)*C3-(H3*B3))</f>
        <v>0.91862169000000005</v>
      </c>
      <c r="J3" s="4">
        <f t="shared" ref="J3:J26" si="1">IF(G3=0,IF(F3=0,,H3*(1+F3)*C3-(H3*B3)),H3*(1+G3)*C3-(H3*B3))</f>
        <v>0.91862169000000005</v>
      </c>
    </row>
    <row r="4" spans="1:10" x14ac:dyDescent="0.25">
      <c r="A4" s="96" t="s">
        <v>96</v>
      </c>
      <c r="B4" s="104">
        <v>7.0000000000000007E-2</v>
      </c>
      <c r="C4" s="104">
        <v>0.18</v>
      </c>
      <c r="D4" s="98"/>
      <c r="E4" s="98"/>
      <c r="F4" s="98"/>
      <c r="G4" s="98"/>
      <c r="H4" s="4">
        <f>PREÇOS!C5</f>
        <v>3.3914999999999997</v>
      </c>
      <c r="I4" s="4">
        <f t="shared" si="0"/>
        <v>0</v>
      </c>
      <c r="J4" s="4">
        <f t="shared" si="1"/>
        <v>0</v>
      </c>
    </row>
    <row r="5" spans="1:10" x14ac:dyDescent="0.25">
      <c r="A5" s="96" t="s">
        <v>97</v>
      </c>
      <c r="B5" s="104">
        <v>7.0000000000000007E-2</v>
      </c>
      <c r="C5" s="104">
        <v>0.18</v>
      </c>
      <c r="D5" s="98">
        <v>0.41</v>
      </c>
      <c r="E5" s="98"/>
      <c r="F5" s="98">
        <v>0.59909999999999997</v>
      </c>
      <c r="G5" s="98"/>
      <c r="H5" s="4">
        <f>PREÇOS!C6</f>
        <v>3.3914999999999997</v>
      </c>
      <c r="I5" s="4">
        <f t="shared" si="0"/>
        <v>0.73879757699999982</v>
      </c>
      <c r="J5" s="4">
        <f t="shared" si="1"/>
        <v>0.73879757699999982</v>
      </c>
    </row>
    <row r="6" spans="1:10" x14ac:dyDescent="0.25">
      <c r="A6" s="96" t="s">
        <v>98</v>
      </c>
      <c r="B6" s="104">
        <v>7.0000000000000007E-2</v>
      </c>
      <c r="C6" s="104">
        <v>7.0000000000000007E-2</v>
      </c>
      <c r="D6" s="98"/>
      <c r="E6" s="98"/>
      <c r="F6" s="98"/>
      <c r="G6" s="98"/>
      <c r="H6" s="4">
        <f>PREÇOS!C7</f>
        <v>3.3914999999999997</v>
      </c>
      <c r="I6" s="4">
        <f t="shared" si="0"/>
        <v>0</v>
      </c>
      <c r="J6" s="4">
        <f t="shared" si="1"/>
        <v>0</v>
      </c>
    </row>
    <row r="7" spans="1:10" x14ac:dyDescent="0.25">
      <c r="A7" s="96" t="s">
        <v>99</v>
      </c>
      <c r="B7" s="104">
        <v>7.0000000000000007E-2</v>
      </c>
      <c r="C7" s="104">
        <v>7.0000000000000007E-2</v>
      </c>
      <c r="D7" s="98"/>
      <c r="E7" s="98"/>
      <c r="F7" s="98"/>
      <c r="G7" s="98"/>
      <c r="H7" s="4">
        <f>PREÇOS!C8</f>
        <v>3.3914999999999997</v>
      </c>
      <c r="I7" s="4">
        <f t="shared" si="0"/>
        <v>0</v>
      </c>
      <c r="J7" s="4">
        <f t="shared" si="1"/>
        <v>0</v>
      </c>
    </row>
    <row r="8" spans="1:10" x14ac:dyDescent="0.25">
      <c r="A8" s="96" t="s">
        <v>5</v>
      </c>
      <c r="B8" s="104">
        <v>7.0000000000000007E-2</v>
      </c>
      <c r="C8" s="104">
        <v>7.0000000000000007E-2</v>
      </c>
      <c r="D8" s="98"/>
      <c r="E8" s="98"/>
      <c r="F8" s="98"/>
      <c r="G8" s="98"/>
      <c r="H8" s="4">
        <f>PREÇOS!C9</f>
        <v>3.3914999999999997</v>
      </c>
      <c r="I8" s="4">
        <f t="shared" si="0"/>
        <v>0</v>
      </c>
      <c r="J8" s="4">
        <f t="shared" si="1"/>
        <v>0</v>
      </c>
    </row>
    <row r="9" spans="1:10" x14ac:dyDescent="0.25">
      <c r="A9" s="96" t="s">
        <v>100</v>
      </c>
      <c r="B9" s="104">
        <v>7.0000000000000007E-2</v>
      </c>
      <c r="C9" s="97">
        <v>7.0000000000000007E-2</v>
      </c>
      <c r="D9" s="98"/>
      <c r="E9" s="98"/>
      <c r="F9" s="98"/>
      <c r="G9" s="98"/>
      <c r="H9" s="4">
        <f>PREÇOS!C10</f>
        <v>3.3914999999999997</v>
      </c>
      <c r="I9" s="4">
        <f t="shared" si="0"/>
        <v>0</v>
      </c>
      <c r="J9" s="4">
        <f t="shared" si="1"/>
        <v>0</v>
      </c>
    </row>
    <row r="10" spans="1:10" x14ac:dyDescent="0.25">
      <c r="A10" s="96" t="s">
        <v>101</v>
      </c>
      <c r="B10" s="104">
        <v>7.0000000000000007E-2</v>
      </c>
      <c r="C10" s="97">
        <v>7.0000000000000007E-2</v>
      </c>
      <c r="D10" s="98"/>
      <c r="E10" s="98"/>
      <c r="F10" s="98"/>
      <c r="G10" s="98"/>
      <c r="H10" s="4">
        <f>PREÇOS!C11</f>
        <v>3.3914999999999997</v>
      </c>
      <c r="I10" s="4">
        <f t="shared" si="0"/>
        <v>0</v>
      </c>
      <c r="J10" s="4">
        <f t="shared" si="1"/>
        <v>0</v>
      </c>
    </row>
    <row r="11" spans="1:10" x14ac:dyDescent="0.25">
      <c r="A11" s="96" t="s">
        <v>102</v>
      </c>
      <c r="B11" s="104">
        <v>7.0000000000000007E-2</v>
      </c>
      <c r="C11" s="97">
        <v>7.0000000000000007E-2</v>
      </c>
      <c r="D11" s="98"/>
      <c r="E11" s="98"/>
      <c r="F11" s="98"/>
      <c r="G11" s="98"/>
      <c r="H11" s="4">
        <f>PREÇOS!C12</f>
        <v>3.3914999999999997</v>
      </c>
      <c r="I11" s="4">
        <f t="shared" si="0"/>
        <v>0</v>
      </c>
      <c r="J11" s="4">
        <f t="shared" si="1"/>
        <v>0</v>
      </c>
    </row>
    <row r="12" spans="1:10" x14ac:dyDescent="0.25">
      <c r="A12" s="96" t="s">
        <v>103</v>
      </c>
      <c r="B12" s="104">
        <v>0.12</v>
      </c>
      <c r="C12" s="97">
        <v>0.18</v>
      </c>
      <c r="D12" s="98">
        <v>0.4</v>
      </c>
      <c r="E12" s="98"/>
      <c r="F12" s="98">
        <v>0.50239999999999996</v>
      </c>
      <c r="G12" s="98"/>
      <c r="H12" s="4">
        <f>PREÇOS!C13</f>
        <v>3.5909999999999997</v>
      </c>
      <c r="I12" s="4">
        <f t="shared" si="0"/>
        <v>0.54020131199999988</v>
      </c>
      <c r="J12" s="4">
        <f t="shared" si="1"/>
        <v>0.54020131199999988</v>
      </c>
    </row>
    <row r="13" spans="1:10" x14ac:dyDescent="0.25">
      <c r="A13" s="96" t="s">
        <v>104</v>
      </c>
      <c r="B13" s="104">
        <v>7.0000000000000007E-2</v>
      </c>
      <c r="C13" s="97">
        <v>7.0000000000000007E-2</v>
      </c>
      <c r="D13" s="98"/>
      <c r="E13" s="98"/>
      <c r="F13" s="98"/>
      <c r="G13" s="98"/>
      <c r="H13" s="4">
        <f>PREÇOS!C14</f>
        <v>3.3914999999999997</v>
      </c>
      <c r="I13" s="4">
        <f t="shared" si="0"/>
        <v>0</v>
      </c>
      <c r="J13" s="4">
        <f t="shared" si="1"/>
        <v>0</v>
      </c>
    </row>
    <row r="14" spans="1:10" x14ac:dyDescent="0.25">
      <c r="A14" s="96" t="s">
        <v>105</v>
      </c>
      <c r="B14" s="104">
        <v>7.0000000000000007E-2</v>
      </c>
      <c r="C14" s="97">
        <v>0.17</v>
      </c>
      <c r="D14" s="98">
        <v>0.45519999999999999</v>
      </c>
      <c r="E14" s="98"/>
      <c r="F14" s="98">
        <v>0.63049999999999995</v>
      </c>
      <c r="G14" s="98"/>
      <c r="H14" s="4">
        <f>PREÇOS!C15</f>
        <v>3.3914999999999997</v>
      </c>
      <c r="I14" s="4">
        <f t="shared" si="0"/>
        <v>0.70266792750000007</v>
      </c>
      <c r="J14" s="4">
        <f t="shared" si="1"/>
        <v>0.70266792750000007</v>
      </c>
    </row>
    <row r="15" spans="1:10" x14ac:dyDescent="0.25">
      <c r="A15" s="96" t="s">
        <v>106</v>
      </c>
      <c r="B15" s="104">
        <v>7.0000000000000007E-2</v>
      </c>
      <c r="C15" s="97">
        <v>7.0000000000000007E-2</v>
      </c>
      <c r="D15" s="98"/>
      <c r="E15" s="98"/>
      <c r="F15" s="98"/>
      <c r="G15" s="98"/>
      <c r="H15" s="4">
        <f>PREÇOS!C16</f>
        <v>3.3914999999999997</v>
      </c>
      <c r="I15" s="4">
        <f t="shared" si="0"/>
        <v>0</v>
      </c>
      <c r="J15" s="4">
        <f t="shared" si="1"/>
        <v>0</v>
      </c>
    </row>
    <row r="16" spans="1:10" x14ac:dyDescent="0.25">
      <c r="A16" s="96" t="s">
        <v>107</v>
      </c>
      <c r="B16" s="104">
        <v>7.0000000000000007E-2</v>
      </c>
      <c r="C16" s="97">
        <v>7.0000000000000007E-2</v>
      </c>
      <c r="D16" s="98"/>
      <c r="E16" s="98"/>
      <c r="F16" s="98"/>
      <c r="G16" s="98"/>
      <c r="H16" s="4">
        <f>PREÇOS!C17</f>
        <v>3.3914999999999997</v>
      </c>
      <c r="I16" s="4">
        <f t="shared" si="0"/>
        <v>0</v>
      </c>
      <c r="J16" s="4">
        <f t="shared" si="1"/>
        <v>0</v>
      </c>
    </row>
    <row r="17" spans="1:10" x14ac:dyDescent="0.25">
      <c r="A17" s="96" t="s">
        <v>108</v>
      </c>
      <c r="B17" s="104">
        <v>7.0000000000000007E-2</v>
      </c>
      <c r="C17" s="97">
        <v>7.0000000000000007E-2</v>
      </c>
      <c r="D17" s="98"/>
      <c r="E17" s="98"/>
      <c r="F17" s="98"/>
      <c r="G17" s="98"/>
      <c r="H17" s="4">
        <f>PREÇOS!C18</f>
        <v>3.3914999999999997</v>
      </c>
      <c r="I17" s="4">
        <f t="shared" si="0"/>
        <v>0</v>
      </c>
      <c r="J17" s="4">
        <f t="shared" si="1"/>
        <v>0</v>
      </c>
    </row>
    <row r="18" spans="1:10" x14ac:dyDescent="0.25">
      <c r="A18" s="96" t="s">
        <v>109</v>
      </c>
      <c r="B18" s="104">
        <v>7.0000000000000007E-2</v>
      </c>
      <c r="C18" s="97">
        <v>7.0000000000000007E-2</v>
      </c>
      <c r="D18" s="98"/>
      <c r="E18" s="98"/>
      <c r="F18" s="98"/>
      <c r="G18" s="98"/>
      <c r="H18" s="4">
        <f>PREÇOS!C19</f>
        <v>3.3914999999999997</v>
      </c>
      <c r="I18" s="4">
        <f t="shared" si="0"/>
        <v>0</v>
      </c>
      <c r="J18" s="4">
        <f t="shared" si="1"/>
        <v>0</v>
      </c>
    </row>
    <row r="19" spans="1:10" x14ac:dyDescent="0.25">
      <c r="A19" s="99" t="s">
        <v>110</v>
      </c>
      <c r="B19" s="67">
        <v>0.12</v>
      </c>
      <c r="C19" s="100">
        <v>0.19500000000000001</v>
      </c>
      <c r="D19" s="66">
        <v>0.54320000000000002</v>
      </c>
      <c r="E19" s="66">
        <v>0.16300000000000001</v>
      </c>
      <c r="F19" s="66">
        <v>0.68700000000000006</v>
      </c>
      <c r="G19" s="66">
        <v>0.1968</v>
      </c>
      <c r="H19" s="4">
        <f>PREÇOS!C20</f>
        <v>3.5909999999999997</v>
      </c>
      <c r="I19" s="4">
        <f t="shared" si="0"/>
        <v>0.75039331499999995</v>
      </c>
      <c r="J19" s="4">
        <f t="shared" si="1"/>
        <v>0.40713321599999996</v>
      </c>
    </row>
    <row r="20" spans="1:10" x14ac:dyDescent="0.25">
      <c r="A20" s="99" t="s">
        <v>111</v>
      </c>
      <c r="B20" s="67">
        <v>0.12</v>
      </c>
      <c r="C20" s="100">
        <v>0.22</v>
      </c>
      <c r="D20" s="66">
        <v>0.4698</v>
      </c>
      <c r="E20" s="66"/>
      <c r="F20" s="66">
        <v>0.65820000000000001</v>
      </c>
      <c r="G20" s="66"/>
      <c r="H20" s="4">
        <f>PREÇOS!C21</f>
        <v>3.5909999999999997</v>
      </c>
      <c r="I20" s="4">
        <f t="shared" si="0"/>
        <v>0.87909116399999987</v>
      </c>
      <c r="J20" s="4">
        <f t="shared" si="1"/>
        <v>0.87909116399999987</v>
      </c>
    </row>
    <row r="21" spans="1:10" x14ac:dyDescent="0.25">
      <c r="A21" s="96" t="s">
        <v>112</v>
      </c>
      <c r="B21" s="104">
        <v>7.0000000000000007E-2</v>
      </c>
      <c r="C21" s="97">
        <v>7.0000000000000007E-2</v>
      </c>
      <c r="D21" s="98"/>
      <c r="E21" s="98"/>
      <c r="F21" s="98"/>
      <c r="G21" s="98"/>
      <c r="H21" s="4">
        <f>PREÇOS!C22</f>
        <v>3.3914999999999997</v>
      </c>
      <c r="I21" s="4">
        <f t="shared" si="0"/>
        <v>0</v>
      </c>
      <c r="J21" s="4">
        <f t="shared" si="1"/>
        <v>0</v>
      </c>
    </row>
    <row r="22" spans="1:10" x14ac:dyDescent="0.25">
      <c r="A22" s="96" t="s">
        <v>113</v>
      </c>
      <c r="B22" s="104">
        <v>7.0000000000000007E-2</v>
      </c>
      <c r="C22" s="97">
        <v>7.0000000000000007E-2</v>
      </c>
      <c r="D22" s="98"/>
      <c r="E22" s="98"/>
      <c r="F22" s="98"/>
      <c r="G22" s="98"/>
      <c r="H22" s="4">
        <f>PREÇOS!C23</f>
        <v>3.3914999999999997</v>
      </c>
      <c r="I22" s="4">
        <f t="shared" si="0"/>
        <v>0</v>
      </c>
      <c r="J22" s="4">
        <f t="shared" si="1"/>
        <v>0</v>
      </c>
    </row>
    <row r="23" spans="1:10" x14ac:dyDescent="0.25">
      <c r="A23" s="96" t="s">
        <v>114</v>
      </c>
      <c r="B23" s="104">
        <v>7.0000000000000007E-2</v>
      </c>
      <c r="C23" s="97">
        <v>7.0000000000000007E-2</v>
      </c>
      <c r="D23" s="98"/>
      <c r="E23" s="98"/>
      <c r="F23" s="98"/>
      <c r="G23" s="98"/>
      <c r="H23" s="4">
        <f>PREÇOS!C24</f>
        <v>3.3914999999999997</v>
      </c>
      <c r="I23" s="4">
        <f t="shared" si="0"/>
        <v>0</v>
      </c>
      <c r="J23" s="4">
        <f t="shared" si="1"/>
        <v>0</v>
      </c>
    </row>
    <row r="24" spans="1:10" x14ac:dyDescent="0.25">
      <c r="A24" s="96" t="s">
        <v>115</v>
      </c>
      <c r="B24" s="104">
        <v>0.12</v>
      </c>
      <c r="C24" s="97">
        <v>0.12</v>
      </c>
      <c r="D24" s="98"/>
      <c r="E24" s="98"/>
      <c r="F24" s="98"/>
      <c r="G24" s="98"/>
      <c r="H24" s="4">
        <f>PREÇOS!C25</f>
        <v>3.5909999999999997</v>
      </c>
      <c r="I24" s="4">
        <f t="shared" si="0"/>
        <v>0</v>
      </c>
      <c r="J24" s="4">
        <f t="shared" si="1"/>
        <v>0</v>
      </c>
    </row>
    <row r="25" spans="1:10" x14ac:dyDescent="0.25">
      <c r="A25" s="96" t="s">
        <v>116</v>
      </c>
      <c r="B25" s="104">
        <v>0.12</v>
      </c>
      <c r="C25" s="97">
        <v>0.12</v>
      </c>
      <c r="D25" s="98"/>
      <c r="E25" s="98"/>
      <c r="F25" s="98"/>
      <c r="G25" s="98"/>
      <c r="H25" s="4">
        <f>PREÇOS!C26</f>
        <v>3.5909999999999997</v>
      </c>
      <c r="I25" s="4">
        <f t="shared" si="0"/>
        <v>0</v>
      </c>
      <c r="J25" s="4">
        <f t="shared" si="1"/>
        <v>0</v>
      </c>
    </row>
    <row r="26" spans="1:10" x14ac:dyDescent="0.25">
      <c r="A26" s="96" t="s">
        <v>117</v>
      </c>
      <c r="B26" s="104">
        <v>7.0000000000000007E-2</v>
      </c>
      <c r="C26" s="97">
        <v>7.0000000000000007E-2</v>
      </c>
      <c r="D26" s="98"/>
      <c r="E26" s="98"/>
      <c r="F26" s="98"/>
      <c r="G26" s="98"/>
      <c r="H26" s="4">
        <f>PREÇOS!C27</f>
        <v>3.3914999999999997</v>
      </c>
      <c r="I26" s="4">
        <f t="shared" si="0"/>
        <v>0</v>
      </c>
      <c r="J26" s="4">
        <f t="shared" si="1"/>
        <v>0</v>
      </c>
    </row>
    <row r="27" spans="1:10" x14ac:dyDescent="0.25">
      <c r="A27" s="96" t="s">
        <v>118</v>
      </c>
      <c r="B27" s="104">
        <v>0.12</v>
      </c>
      <c r="C27" s="97">
        <v>0.18</v>
      </c>
      <c r="D27" s="98">
        <v>0.88070000000000004</v>
      </c>
      <c r="E27" s="98"/>
      <c r="F27" s="98">
        <v>0.88070000000000004</v>
      </c>
      <c r="G27" s="98"/>
      <c r="H27" s="4">
        <f>PREÇOS!C28</f>
        <v>3.5909999999999997</v>
      </c>
      <c r="I27" s="4">
        <f t="shared" ref="I27:I30" si="2">IF(F27=0,,H27*(1+F27)*C27-(H27*B27))</f>
        <v>0.78472686599999997</v>
      </c>
      <c r="J27" s="4">
        <f t="shared" ref="J27:J30" si="3">IF(G27=0,IF(F27=0,,H27*(1+F27)*C27-(H27*B27)),H27*(1+G27)*C27-(H27*B27))</f>
        <v>0.78472686599999997</v>
      </c>
    </row>
    <row r="28" spans="1:10" x14ac:dyDescent="0.25">
      <c r="A28" s="99" t="s">
        <v>119</v>
      </c>
      <c r="B28" s="67">
        <f>B27</f>
        <v>0.12</v>
      </c>
      <c r="C28" s="67">
        <f t="shared" ref="C28:G28" si="4">C27</f>
        <v>0.18</v>
      </c>
      <c r="D28" s="66">
        <f t="shared" si="4"/>
        <v>0.88070000000000004</v>
      </c>
      <c r="E28" s="66">
        <f t="shared" si="4"/>
        <v>0</v>
      </c>
      <c r="F28" s="66">
        <f t="shared" si="4"/>
        <v>0.88070000000000004</v>
      </c>
      <c r="G28" s="67">
        <f t="shared" si="4"/>
        <v>0</v>
      </c>
      <c r="H28" s="93">
        <f>PREÇOS!C29</f>
        <v>3.5909999999999997</v>
      </c>
      <c r="I28" s="93">
        <f t="shared" si="2"/>
        <v>0.78472686599999997</v>
      </c>
      <c r="J28" s="93">
        <f t="shared" si="3"/>
        <v>0.78472686599999997</v>
      </c>
    </row>
    <row r="29" spans="1:10" x14ac:dyDescent="0.25">
      <c r="A29" s="96" t="s">
        <v>120</v>
      </c>
      <c r="B29" s="104">
        <v>7.0000000000000007E-2</v>
      </c>
      <c r="C29" s="97">
        <v>7.0000000000000007E-2</v>
      </c>
      <c r="D29" s="98"/>
      <c r="E29" s="98"/>
      <c r="F29" s="98"/>
      <c r="G29" s="98"/>
      <c r="H29" s="4">
        <f>PREÇOS!C30</f>
        <v>3.3914999999999997</v>
      </c>
      <c r="I29" s="4">
        <f t="shared" si="2"/>
        <v>0</v>
      </c>
      <c r="J29" s="4">
        <f t="shared" si="3"/>
        <v>0</v>
      </c>
    </row>
    <row r="30" spans="1:10" x14ac:dyDescent="0.25">
      <c r="A30" s="3" t="s">
        <v>121</v>
      </c>
      <c r="H30" s="4">
        <f>PREÇOS!C31</f>
        <v>0</v>
      </c>
      <c r="I30" s="4">
        <f t="shared" si="2"/>
        <v>0</v>
      </c>
      <c r="J30" s="4">
        <f t="shared" si="3"/>
        <v>0</v>
      </c>
    </row>
  </sheetData>
  <sheetProtection selectLockedCells="1" selectUnlockedCells="1"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E9BD3-A12A-424B-85BE-7C9AA4F772E4}">
  <sheetPr codeName="Planilha8"/>
  <dimension ref="A1:J30"/>
  <sheetViews>
    <sheetView showGridLines="0" zoomScale="91" zoomScaleNormal="91" workbookViewId="0">
      <pane xSplit="3" ySplit="1" topLeftCell="D8" activePane="bottomRight" state="frozen"/>
      <selection pane="topRight" activeCell="Q21" sqref="Q21"/>
      <selection pane="bottomLeft" activeCell="Q21" sqref="Q21"/>
      <selection pane="bottomRight" activeCell="Q21" sqref="Q21"/>
    </sheetView>
  </sheetViews>
  <sheetFormatPr defaultRowHeight="15" x14ac:dyDescent="0.25"/>
  <cols>
    <col min="1" max="1" width="9" bestFit="1" customWidth="1"/>
    <col min="2" max="2" width="25.42578125" bestFit="1" customWidth="1"/>
    <col min="3" max="3" width="18.5703125" bestFit="1" customWidth="1"/>
    <col min="4" max="4" width="16" bestFit="1" customWidth="1"/>
    <col min="5" max="5" width="16.85546875" bestFit="1" customWidth="1"/>
    <col min="6" max="6" width="20.5703125" bestFit="1" customWidth="1"/>
    <col min="7" max="7" width="21.5703125" bestFit="1" customWidth="1"/>
    <col min="8" max="8" width="8.5703125" bestFit="1" customWidth="1"/>
    <col min="9" max="9" width="12.5703125" bestFit="1" customWidth="1"/>
    <col min="10" max="10" width="13.5703125" bestFit="1" customWidth="1"/>
  </cols>
  <sheetData>
    <row r="1" spans="1:10" ht="15.75" x14ac:dyDescent="0.25">
      <c r="A1" s="1" t="s">
        <v>84</v>
      </c>
      <c r="B1" s="5" t="s">
        <v>85</v>
      </c>
      <c r="C1" s="5" t="s">
        <v>86</v>
      </c>
      <c r="D1" s="2" t="s">
        <v>87</v>
      </c>
      <c r="E1" s="2" t="s">
        <v>88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</row>
    <row r="2" spans="1:10" x14ac:dyDescent="0.25">
      <c r="A2" s="96" t="s">
        <v>94</v>
      </c>
      <c r="B2" s="104">
        <v>7.0000000000000007E-2</v>
      </c>
      <c r="C2" s="104">
        <f>VLOOKUP(A2,[1]DIFAL!$C$13:$H$39,6,)</f>
        <v>0.19</v>
      </c>
      <c r="D2" s="98"/>
      <c r="E2" s="98"/>
      <c r="F2" s="98"/>
      <c r="G2" s="98"/>
      <c r="H2" s="36">
        <f>PREÇOS!H3</f>
        <v>7.5334999999999992</v>
      </c>
      <c r="I2" s="33">
        <f t="shared" ref="I2:I26" si="0">IF(F2=0,,H2*(1+F2)*C2-(H2*B2))</f>
        <v>0</v>
      </c>
      <c r="J2" s="33">
        <f t="shared" ref="J2:J26" si="1">IF(G2=0,IF(F2=0,,H2*(1+F2)*C2-(H2*B2)),H2*(1+G2)*C2-(H2*B2))</f>
        <v>0</v>
      </c>
    </row>
    <row r="3" spans="1:10" x14ac:dyDescent="0.25">
      <c r="A3" s="96" t="s">
        <v>95</v>
      </c>
      <c r="B3" s="104">
        <v>7.0000000000000007E-2</v>
      </c>
      <c r="C3" s="104">
        <v>0.2</v>
      </c>
      <c r="D3" s="98"/>
      <c r="E3" s="98"/>
      <c r="F3" s="98">
        <v>0.51129999999999998</v>
      </c>
      <c r="G3" s="98"/>
      <c r="H3" s="36">
        <f>PREÇOS!H4</f>
        <v>7.5334999999999992</v>
      </c>
      <c r="I3" s="33">
        <f>IF(F3=0,,H3*(1+F3)*C3-(H3*B3))</f>
        <v>1.7497307099999997</v>
      </c>
      <c r="J3" s="33">
        <f t="shared" si="1"/>
        <v>1.7497307099999997</v>
      </c>
    </row>
    <row r="4" spans="1:10" x14ac:dyDescent="0.25">
      <c r="A4" s="96" t="s">
        <v>96</v>
      </c>
      <c r="B4" s="104">
        <v>7.0000000000000007E-2</v>
      </c>
      <c r="C4" s="104">
        <f>VLOOKUP(A4,[1]DIFAL!$C$13:$H$39,6,)</f>
        <v>0.2</v>
      </c>
      <c r="D4" s="98"/>
      <c r="E4" s="98"/>
      <c r="F4" s="98"/>
      <c r="G4" s="98"/>
      <c r="H4" s="36">
        <f>PREÇOS!H5</f>
        <v>7.5334999999999992</v>
      </c>
      <c r="I4" s="33">
        <f t="shared" si="0"/>
        <v>0</v>
      </c>
      <c r="J4" s="33">
        <f t="shared" si="1"/>
        <v>0</v>
      </c>
    </row>
    <row r="5" spans="1:10" x14ac:dyDescent="0.25">
      <c r="A5" s="96" t="s">
        <v>97</v>
      </c>
      <c r="B5" s="104">
        <v>7.0000000000000007E-2</v>
      </c>
      <c r="C5" s="104">
        <f>VLOOKUP(A5,[1]DIFAL!$C$13:$H$39,5,)</f>
        <v>0.18</v>
      </c>
      <c r="D5" s="98"/>
      <c r="E5" s="98"/>
      <c r="F5" s="98">
        <v>0.51980000000000004</v>
      </c>
      <c r="G5" s="98"/>
      <c r="H5" s="36">
        <f>PREÇOS!H6</f>
        <v>7.5334999999999992</v>
      </c>
      <c r="I5" s="33">
        <f t="shared" si="0"/>
        <v>1.533549394</v>
      </c>
      <c r="J5" s="33">
        <f t="shared" si="1"/>
        <v>1.533549394</v>
      </c>
    </row>
    <row r="6" spans="1:10" x14ac:dyDescent="0.25">
      <c r="A6" s="96" t="s">
        <v>98</v>
      </c>
      <c r="B6" s="104">
        <v>7.0000000000000007E-2</v>
      </c>
      <c r="C6" s="104">
        <f>VLOOKUP(A6,[1]DIFAL!$C$13:$H$39,6,)</f>
        <v>0.19</v>
      </c>
      <c r="D6" s="98"/>
      <c r="E6" s="98"/>
      <c r="F6" s="98"/>
      <c r="G6" s="98"/>
      <c r="H6" s="36">
        <f>PREÇOS!H7</f>
        <v>7.5334999999999992</v>
      </c>
      <c r="I6" s="33">
        <f t="shared" si="0"/>
        <v>0</v>
      </c>
      <c r="J6" s="33">
        <f t="shared" si="1"/>
        <v>0</v>
      </c>
    </row>
    <row r="7" spans="1:10" x14ac:dyDescent="0.25">
      <c r="A7" s="96" t="s">
        <v>99</v>
      </c>
      <c r="B7" s="104">
        <v>7.0000000000000007E-2</v>
      </c>
      <c r="C7" s="104">
        <f>VLOOKUP(A7,[1]DIFAL!$C$13:$H$39,6,)</f>
        <v>0.2</v>
      </c>
      <c r="D7" s="98"/>
      <c r="E7" s="98"/>
      <c r="F7" s="98"/>
      <c r="G7" s="98"/>
      <c r="H7" s="36">
        <f>PREÇOS!H8</f>
        <v>7.5334999999999992</v>
      </c>
      <c r="I7" s="33">
        <f t="shared" si="0"/>
        <v>0</v>
      </c>
      <c r="J7" s="33">
        <f t="shared" si="1"/>
        <v>0</v>
      </c>
    </row>
    <row r="8" spans="1:10" x14ac:dyDescent="0.25">
      <c r="A8" s="96" t="s">
        <v>5</v>
      </c>
      <c r="B8" s="104">
        <v>7.0000000000000007E-2</v>
      </c>
      <c r="C8" s="104">
        <f>VLOOKUP(A8,[1]DIFAL!$C$13:$H$39,5,)</f>
        <v>0.18</v>
      </c>
      <c r="D8" s="98"/>
      <c r="E8" s="98"/>
      <c r="F8" s="98"/>
      <c r="G8" s="98"/>
      <c r="H8" s="36">
        <f>PREÇOS!H9</f>
        <v>7.5334999999999992</v>
      </c>
      <c r="I8" s="33">
        <f t="shared" si="0"/>
        <v>0</v>
      </c>
      <c r="J8" s="33">
        <f t="shared" si="1"/>
        <v>0</v>
      </c>
    </row>
    <row r="9" spans="1:10" x14ac:dyDescent="0.25">
      <c r="A9" s="96" t="s">
        <v>100</v>
      </c>
      <c r="B9" s="104">
        <v>7.0000000000000007E-2</v>
      </c>
      <c r="C9" s="104">
        <f>VLOOKUP(A9,[1]DIFAL!$C$13:$H$39,5,)</f>
        <v>0.17</v>
      </c>
      <c r="D9" s="98"/>
      <c r="E9" s="98"/>
      <c r="F9" s="98"/>
      <c r="G9" s="98"/>
      <c r="H9" s="36">
        <f>PREÇOS!H10</f>
        <v>7.5334999999999992</v>
      </c>
      <c r="I9" s="33">
        <f t="shared" si="0"/>
        <v>0</v>
      </c>
      <c r="J9" s="33">
        <f t="shared" si="1"/>
        <v>0</v>
      </c>
    </row>
    <row r="10" spans="1:10" x14ac:dyDescent="0.25">
      <c r="A10" s="96" t="s">
        <v>101</v>
      </c>
      <c r="B10" s="104">
        <v>7.0000000000000007E-2</v>
      </c>
      <c r="C10" s="104">
        <f>VLOOKUP(A10,[1]DIFAL!$C$13:$H$39,5,)</f>
        <v>0.17</v>
      </c>
      <c r="D10" s="98"/>
      <c r="E10" s="98"/>
      <c r="F10" s="98"/>
      <c r="G10" s="98"/>
      <c r="H10" s="36">
        <f>PREÇOS!H11</f>
        <v>7.5334999999999992</v>
      </c>
      <c r="I10" s="33">
        <f t="shared" si="0"/>
        <v>0</v>
      </c>
      <c r="J10" s="33">
        <f t="shared" si="1"/>
        <v>0</v>
      </c>
    </row>
    <row r="11" spans="1:10" x14ac:dyDescent="0.25">
      <c r="A11" s="96" t="s">
        <v>102</v>
      </c>
      <c r="B11" s="104">
        <v>7.0000000000000007E-2</v>
      </c>
      <c r="C11" s="104">
        <f>VLOOKUP(A11,[1]DIFAL!$C$13:$H$39,6,)</f>
        <v>0.2</v>
      </c>
      <c r="D11" s="98"/>
      <c r="E11" s="98"/>
      <c r="F11" s="98"/>
      <c r="G11" s="98"/>
      <c r="H11" s="36">
        <f>PREÇOS!H12</f>
        <v>7.5334999999999992</v>
      </c>
      <c r="I11" s="33">
        <f t="shared" si="0"/>
        <v>0</v>
      </c>
      <c r="J11" s="33">
        <f t="shared" si="1"/>
        <v>0</v>
      </c>
    </row>
    <row r="12" spans="1:10" x14ac:dyDescent="0.25">
      <c r="A12" s="96" t="s">
        <v>103</v>
      </c>
      <c r="B12" s="104">
        <v>0.12</v>
      </c>
      <c r="C12" s="104">
        <v>0.12</v>
      </c>
      <c r="D12" s="98"/>
      <c r="E12" s="98"/>
      <c r="F12" s="98">
        <v>0.25</v>
      </c>
      <c r="G12" s="98"/>
      <c r="H12" s="63">
        <f>PREÇOS!H13</f>
        <v>7.9799999999999995</v>
      </c>
      <c r="I12" s="65">
        <f t="shared" si="0"/>
        <v>0.23939999999999995</v>
      </c>
      <c r="J12" s="65">
        <f t="shared" si="1"/>
        <v>0.23939999999999995</v>
      </c>
    </row>
    <row r="13" spans="1:10" x14ac:dyDescent="0.25">
      <c r="A13" s="96" t="s">
        <v>104</v>
      </c>
      <c r="B13" s="104">
        <v>7.0000000000000007E-2</v>
      </c>
      <c r="C13" s="104">
        <f>VLOOKUP(A13,[1]DIFAL!$C$13:$H$39,5,)</f>
        <v>0.17</v>
      </c>
      <c r="D13" s="98"/>
      <c r="E13" s="98"/>
      <c r="F13" s="98"/>
      <c r="G13" s="98"/>
      <c r="H13" s="36">
        <f>PREÇOS!H14</f>
        <v>7.5334999999999992</v>
      </c>
      <c r="I13" s="33">
        <f t="shared" si="0"/>
        <v>0</v>
      </c>
      <c r="J13" s="33">
        <f t="shared" si="1"/>
        <v>0</v>
      </c>
    </row>
    <row r="14" spans="1:10" x14ac:dyDescent="0.25">
      <c r="A14" s="96" t="s">
        <v>105</v>
      </c>
      <c r="B14" s="104">
        <v>7.0000000000000007E-2</v>
      </c>
      <c r="C14" s="104">
        <f>VLOOKUP(A14,[1]DIFAL!$C$13:$H$39,5,)</f>
        <v>0.17</v>
      </c>
      <c r="D14" s="98"/>
      <c r="E14" s="98"/>
      <c r="F14" s="98">
        <v>0.39779999999999999</v>
      </c>
      <c r="G14" s="98"/>
      <c r="H14" s="36">
        <f>PREÇOS!H15</f>
        <v>7.5334999999999992</v>
      </c>
      <c r="I14" s="33">
        <f t="shared" si="0"/>
        <v>1.2628104709999999</v>
      </c>
      <c r="J14" s="33">
        <f t="shared" si="1"/>
        <v>1.2628104709999999</v>
      </c>
    </row>
    <row r="15" spans="1:10" x14ac:dyDescent="0.25">
      <c r="A15" s="96" t="s">
        <v>106</v>
      </c>
      <c r="B15" s="104">
        <v>7.0000000000000007E-2</v>
      </c>
      <c r="C15" s="104">
        <f>VLOOKUP(A15,[1]DIFAL!$C$13:$H$39,6,)</f>
        <v>0.19</v>
      </c>
      <c r="D15" s="98"/>
      <c r="E15" s="98"/>
      <c r="F15" s="98"/>
      <c r="G15" s="98"/>
      <c r="H15" s="36">
        <f>PREÇOS!H16</f>
        <v>7.5334999999999992</v>
      </c>
      <c r="I15" s="33">
        <f t="shared" si="0"/>
        <v>0</v>
      </c>
      <c r="J15" s="33">
        <f t="shared" si="1"/>
        <v>0</v>
      </c>
    </row>
    <row r="16" spans="1:10" x14ac:dyDescent="0.25">
      <c r="A16" s="96" t="s">
        <v>107</v>
      </c>
      <c r="B16" s="104">
        <v>7.0000000000000007E-2</v>
      </c>
      <c r="C16" s="104">
        <f>VLOOKUP(A16,[1]DIFAL!$C$13:$H$39,5,)</f>
        <v>0.18</v>
      </c>
      <c r="D16" s="98"/>
      <c r="E16" s="98"/>
      <c r="F16" s="98"/>
      <c r="G16" s="98"/>
      <c r="H16" s="36">
        <f>PREÇOS!H17</f>
        <v>7.5334999999999992</v>
      </c>
      <c r="I16" s="33">
        <f t="shared" si="0"/>
        <v>0</v>
      </c>
      <c r="J16" s="33">
        <f t="shared" si="1"/>
        <v>0</v>
      </c>
    </row>
    <row r="17" spans="1:10" x14ac:dyDescent="0.25">
      <c r="A17" s="96" t="s">
        <v>108</v>
      </c>
      <c r="B17" s="104">
        <v>7.0000000000000007E-2</v>
      </c>
      <c r="C17" s="104">
        <f>VLOOKUP(A17,[1]DIFAL!$C$13:$H$39,5,)</f>
        <v>0.18</v>
      </c>
      <c r="D17" s="98"/>
      <c r="E17" s="98"/>
      <c r="F17" s="98"/>
      <c r="G17" s="98"/>
      <c r="H17" s="36">
        <f>PREÇOS!H18</f>
        <v>7.5334999999999992</v>
      </c>
      <c r="I17" s="33">
        <f t="shared" si="0"/>
        <v>0</v>
      </c>
      <c r="J17" s="33">
        <f t="shared" si="1"/>
        <v>0</v>
      </c>
    </row>
    <row r="18" spans="1:10" x14ac:dyDescent="0.25">
      <c r="A18" s="96" t="s">
        <v>109</v>
      </c>
      <c r="B18" s="104">
        <v>7.0000000000000007E-2</v>
      </c>
      <c r="C18" s="104">
        <f>VLOOKUP(A18,[1]DIFAL!$C$13:$H$39,6,)</f>
        <v>0.21</v>
      </c>
      <c r="D18" s="98"/>
      <c r="E18" s="98"/>
      <c r="F18" s="98"/>
      <c r="G18" s="98"/>
      <c r="H18" s="36">
        <f>PREÇOS!H19</f>
        <v>7.5334999999999992</v>
      </c>
      <c r="I18" s="33">
        <f t="shared" si="0"/>
        <v>0</v>
      </c>
      <c r="J18" s="33">
        <f t="shared" si="1"/>
        <v>0</v>
      </c>
    </row>
    <row r="19" spans="1:10" x14ac:dyDescent="0.25">
      <c r="A19" s="96" t="s">
        <v>110</v>
      </c>
      <c r="B19" s="104">
        <v>0.12</v>
      </c>
      <c r="C19" s="104">
        <v>0.12</v>
      </c>
      <c r="D19" s="98"/>
      <c r="E19" s="98"/>
      <c r="F19" s="98"/>
      <c r="G19" s="98"/>
      <c r="H19" s="63">
        <f>PREÇOS!H20</f>
        <v>7.9799999999999995</v>
      </c>
      <c r="I19" s="65">
        <f t="shared" si="0"/>
        <v>0</v>
      </c>
      <c r="J19" s="65">
        <f t="shared" si="1"/>
        <v>0</v>
      </c>
    </row>
    <row r="20" spans="1:10" x14ac:dyDescent="0.25">
      <c r="A20" s="99" t="s">
        <v>111</v>
      </c>
      <c r="B20" s="67">
        <v>0.12</v>
      </c>
      <c r="C20" s="67">
        <v>0.22</v>
      </c>
      <c r="D20" s="66"/>
      <c r="E20" s="66"/>
      <c r="F20" s="66">
        <v>0.52529999999999999</v>
      </c>
      <c r="G20" s="66"/>
      <c r="H20" s="63">
        <f>PREÇOS!H21</f>
        <v>7.9799999999999995</v>
      </c>
      <c r="I20" s="65">
        <f t="shared" si="0"/>
        <v>1.7202166800000001</v>
      </c>
      <c r="J20" s="65">
        <f t="shared" si="1"/>
        <v>1.7202166800000001</v>
      </c>
    </row>
    <row r="21" spans="1:10" x14ac:dyDescent="0.25">
      <c r="A21" s="96" t="s">
        <v>112</v>
      </c>
      <c r="B21" s="104">
        <v>7.0000000000000007E-2</v>
      </c>
      <c r="C21" s="104">
        <f>VLOOKUP(A21,[1]DIFAL!$C$13:$H$39,6,)</f>
        <v>0.2</v>
      </c>
      <c r="D21" s="98"/>
      <c r="E21" s="98"/>
      <c r="F21" s="98"/>
      <c r="G21" s="98"/>
      <c r="H21" s="36">
        <f>PREÇOS!H22</f>
        <v>7.5334999999999992</v>
      </c>
      <c r="I21" s="33">
        <f t="shared" si="0"/>
        <v>0</v>
      </c>
      <c r="J21" s="33">
        <f t="shared" si="1"/>
        <v>0</v>
      </c>
    </row>
    <row r="22" spans="1:10" x14ac:dyDescent="0.25">
      <c r="A22" s="96" t="s">
        <v>113</v>
      </c>
      <c r="B22" s="104">
        <v>7.0000000000000007E-2</v>
      </c>
      <c r="C22" s="104">
        <f>VLOOKUP(A22,[1]DIFAL!$C$13:$H$39,5,)</f>
        <v>0.17499999999999999</v>
      </c>
      <c r="D22" s="98"/>
      <c r="E22" s="98"/>
      <c r="F22" s="98"/>
      <c r="G22" s="98"/>
      <c r="H22" s="36">
        <f>PREÇOS!H23</f>
        <v>7.5334999999999992</v>
      </c>
      <c r="I22" s="33">
        <f t="shared" si="0"/>
        <v>0</v>
      </c>
      <c r="J22" s="33">
        <f t="shared" si="1"/>
        <v>0</v>
      </c>
    </row>
    <row r="23" spans="1:10" x14ac:dyDescent="0.25">
      <c r="A23" s="96" t="s">
        <v>114</v>
      </c>
      <c r="B23" s="104">
        <v>7.0000000000000007E-2</v>
      </c>
      <c r="C23" s="104">
        <f>VLOOKUP(A23,[1]DIFAL!$C$13:$H$39,6,)</f>
        <v>0.2</v>
      </c>
      <c r="D23" s="98"/>
      <c r="E23" s="98"/>
      <c r="F23" s="98"/>
      <c r="G23" s="98"/>
      <c r="H23" s="36">
        <f>PREÇOS!H24</f>
        <v>7.5334999999999992</v>
      </c>
      <c r="I23" s="33">
        <f t="shared" si="0"/>
        <v>0</v>
      </c>
      <c r="J23" s="33">
        <f t="shared" si="1"/>
        <v>0</v>
      </c>
    </row>
    <row r="24" spans="1:10" x14ac:dyDescent="0.25">
      <c r="A24" s="96" t="s">
        <v>115</v>
      </c>
      <c r="B24" s="104">
        <v>0.12</v>
      </c>
      <c r="C24" s="104">
        <f>VLOOKUP(A24,[1]DIFAL!$C$13:$H$39,5,)</f>
        <v>0.17</v>
      </c>
      <c r="D24" s="98"/>
      <c r="E24" s="98"/>
      <c r="F24" s="98"/>
      <c r="G24" s="98"/>
      <c r="H24" s="63">
        <f>PREÇOS!H25</f>
        <v>7.9799999999999995</v>
      </c>
      <c r="I24" s="65">
        <f t="shared" si="0"/>
        <v>0</v>
      </c>
      <c r="J24" s="65">
        <f t="shared" si="1"/>
        <v>0</v>
      </c>
    </row>
    <row r="25" spans="1:10" x14ac:dyDescent="0.25">
      <c r="A25" s="96" t="s">
        <v>116</v>
      </c>
      <c r="B25" s="104">
        <v>0.12</v>
      </c>
      <c r="C25" s="104">
        <f>VLOOKUP(A25,[1]DIFAL!$C$13:$H$39,5,)</f>
        <v>0.17</v>
      </c>
      <c r="D25" s="98"/>
      <c r="E25" s="98"/>
      <c r="F25" s="98"/>
      <c r="G25" s="98"/>
      <c r="H25" s="63">
        <f>PREÇOS!H26</f>
        <v>7.9799999999999995</v>
      </c>
      <c r="I25" s="65">
        <f t="shared" si="0"/>
        <v>0</v>
      </c>
      <c r="J25" s="65">
        <f t="shared" si="1"/>
        <v>0</v>
      </c>
    </row>
    <row r="26" spans="1:10" x14ac:dyDescent="0.25">
      <c r="A26" s="96" t="s">
        <v>117</v>
      </c>
      <c r="B26" s="104">
        <v>7.0000000000000007E-2</v>
      </c>
      <c r="C26" s="104">
        <v>0.2</v>
      </c>
      <c r="D26" s="98"/>
      <c r="E26" s="98"/>
      <c r="F26" s="98"/>
      <c r="G26" s="98"/>
      <c r="H26" s="36">
        <f>PREÇOS!H27</f>
        <v>7.5334999999999992</v>
      </c>
      <c r="I26" s="33">
        <f t="shared" si="0"/>
        <v>0</v>
      </c>
      <c r="J26" s="33">
        <f t="shared" si="1"/>
        <v>0</v>
      </c>
    </row>
    <row r="27" spans="1:10" x14ac:dyDescent="0.25">
      <c r="A27" s="96" t="s">
        <v>118</v>
      </c>
      <c r="B27" s="104">
        <v>0.12</v>
      </c>
      <c r="C27" s="104">
        <f>VLOOKUP(A27,[1]DIFAL!$C$13:$H$39,5,)</f>
        <v>0.18</v>
      </c>
      <c r="D27" s="98">
        <v>0.5917</v>
      </c>
      <c r="E27" s="98"/>
      <c r="F27" s="98">
        <v>0.5917</v>
      </c>
      <c r="G27" s="98"/>
      <c r="H27" s="63">
        <f>PREÇOS!H28</f>
        <v>7.9799999999999995</v>
      </c>
      <c r="I27" s="65">
        <f t="shared" ref="I27:I29" si="2">IF(F27=0,,H27*(1+F27)*C27-(H27*B27))</f>
        <v>1.3287178800000001</v>
      </c>
      <c r="J27" s="65">
        <f t="shared" ref="J27:J29" si="3">IF(G27=0,IF(F27=0,,H27*(1+F27)*C27-(H27*B27)),H27*(1+G27)*C27-(H27*B27))</f>
        <v>1.3287178800000001</v>
      </c>
    </row>
    <row r="28" spans="1:10" x14ac:dyDescent="0.25">
      <c r="A28" s="96" t="s">
        <v>119</v>
      </c>
      <c r="B28" s="104">
        <f>B27</f>
        <v>0.12</v>
      </c>
      <c r="C28" s="104">
        <f t="shared" ref="C28:G28" si="4">C27</f>
        <v>0.18</v>
      </c>
      <c r="D28" s="98">
        <v>0.48320000000000002</v>
      </c>
      <c r="E28" s="98">
        <f t="shared" si="4"/>
        <v>0</v>
      </c>
      <c r="F28" s="98">
        <v>0.48320000000000002</v>
      </c>
      <c r="G28" s="104">
        <f t="shared" si="4"/>
        <v>0</v>
      </c>
      <c r="H28" s="94">
        <f>PREÇOS!H29</f>
        <v>7.9799999999999995</v>
      </c>
      <c r="I28" s="93">
        <f t="shared" si="2"/>
        <v>1.17286848</v>
      </c>
      <c r="J28" s="93">
        <f t="shared" si="3"/>
        <v>1.17286848</v>
      </c>
    </row>
    <row r="29" spans="1:10" x14ac:dyDescent="0.25">
      <c r="A29" s="96" t="s">
        <v>120</v>
      </c>
      <c r="B29" s="104">
        <v>7.0000000000000007E-2</v>
      </c>
      <c r="C29" s="104">
        <f>VLOOKUP(A29,[1]DIFAL!$C$13:$H$39,6,)</f>
        <v>0.2</v>
      </c>
      <c r="D29" s="98"/>
      <c r="E29" s="98"/>
      <c r="F29" s="98"/>
      <c r="G29" s="98"/>
      <c r="H29" s="36">
        <f>PREÇOS!H30</f>
        <v>7.5334999999999992</v>
      </c>
      <c r="I29" s="33">
        <f t="shared" si="2"/>
        <v>0</v>
      </c>
      <c r="J29" s="33">
        <f t="shared" si="3"/>
        <v>0</v>
      </c>
    </row>
    <row r="30" spans="1:10" x14ac:dyDescent="0.25">
      <c r="A30" t="s">
        <v>121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C0F1F-1B27-4A9E-9BAE-087574B26674}">
  <sheetPr codeName="Planilha9"/>
  <dimension ref="A1:J30"/>
  <sheetViews>
    <sheetView showGridLines="0" topLeftCell="A3" zoomScale="91" zoomScaleNormal="91" workbookViewId="0">
      <selection activeCell="Q21" sqref="Q21"/>
    </sheetView>
  </sheetViews>
  <sheetFormatPr defaultRowHeight="15" x14ac:dyDescent="0.25"/>
  <cols>
    <col min="1" max="1" width="9" bestFit="1" customWidth="1"/>
    <col min="2" max="2" width="25.42578125" bestFit="1" customWidth="1"/>
    <col min="3" max="3" width="18.5703125" bestFit="1" customWidth="1"/>
    <col min="4" max="4" width="16" bestFit="1" customWidth="1"/>
    <col min="5" max="5" width="17" bestFit="1" customWidth="1"/>
    <col min="6" max="6" width="20.5703125" bestFit="1" customWidth="1"/>
    <col min="7" max="7" width="21.5703125" bestFit="1" customWidth="1"/>
    <col min="8" max="8" width="10.5703125" customWidth="1"/>
    <col min="9" max="9" width="12.5703125" bestFit="1" customWidth="1"/>
    <col min="10" max="10" width="13.5703125" style="4" bestFit="1" customWidth="1"/>
  </cols>
  <sheetData>
    <row r="1" spans="1:10" ht="15.75" x14ac:dyDescent="0.25">
      <c r="A1" s="1" t="s">
        <v>84</v>
      </c>
      <c r="B1" s="5" t="s">
        <v>85</v>
      </c>
      <c r="C1" s="5" t="s">
        <v>86</v>
      </c>
      <c r="D1" s="2" t="s">
        <v>87</v>
      </c>
      <c r="E1" s="2" t="s">
        <v>88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</row>
    <row r="2" spans="1:10" x14ac:dyDescent="0.25">
      <c r="A2" s="96" t="s">
        <v>94</v>
      </c>
      <c r="B2" s="104">
        <f>VLOOKUP(A2,[1]DIFAL!$C$13:$E$39,3,0)</f>
        <v>7.0000000000000007E-2</v>
      </c>
      <c r="C2" s="104">
        <v>0.17</v>
      </c>
      <c r="D2" s="98"/>
      <c r="E2" s="98"/>
      <c r="F2" s="98"/>
      <c r="G2" s="98"/>
      <c r="H2" s="7">
        <f>PREÇOS!G3</f>
        <v>7.4574999999999996</v>
      </c>
      <c r="I2" s="61">
        <f t="shared" ref="I2:I26" si="0">IF(F2=0,,H2*(1+F2)*C2-(H2*B2))</f>
        <v>0</v>
      </c>
      <c r="J2" s="4">
        <f t="shared" ref="J2:J26" si="1">IF(G2=0,IF(F2=0,,H2*(1+F2)*C2-(H2*B2)),H2*(1+G2)*C2-(H2*B2))</f>
        <v>0</v>
      </c>
    </row>
    <row r="3" spans="1:10" x14ac:dyDescent="0.25">
      <c r="A3" s="96" t="s">
        <v>95</v>
      </c>
      <c r="B3" s="104">
        <f>VLOOKUP(A3,[1]DIFAL!$C$13:$E$39,3,0)</f>
        <v>7.0000000000000007E-2</v>
      </c>
      <c r="C3" s="104">
        <v>0.2</v>
      </c>
      <c r="D3" s="98"/>
      <c r="E3" s="98"/>
      <c r="F3" s="98">
        <v>0.71</v>
      </c>
      <c r="G3" s="98"/>
      <c r="H3" s="7">
        <f>PREÇOS!G4</f>
        <v>7.4574999999999996</v>
      </c>
      <c r="I3" s="61">
        <f>IF(F3=0,,H3*(1+F3)*C3-(H3*B3))</f>
        <v>2.0284399999999998</v>
      </c>
      <c r="J3" s="4">
        <f t="shared" si="1"/>
        <v>2.0284399999999998</v>
      </c>
    </row>
    <row r="4" spans="1:10" x14ac:dyDescent="0.25">
      <c r="A4" s="96" t="s">
        <v>96</v>
      </c>
      <c r="B4" s="104">
        <f>VLOOKUP(A4,[1]DIFAL!$C$13:$E$39,3,0)</f>
        <v>7.0000000000000007E-2</v>
      </c>
      <c r="C4" s="104">
        <v>0.2</v>
      </c>
      <c r="D4" s="98"/>
      <c r="E4" s="98"/>
      <c r="F4" s="98">
        <v>0.55379999999999996</v>
      </c>
      <c r="G4" s="98"/>
      <c r="H4" s="7">
        <f>PREÇOS!G5</f>
        <v>7.4574999999999996</v>
      </c>
      <c r="I4" s="61">
        <f t="shared" si="0"/>
        <v>1.7954676999999997</v>
      </c>
      <c r="J4" s="4">
        <f t="shared" si="1"/>
        <v>1.7954676999999997</v>
      </c>
    </row>
    <row r="5" spans="1:10" x14ac:dyDescent="0.25">
      <c r="A5" s="96" t="s">
        <v>97</v>
      </c>
      <c r="B5" s="104">
        <f>VLOOKUP(A5,[1]DIFAL!$C$13:$E$39,3,0)</f>
        <v>7.0000000000000007E-2</v>
      </c>
      <c r="C5" s="104">
        <v>0.18</v>
      </c>
      <c r="D5" s="98"/>
      <c r="E5" s="98"/>
      <c r="F5" s="98"/>
      <c r="G5" s="98"/>
      <c r="H5" s="7">
        <f>PREÇOS!G6</f>
        <v>7.4574999999999996</v>
      </c>
      <c r="I5" s="61">
        <f t="shared" si="0"/>
        <v>0</v>
      </c>
      <c r="J5" s="4">
        <f t="shared" si="1"/>
        <v>0</v>
      </c>
    </row>
    <row r="6" spans="1:10" x14ac:dyDescent="0.25">
      <c r="A6" s="96" t="s">
        <v>98</v>
      </c>
      <c r="B6" s="104">
        <f>VLOOKUP(A6,[1]DIFAL!$C$13:$E$39,3,0)</f>
        <v>7.0000000000000007E-2</v>
      </c>
      <c r="C6" s="104">
        <v>0.19</v>
      </c>
      <c r="D6" s="98"/>
      <c r="E6" s="98"/>
      <c r="F6" s="98"/>
      <c r="G6" s="98"/>
      <c r="H6" s="7">
        <f>PREÇOS!G7</f>
        <v>7.4574999999999996</v>
      </c>
      <c r="I6" s="61">
        <f t="shared" si="0"/>
        <v>0</v>
      </c>
      <c r="J6" s="4">
        <f t="shared" si="1"/>
        <v>0</v>
      </c>
    </row>
    <row r="7" spans="1:10" x14ac:dyDescent="0.25">
      <c r="A7" s="96" t="s">
        <v>99</v>
      </c>
      <c r="B7" s="104">
        <f>VLOOKUP(A7,[1]DIFAL!$C$13:$E$39,3,0)</f>
        <v>7.0000000000000007E-2</v>
      </c>
      <c r="C7" s="104">
        <v>0.2</v>
      </c>
      <c r="D7" s="98"/>
      <c r="E7" s="98"/>
      <c r="F7" s="98"/>
      <c r="G7" s="98"/>
      <c r="H7" s="7">
        <f>PREÇOS!G8</f>
        <v>7.4574999999999996</v>
      </c>
      <c r="I7" s="61">
        <f t="shared" si="0"/>
        <v>0</v>
      </c>
      <c r="J7" s="4">
        <f t="shared" si="1"/>
        <v>0</v>
      </c>
    </row>
    <row r="8" spans="1:10" x14ac:dyDescent="0.25">
      <c r="A8" s="96" t="s">
        <v>5</v>
      </c>
      <c r="B8" s="104">
        <f>VLOOKUP(A8,[1]DIFAL!$C$13:$E$39,3,0)</f>
        <v>7.0000000000000007E-2</v>
      </c>
      <c r="C8" s="104">
        <v>0.18</v>
      </c>
      <c r="D8" s="98"/>
      <c r="E8" s="98"/>
      <c r="F8" s="98"/>
      <c r="G8" s="98"/>
      <c r="H8" s="7">
        <f>PREÇOS!G9</f>
        <v>7.4574999999999996</v>
      </c>
      <c r="I8" s="61">
        <f t="shared" si="0"/>
        <v>0</v>
      </c>
      <c r="J8" s="4">
        <f t="shared" si="1"/>
        <v>0</v>
      </c>
    </row>
    <row r="9" spans="1:10" x14ac:dyDescent="0.25">
      <c r="A9" s="96" t="s">
        <v>100</v>
      </c>
      <c r="B9" s="104">
        <f>VLOOKUP(A9,[1]DIFAL!$C$13:$E$39,3,0)</f>
        <v>7.0000000000000007E-2</v>
      </c>
      <c r="C9" s="104">
        <v>0.17</v>
      </c>
      <c r="D9" s="98"/>
      <c r="E9" s="98"/>
      <c r="F9" s="98"/>
      <c r="G9" s="98"/>
      <c r="H9" s="7">
        <f>PREÇOS!G10</f>
        <v>7.4574999999999996</v>
      </c>
      <c r="I9" s="61">
        <f t="shared" si="0"/>
        <v>0</v>
      </c>
      <c r="J9" s="4">
        <f t="shared" si="1"/>
        <v>0</v>
      </c>
    </row>
    <row r="10" spans="1:10" x14ac:dyDescent="0.25">
      <c r="A10" s="96" t="s">
        <v>101</v>
      </c>
      <c r="B10" s="104">
        <f>VLOOKUP(A10,[1]DIFAL!$C$13:$E$39,3,0)</f>
        <v>7.0000000000000007E-2</v>
      </c>
      <c r="C10" s="104">
        <v>0.17</v>
      </c>
      <c r="D10" s="98"/>
      <c r="E10" s="98"/>
      <c r="F10" s="98"/>
      <c r="G10" s="98"/>
      <c r="H10" s="7">
        <f>PREÇOS!G11</f>
        <v>7.4574999999999996</v>
      </c>
      <c r="I10" s="61">
        <f t="shared" si="0"/>
        <v>0</v>
      </c>
      <c r="J10" s="4">
        <f t="shared" si="1"/>
        <v>0</v>
      </c>
    </row>
    <row r="11" spans="1:10" x14ac:dyDescent="0.25">
      <c r="A11" s="96" t="s">
        <v>102</v>
      </c>
      <c r="B11" s="104">
        <f>VLOOKUP(A11,[1]DIFAL!$C$13:$E$39,3,0)</f>
        <v>7.0000000000000007E-2</v>
      </c>
      <c r="C11" s="104">
        <v>0.2</v>
      </c>
      <c r="D11" s="98"/>
      <c r="E11" s="98"/>
      <c r="F11" s="98"/>
      <c r="G11" s="98"/>
      <c r="H11" s="7">
        <f>PREÇOS!G12</f>
        <v>7.4574999999999996</v>
      </c>
      <c r="I11" s="61">
        <f t="shared" si="0"/>
        <v>0</v>
      </c>
      <c r="J11" s="4">
        <f t="shared" si="1"/>
        <v>0</v>
      </c>
    </row>
    <row r="12" spans="1:10" x14ac:dyDescent="0.25">
      <c r="A12" s="96" t="s">
        <v>103</v>
      </c>
      <c r="B12" s="104">
        <f>VLOOKUP(A12,[1]DIFAL!$C$13:$E$39,3,0)</f>
        <v>0.12</v>
      </c>
      <c r="C12" s="104">
        <v>0.18</v>
      </c>
      <c r="D12" s="98"/>
      <c r="E12" s="98"/>
      <c r="F12" s="98">
        <v>0.44879999999999998</v>
      </c>
      <c r="G12" s="98"/>
      <c r="H12" s="63">
        <f>PREÇOS!G13</f>
        <v>7.8850000000000007</v>
      </c>
      <c r="I12" s="64">
        <f t="shared" si="0"/>
        <v>1.1100818399999999</v>
      </c>
      <c r="J12" s="65">
        <f t="shared" si="1"/>
        <v>1.1100818399999999</v>
      </c>
    </row>
    <row r="13" spans="1:10" x14ac:dyDescent="0.25">
      <c r="A13" s="96" t="s">
        <v>104</v>
      </c>
      <c r="B13" s="104">
        <f>VLOOKUP(A13,[1]DIFAL!$C$13:$E$39,3,0)</f>
        <v>7.0000000000000007E-2</v>
      </c>
      <c r="C13" s="104">
        <v>0.17</v>
      </c>
      <c r="D13" s="98"/>
      <c r="E13" s="98"/>
      <c r="F13" s="98"/>
      <c r="G13" s="98"/>
      <c r="H13" s="7">
        <f>PREÇOS!G14</f>
        <v>7.4574999999999996</v>
      </c>
      <c r="I13" s="61">
        <f t="shared" si="0"/>
        <v>0</v>
      </c>
      <c r="J13" s="4">
        <f t="shared" si="1"/>
        <v>0</v>
      </c>
    </row>
    <row r="14" spans="1:10" x14ac:dyDescent="0.25">
      <c r="A14" s="96" t="s">
        <v>105</v>
      </c>
      <c r="B14" s="104">
        <f>VLOOKUP(A14,[1]DIFAL!$C$13:$E$39,3,0)</f>
        <v>7.0000000000000007E-2</v>
      </c>
      <c r="C14" s="104">
        <v>0.17</v>
      </c>
      <c r="D14" s="98"/>
      <c r="E14" s="98"/>
      <c r="F14" s="98">
        <v>0.45519999999999999</v>
      </c>
      <c r="G14" s="98"/>
      <c r="H14" s="7">
        <f>PREÇOS!G15</f>
        <v>7.4574999999999996</v>
      </c>
      <c r="I14" s="61">
        <f t="shared" si="0"/>
        <v>1.3228411800000002</v>
      </c>
      <c r="J14" s="4">
        <f t="shared" si="1"/>
        <v>1.3228411800000002</v>
      </c>
    </row>
    <row r="15" spans="1:10" x14ac:dyDescent="0.25">
      <c r="A15" s="96" t="s">
        <v>106</v>
      </c>
      <c r="B15" s="104">
        <f>VLOOKUP(A15,[1]DIFAL!$C$13:$E$39,3,0)</f>
        <v>7.0000000000000007E-2</v>
      </c>
      <c r="C15" s="104">
        <v>0.19</v>
      </c>
      <c r="D15" s="98"/>
      <c r="E15" s="98"/>
      <c r="F15" s="98"/>
      <c r="G15" s="98"/>
      <c r="H15" s="7">
        <f>PREÇOS!G16</f>
        <v>7.4574999999999996</v>
      </c>
      <c r="I15" s="61">
        <f t="shared" si="0"/>
        <v>0</v>
      </c>
      <c r="J15" s="4">
        <f t="shared" si="1"/>
        <v>0</v>
      </c>
    </row>
    <row r="16" spans="1:10" x14ac:dyDescent="0.25">
      <c r="A16" s="96" t="s">
        <v>107</v>
      </c>
      <c r="B16" s="104">
        <f>VLOOKUP(A16,[1]DIFAL!$C$13:$E$39,3,0)</f>
        <v>7.0000000000000007E-2</v>
      </c>
      <c r="C16" s="104">
        <v>0.18</v>
      </c>
      <c r="D16" s="98"/>
      <c r="E16" s="98"/>
      <c r="F16" s="98"/>
      <c r="G16" s="98"/>
      <c r="H16" s="7">
        <f>PREÇOS!G17</f>
        <v>7.4574999999999996</v>
      </c>
      <c r="I16" s="61">
        <f t="shared" si="0"/>
        <v>0</v>
      </c>
      <c r="J16" s="4">
        <f t="shared" si="1"/>
        <v>0</v>
      </c>
    </row>
    <row r="17" spans="1:10" x14ac:dyDescent="0.25">
      <c r="A17" s="96" t="s">
        <v>108</v>
      </c>
      <c r="B17" s="104">
        <f>VLOOKUP(A17,[1]DIFAL!$C$13:$E$39,3,0)</f>
        <v>7.0000000000000007E-2</v>
      </c>
      <c r="C17" s="104">
        <v>0.18</v>
      </c>
      <c r="D17" s="98"/>
      <c r="E17" s="98"/>
      <c r="F17" s="98"/>
      <c r="G17" s="98"/>
      <c r="H17" s="7">
        <f>PREÇOS!G18</f>
        <v>7.4574999999999996</v>
      </c>
      <c r="I17" s="61">
        <f t="shared" si="0"/>
        <v>0</v>
      </c>
      <c r="J17" s="4">
        <f t="shared" si="1"/>
        <v>0</v>
      </c>
    </row>
    <row r="18" spans="1:10" x14ac:dyDescent="0.25">
      <c r="A18" s="96" t="s">
        <v>109</v>
      </c>
      <c r="B18" s="104">
        <f>VLOOKUP(A18,[1]DIFAL!$C$13:$E$39,3,0)</f>
        <v>7.0000000000000007E-2</v>
      </c>
      <c r="C18" s="104">
        <v>0.21</v>
      </c>
      <c r="D18" s="98"/>
      <c r="E18" s="98"/>
      <c r="F18" s="98"/>
      <c r="G18" s="98"/>
      <c r="H18" s="7">
        <f>PREÇOS!G19</f>
        <v>7.4574999999999996</v>
      </c>
      <c r="I18" s="61">
        <f t="shared" si="0"/>
        <v>0</v>
      </c>
      <c r="J18" s="4">
        <f t="shared" si="1"/>
        <v>0</v>
      </c>
    </row>
    <row r="19" spans="1:10" x14ac:dyDescent="0.25">
      <c r="A19" s="96" t="s">
        <v>110</v>
      </c>
      <c r="B19" s="104">
        <v>0.12</v>
      </c>
      <c r="C19" s="104">
        <v>0.19500000000000001</v>
      </c>
      <c r="D19" s="98"/>
      <c r="E19" s="98"/>
      <c r="F19" s="98">
        <v>0.60799999999999998</v>
      </c>
      <c r="G19" s="98"/>
      <c r="H19" s="63">
        <f>PREÇOS!G20</f>
        <v>7.8850000000000007</v>
      </c>
      <c r="I19" s="64">
        <f>IF(F19=0,,H19*(1+F19)*C19-(H19*B19))</f>
        <v>1.5262206000000003</v>
      </c>
      <c r="J19" s="65">
        <f t="shared" si="1"/>
        <v>1.5262206000000003</v>
      </c>
    </row>
    <row r="20" spans="1:10" x14ac:dyDescent="0.25">
      <c r="A20" s="96" t="s">
        <v>111</v>
      </c>
      <c r="B20" s="104">
        <f>VLOOKUP(A20,[1]DIFAL!$C$13:$E$39,3,0)</f>
        <v>0.12</v>
      </c>
      <c r="C20" s="104">
        <v>0.22</v>
      </c>
      <c r="D20" s="98"/>
      <c r="E20" s="98"/>
      <c r="F20" s="98">
        <v>0.54730000000000001</v>
      </c>
      <c r="G20" s="98"/>
      <c r="H20" s="63">
        <f>PREÇOS!G21</f>
        <v>7.8850000000000007</v>
      </c>
      <c r="I20" s="64">
        <f t="shared" si="0"/>
        <v>1.7379013099999998</v>
      </c>
      <c r="J20" s="65">
        <f t="shared" si="1"/>
        <v>1.7379013099999998</v>
      </c>
    </row>
    <row r="21" spans="1:10" x14ac:dyDescent="0.25">
      <c r="A21" s="96" t="s">
        <v>112</v>
      </c>
      <c r="B21" s="104">
        <f>VLOOKUP(A21,[1]DIFAL!$C$13:$E$39,3,0)</f>
        <v>7.0000000000000007E-2</v>
      </c>
      <c r="C21" s="104">
        <v>0.2</v>
      </c>
      <c r="D21" s="98"/>
      <c r="E21" s="98"/>
      <c r="F21" s="98"/>
      <c r="G21" s="98"/>
      <c r="H21" s="7">
        <f>PREÇOS!G22</f>
        <v>7.4574999999999996</v>
      </c>
      <c r="I21" s="61">
        <f t="shared" si="0"/>
        <v>0</v>
      </c>
      <c r="J21" s="4">
        <f t="shared" si="1"/>
        <v>0</v>
      </c>
    </row>
    <row r="22" spans="1:10" x14ac:dyDescent="0.25">
      <c r="A22" s="96" t="s">
        <v>113</v>
      </c>
      <c r="B22" s="104">
        <f>VLOOKUP(A22,[1]DIFAL!$C$13:$E$39,3,0)</f>
        <v>7.0000000000000007E-2</v>
      </c>
      <c r="C22" s="104">
        <v>0.17499999999999999</v>
      </c>
      <c r="D22" s="98"/>
      <c r="E22" s="98"/>
      <c r="F22" s="98"/>
      <c r="G22" s="98"/>
      <c r="H22" s="7">
        <f>PREÇOS!G23</f>
        <v>7.4574999999999996</v>
      </c>
      <c r="I22" s="61">
        <f t="shared" si="0"/>
        <v>0</v>
      </c>
      <c r="J22" s="4">
        <f t="shared" si="1"/>
        <v>0</v>
      </c>
    </row>
    <row r="23" spans="1:10" x14ac:dyDescent="0.25">
      <c r="A23" s="96" t="s">
        <v>114</v>
      </c>
      <c r="B23" s="104">
        <f>VLOOKUP(A23,[1]DIFAL!$C$13:$E$39,3,0)</f>
        <v>7.0000000000000007E-2</v>
      </c>
      <c r="C23" s="104">
        <v>0.2</v>
      </c>
      <c r="D23" s="98"/>
      <c r="E23" s="98"/>
      <c r="F23" s="98"/>
      <c r="G23" s="98"/>
      <c r="H23" s="7">
        <f>PREÇOS!G24</f>
        <v>7.4574999999999996</v>
      </c>
      <c r="I23" s="61">
        <f t="shared" si="0"/>
        <v>0</v>
      </c>
      <c r="J23" s="4">
        <f t="shared" si="1"/>
        <v>0</v>
      </c>
    </row>
    <row r="24" spans="1:10" x14ac:dyDescent="0.25">
      <c r="A24" s="96" t="s">
        <v>115</v>
      </c>
      <c r="B24" s="104">
        <f>VLOOKUP(A24,[1]DIFAL!$C$13:$E$39,3,0)</f>
        <v>0.12</v>
      </c>
      <c r="C24" s="104">
        <v>0.17</v>
      </c>
      <c r="D24" s="98"/>
      <c r="E24" s="98"/>
      <c r="F24" s="98"/>
      <c r="G24" s="98"/>
      <c r="H24" s="63">
        <f>PREÇOS!G25</f>
        <v>7.8850000000000007</v>
      </c>
      <c r="I24" s="64">
        <f t="shared" si="0"/>
        <v>0</v>
      </c>
      <c r="J24" s="65">
        <f t="shared" si="1"/>
        <v>0</v>
      </c>
    </row>
    <row r="25" spans="1:10" x14ac:dyDescent="0.25">
      <c r="A25" s="96" t="s">
        <v>116</v>
      </c>
      <c r="B25" s="104">
        <f>VLOOKUP(A25,[1]DIFAL!$C$13:$E$39,3,0)</f>
        <v>0.12</v>
      </c>
      <c r="C25" s="104">
        <v>0.17</v>
      </c>
      <c r="D25" s="98"/>
      <c r="E25" s="98"/>
      <c r="F25" s="98"/>
      <c r="G25" s="98"/>
      <c r="H25" s="63">
        <f>PREÇOS!G26</f>
        <v>7.8850000000000007</v>
      </c>
      <c r="I25" s="64">
        <f t="shared" si="0"/>
        <v>0</v>
      </c>
      <c r="J25" s="65">
        <f t="shared" si="1"/>
        <v>0</v>
      </c>
    </row>
    <row r="26" spans="1:10" x14ac:dyDescent="0.25">
      <c r="A26" s="96" t="s">
        <v>117</v>
      </c>
      <c r="B26" s="104">
        <f>VLOOKUP(A26,[1]DIFAL!$C$13:$E$39,3,0)</f>
        <v>7.0000000000000007E-2</v>
      </c>
      <c r="C26" s="104">
        <v>0.2</v>
      </c>
      <c r="D26" s="98"/>
      <c r="E26" s="98"/>
      <c r="F26" s="98"/>
      <c r="G26" s="98"/>
      <c r="H26" s="7">
        <f>PREÇOS!G27</f>
        <v>7.4574999999999996</v>
      </c>
      <c r="I26" s="62">
        <f t="shared" si="0"/>
        <v>0</v>
      </c>
      <c r="J26" s="33">
        <f t="shared" si="1"/>
        <v>0</v>
      </c>
    </row>
    <row r="27" spans="1:10" x14ac:dyDescent="0.25">
      <c r="A27" s="96" t="s">
        <v>118</v>
      </c>
      <c r="B27" s="104">
        <f>VLOOKUP(A27,[1]DIFAL!$C$13:$E$39,3,0)</f>
        <v>0.12</v>
      </c>
      <c r="C27" s="104">
        <v>0.18</v>
      </c>
      <c r="D27" s="98"/>
      <c r="E27" s="98"/>
      <c r="F27" s="98">
        <v>0.46300000000000002</v>
      </c>
      <c r="G27" s="98"/>
      <c r="H27" s="63">
        <f>PREÇOS!G28</f>
        <v>7.8850000000000007</v>
      </c>
      <c r="I27" s="64">
        <f t="shared" ref="I27:I30" si="2">IF(F27=0,,H27*(1+F27)*C27-(H27*B27))</f>
        <v>1.1302359000000002</v>
      </c>
      <c r="J27" s="65">
        <f t="shared" ref="J27:J30" si="3">IF(G27=0,IF(F27=0,,H27*(1+F27)*C27-(H27*B27)),H27*(1+G27)*C27-(H27*B27))</f>
        <v>1.1302359000000002</v>
      </c>
    </row>
    <row r="28" spans="1:10" x14ac:dyDescent="0.25">
      <c r="A28" s="99" t="s">
        <v>119</v>
      </c>
      <c r="B28" s="67">
        <f>B27</f>
        <v>0.12</v>
      </c>
      <c r="C28" s="67">
        <f t="shared" ref="C28:G28" si="4">C27</f>
        <v>0.18</v>
      </c>
      <c r="D28" s="66">
        <f t="shared" si="4"/>
        <v>0</v>
      </c>
      <c r="E28" s="66">
        <f t="shared" si="4"/>
        <v>0</v>
      </c>
      <c r="F28" s="66">
        <f t="shared" si="4"/>
        <v>0.46300000000000002</v>
      </c>
      <c r="G28" s="66">
        <f t="shared" si="4"/>
        <v>0</v>
      </c>
      <c r="H28" s="94">
        <f>PREÇOS!G29</f>
        <v>7.8850000000000007</v>
      </c>
      <c r="I28" s="95">
        <f t="shared" si="2"/>
        <v>1.1302359000000002</v>
      </c>
      <c r="J28" s="93">
        <f t="shared" si="3"/>
        <v>1.1302359000000002</v>
      </c>
    </row>
    <row r="29" spans="1:10" x14ac:dyDescent="0.25">
      <c r="A29" s="96" t="s">
        <v>120</v>
      </c>
      <c r="B29" s="104">
        <f>VLOOKUP(A29,[1]DIFAL!$C$13:$E$39,3,0)</f>
        <v>7.0000000000000007E-2</v>
      </c>
      <c r="C29" s="104">
        <v>0.2</v>
      </c>
      <c r="D29" s="98"/>
      <c r="E29" s="98"/>
      <c r="F29" s="98"/>
      <c r="G29" s="98"/>
      <c r="H29" s="7">
        <f>PREÇOS!G30</f>
        <v>7.4574999999999996</v>
      </c>
      <c r="I29" s="62">
        <f t="shared" si="2"/>
        <v>0</v>
      </c>
      <c r="J29" s="33">
        <f t="shared" si="3"/>
        <v>0</v>
      </c>
    </row>
    <row r="30" spans="1:10" x14ac:dyDescent="0.25">
      <c r="A30" s="3" t="s">
        <v>121</v>
      </c>
      <c r="H30" s="7">
        <f>PREÇOS!G31</f>
        <v>0</v>
      </c>
      <c r="I30" s="62">
        <f t="shared" si="2"/>
        <v>0</v>
      </c>
      <c r="J30" s="33">
        <f t="shared" si="3"/>
        <v>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43FE7-6C9A-46C4-8F76-D78E02536C19}">
  <sheetPr codeName="Planilha10">
    <tabColor rgb="FF7030A0"/>
  </sheetPr>
  <dimension ref="A1:J30"/>
  <sheetViews>
    <sheetView workbookViewId="0">
      <selection activeCell="Q21" sqref="Q21"/>
    </sheetView>
  </sheetViews>
  <sheetFormatPr defaultRowHeight="15" x14ac:dyDescent="0.25"/>
  <cols>
    <col min="1" max="1" width="9" bestFit="1" customWidth="1"/>
    <col min="2" max="2" width="25.42578125" bestFit="1" customWidth="1"/>
    <col min="3" max="3" width="18.5703125" bestFit="1" customWidth="1"/>
    <col min="4" max="4" width="16" bestFit="1" customWidth="1"/>
    <col min="5" max="5" width="17" bestFit="1" customWidth="1"/>
    <col min="6" max="6" width="20.5703125" bestFit="1" customWidth="1"/>
    <col min="7" max="7" width="21.5703125" bestFit="1" customWidth="1"/>
    <col min="8" max="8" width="10.5703125" customWidth="1"/>
    <col min="9" max="9" width="12.5703125" bestFit="1" customWidth="1"/>
    <col min="10" max="10" width="13.5703125" style="4" bestFit="1" customWidth="1"/>
  </cols>
  <sheetData>
    <row r="1" spans="1:10" ht="15.75" x14ac:dyDescent="0.25">
      <c r="A1" s="1" t="s">
        <v>84</v>
      </c>
      <c r="B1" s="5" t="s">
        <v>85</v>
      </c>
      <c r="C1" s="5" t="s">
        <v>86</v>
      </c>
      <c r="D1" s="2" t="s">
        <v>87</v>
      </c>
      <c r="E1" s="2" t="s">
        <v>88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</row>
    <row r="2" spans="1:10" x14ac:dyDescent="0.25">
      <c r="A2" s="96" t="s">
        <v>94</v>
      </c>
      <c r="B2" s="104">
        <f>VLOOKUP(A2,[1]DIFAL!$C$13:$E$39,3,0)</f>
        <v>7.0000000000000007E-2</v>
      </c>
      <c r="C2" s="104">
        <v>0.17</v>
      </c>
      <c r="D2" s="98"/>
      <c r="E2" s="98"/>
      <c r="F2" s="98"/>
      <c r="G2" s="98"/>
      <c r="H2" s="7">
        <f>PREÇOS!J3</f>
        <v>6.0324999999999998</v>
      </c>
      <c r="I2" s="61">
        <f t="shared" ref="I2:I30" si="0">IF(F2=0,,H2*(1+F2)*C2-(H2*B2))</f>
        <v>0</v>
      </c>
      <c r="J2" s="4">
        <f t="shared" ref="J2:J30" si="1">IF(G2=0,IF(F2=0,,H2*(1+F2)*C2-(H2*B2)),H2*(1+G2)*C2-(H2*B2))</f>
        <v>0</v>
      </c>
    </row>
    <row r="3" spans="1:10" x14ac:dyDescent="0.25">
      <c r="A3" s="96" t="s">
        <v>95</v>
      </c>
      <c r="B3" s="104">
        <f>VLOOKUP(A3,[1]DIFAL!$C$13:$E$39,3,0)</f>
        <v>7.0000000000000007E-2</v>
      </c>
      <c r="C3" s="104">
        <v>0.2</v>
      </c>
      <c r="D3" s="98"/>
      <c r="E3" s="98"/>
      <c r="F3" s="98">
        <v>0.71</v>
      </c>
      <c r="G3" s="98"/>
      <c r="H3" s="7">
        <f>PREÇOS!J4</f>
        <v>6.0324999999999998</v>
      </c>
      <c r="I3" s="61">
        <f>IF(F3=0,,H3*(1+F3)*C3-(H3*B3))</f>
        <v>1.6408399999999999</v>
      </c>
      <c r="J3" s="4">
        <f t="shared" si="1"/>
        <v>1.6408399999999999</v>
      </c>
    </row>
    <row r="4" spans="1:10" x14ac:dyDescent="0.25">
      <c r="A4" s="96" t="s">
        <v>96</v>
      </c>
      <c r="B4" s="104">
        <f>VLOOKUP(A4,[1]DIFAL!$C$13:$E$39,3,0)</f>
        <v>7.0000000000000007E-2</v>
      </c>
      <c r="C4" s="104">
        <v>0.2</v>
      </c>
      <c r="D4" s="98"/>
      <c r="E4" s="98"/>
      <c r="F4" s="98">
        <v>0.55379999999999996</v>
      </c>
      <c r="G4" s="98"/>
      <c r="H4" s="7">
        <f>PREÇOS!J5</f>
        <v>6.0324999999999998</v>
      </c>
      <c r="I4" s="61">
        <f t="shared" si="0"/>
        <v>1.4523846999999999</v>
      </c>
      <c r="J4" s="4">
        <f t="shared" si="1"/>
        <v>1.4523846999999999</v>
      </c>
    </row>
    <row r="5" spans="1:10" x14ac:dyDescent="0.25">
      <c r="A5" s="96" t="s">
        <v>97</v>
      </c>
      <c r="B5" s="104">
        <f>VLOOKUP(A5,[1]DIFAL!$C$13:$E$39,3,0)</f>
        <v>7.0000000000000007E-2</v>
      </c>
      <c r="C5" s="104">
        <v>0.18</v>
      </c>
      <c r="D5" s="98"/>
      <c r="E5" s="98"/>
      <c r="F5" s="98"/>
      <c r="G5" s="98"/>
      <c r="H5" s="7">
        <f>PREÇOS!J6</f>
        <v>6.0324999999999998</v>
      </c>
      <c r="I5" s="61">
        <f t="shared" si="0"/>
        <v>0</v>
      </c>
      <c r="J5" s="4">
        <f t="shared" si="1"/>
        <v>0</v>
      </c>
    </row>
    <row r="6" spans="1:10" x14ac:dyDescent="0.25">
      <c r="A6" s="96" t="s">
        <v>98</v>
      </c>
      <c r="B6" s="104">
        <f>VLOOKUP(A6,[1]DIFAL!$C$13:$E$39,3,0)</f>
        <v>7.0000000000000007E-2</v>
      </c>
      <c r="C6" s="104">
        <v>0.19</v>
      </c>
      <c r="D6" s="98"/>
      <c r="E6" s="98"/>
      <c r="F6" s="98"/>
      <c r="G6" s="98"/>
      <c r="H6" s="7">
        <f>PREÇOS!J7</f>
        <v>6.0324999999999998</v>
      </c>
      <c r="I6" s="61">
        <f t="shared" si="0"/>
        <v>0</v>
      </c>
      <c r="J6" s="4">
        <f t="shared" si="1"/>
        <v>0</v>
      </c>
    </row>
    <row r="7" spans="1:10" x14ac:dyDescent="0.25">
      <c r="A7" s="96" t="s">
        <v>99</v>
      </c>
      <c r="B7" s="104">
        <f>VLOOKUP(A7,[1]DIFAL!$C$13:$E$39,3,0)</f>
        <v>7.0000000000000007E-2</v>
      </c>
      <c r="C7" s="104">
        <v>0.2</v>
      </c>
      <c r="D7" s="98"/>
      <c r="E7" s="98"/>
      <c r="F7" s="98"/>
      <c r="G7" s="98"/>
      <c r="H7" s="7">
        <f>PREÇOS!J8</f>
        <v>6.0324999999999998</v>
      </c>
      <c r="I7" s="61">
        <f t="shared" si="0"/>
        <v>0</v>
      </c>
      <c r="J7" s="4">
        <f t="shared" si="1"/>
        <v>0</v>
      </c>
    </row>
    <row r="8" spans="1:10" x14ac:dyDescent="0.25">
      <c r="A8" s="96" t="s">
        <v>5</v>
      </c>
      <c r="B8" s="104">
        <f>VLOOKUP(A8,[1]DIFAL!$C$13:$E$39,3,0)</f>
        <v>7.0000000000000007E-2</v>
      </c>
      <c r="C8" s="104">
        <v>0.18</v>
      </c>
      <c r="D8" s="98"/>
      <c r="E8" s="98"/>
      <c r="F8" s="98"/>
      <c r="G8" s="98"/>
      <c r="H8" s="7">
        <f>PREÇOS!J9</f>
        <v>6.0324999999999998</v>
      </c>
      <c r="I8" s="61">
        <f t="shared" si="0"/>
        <v>0</v>
      </c>
      <c r="J8" s="4">
        <f t="shared" si="1"/>
        <v>0</v>
      </c>
    </row>
    <row r="9" spans="1:10" x14ac:dyDescent="0.25">
      <c r="A9" s="96" t="s">
        <v>100</v>
      </c>
      <c r="B9" s="104">
        <f>VLOOKUP(A9,[1]DIFAL!$C$13:$E$39,3,0)</f>
        <v>7.0000000000000007E-2</v>
      </c>
      <c r="C9" s="104">
        <v>0.17</v>
      </c>
      <c r="D9" s="98"/>
      <c r="E9" s="98"/>
      <c r="F9" s="98"/>
      <c r="G9" s="98"/>
      <c r="H9" s="7">
        <f>PREÇOS!J10</f>
        <v>5.5289999999999999</v>
      </c>
      <c r="I9" s="61">
        <f t="shared" si="0"/>
        <v>0</v>
      </c>
      <c r="J9" s="4">
        <f t="shared" si="1"/>
        <v>0</v>
      </c>
    </row>
    <row r="10" spans="1:10" x14ac:dyDescent="0.25">
      <c r="A10" s="96" t="s">
        <v>101</v>
      </c>
      <c r="B10" s="104">
        <f>VLOOKUP(A10,[1]DIFAL!$C$13:$E$39,3,0)</f>
        <v>7.0000000000000007E-2</v>
      </c>
      <c r="C10" s="104">
        <v>0.17</v>
      </c>
      <c r="D10" s="98"/>
      <c r="E10" s="98"/>
      <c r="F10" s="98"/>
      <c r="G10" s="98"/>
      <c r="H10" s="7">
        <f>PREÇOS!J11</f>
        <v>6.0324999999999998</v>
      </c>
      <c r="I10" s="61">
        <f t="shared" si="0"/>
        <v>0</v>
      </c>
      <c r="J10" s="4">
        <f t="shared" si="1"/>
        <v>0</v>
      </c>
    </row>
    <row r="11" spans="1:10" x14ac:dyDescent="0.25">
      <c r="A11" s="96" t="s">
        <v>102</v>
      </c>
      <c r="B11" s="104">
        <f>VLOOKUP(A11,[1]DIFAL!$C$13:$E$39,3,0)</f>
        <v>7.0000000000000007E-2</v>
      </c>
      <c r="C11" s="104">
        <v>0.2</v>
      </c>
      <c r="D11" s="98"/>
      <c r="E11" s="98"/>
      <c r="F11" s="98"/>
      <c r="G11" s="98"/>
      <c r="H11" s="7">
        <f>PREÇOS!J12</f>
        <v>6.0324999999999998</v>
      </c>
      <c r="I11" s="61">
        <f t="shared" si="0"/>
        <v>0</v>
      </c>
      <c r="J11" s="4">
        <f t="shared" si="1"/>
        <v>0</v>
      </c>
    </row>
    <row r="12" spans="1:10" x14ac:dyDescent="0.25">
      <c r="A12" s="96" t="s">
        <v>103</v>
      </c>
      <c r="B12" s="104">
        <f>VLOOKUP(A12,[1]DIFAL!$C$13:$E$39,3,0)</f>
        <v>0.12</v>
      </c>
      <c r="C12" s="104">
        <v>0.18</v>
      </c>
      <c r="D12" s="98"/>
      <c r="E12" s="98"/>
      <c r="F12" s="98">
        <v>0.44879999999999998</v>
      </c>
      <c r="G12" s="98"/>
      <c r="H12" s="7">
        <f>PREÇOS!J13</f>
        <v>5.8425000000000002</v>
      </c>
      <c r="I12" s="64">
        <f t="shared" si="0"/>
        <v>0.82253051999999971</v>
      </c>
      <c r="J12" s="65">
        <f t="shared" si="1"/>
        <v>0.82253051999999971</v>
      </c>
    </row>
    <row r="13" spans="1:10" x14ac:dyDescent="0.25">
      <c r="A13" s="96" t="s">
        <v>104</v>
      </c>
      <c r="B13" s="104">
        <f>VLOOKUP(A13,[1]DIFAL!$C$13:$E$39,3,0)</f>
        <v>7.0000000000000007E-2</v>
      </c>
      <c r="C13" s="104">
        <v>0.17</v>
      </c>
      <c r="D13" s="98"/>
      <c r="E13" s="98"/>
      <c r="F13" s="98"/>
      <c r="G13" s="98"/>
      <c r="H13" s="7">
        <f>PREÇOS!J14</f>
        <v>6.0324999999999998</v>
      </c>
      <c r="I13" s="61">
        <f t="shared" si="0"/>
        <v>0</v>
      </c>
      <c r="J13" s="4">
        <f t="shared" si="1"/>
        <v>0</v>
      </c>
    </row>
    <row r="14" spans="1:10" x14ac:dyDescent="0.25">
      <c r="A14" s="96" t="s">
        <v>105</v>
      </c>
      <c r="B14" s="104">
        <f>VLOOKUP(A14,[1]DIFAL!$C$13:$E$39,3,0)</f>
        <v>7.0000000000000007E-2</v>
      </c>
      <c r="C14" s="104">
        <v>0.17</v>
      </c>
      <c r="D14" s="98"/>
      <c r="E14" s="98"/>
      <c r="F14" s="98">
        <v>0.45519999999999999</v>
      </c>
      <c r="G14" s="98"/>
      <c r="H14" s="7">
        <f>PREÇOS!J15</f>
        <v>6.0324999999999998</v>
      </c>
      <c r="I14" s="61">
        <f t="shared" si="0"/>
        <v>1.0700689800000003</v>
      </c>
      <c r="J14" s="4">
        <f t="shared" si="1"/>
        <v>1.0700689800000003</v>
      </c>
    </row>
    <row r="15" spans="1:10" x14ac:dyDescent="0.25">
      <c r="A15" s="96" t="s">
        <v>106</v>
      </c>
      <c r="B15" s="104">
        <f>VLOOKUP(A15,[1]DIFAL!$C$13:$E$39,3,0)</f>
        <v>7.0000000000000007E-2</v>
      </c>
      <c r="C15" s="104">
        <v>0.19</v>
      </c>
      <c r="D15" s="98"/>
      <c r="E15" s="98"/>
      <c r="F15" s="98"/>
      <c r="G15" s="98"/>
      <c r="H15" s="7">
        <f>PREÇOS!J16</f>
        <v>6.0324999999999998</v>
      </c>
      <c r="I15" s="61">
        <f t="shared" si="0"/>
        <v>0</v>
      </c>
      <c r="J15" s="4">
        <f t="shared" si="1"/>
        <v>0</v>
      </c>
    </row>
    <row r="16" spans="1:10" x14ac:dyDescent="0.25">
      <c r="A16" s="96" t="s">
        <v>107</v>
      </c>
      <c r="B16" s="104">
        <f>VLOOKUP(A16,[1]DIFAL!$C$13:$E$39,3,0)</f>
        <v>7.0000000000000007E-2</v>
      </c>
      <c r="C16" s="104">
        <v>0.18</v>
      </c>
      <c r="D16" s="98"/>
      <c r="E16" s="98"/>
      <c r="F16" s="98"/>
      <c r="G16" s="98"/>
      <c r="H16" s="7">
        <f>PREÇOS!J17</f>
        <v>6.0324999999999998</v>
      </c>
      <c r="I16" s="61">
        <f t="shared" si="0"/>
        <v>0</v>
      </c>
      <c r="J16" s="4">
        <f t="shared" si="1"/>
        <v>0</v>
      </c>
    </row>
    <row r="17" spans="1:10" x14ac:dyDescent="0.25">
      <c r="A17" s="96" t="s">
        <v>108</v>
      </c>
      <c r="B17" s="104">
        <f>VLOOKUP(A17,[1]DIFAL!$C$13:$E$39,3,0)</f>
        <v>7.0000000000000007E-2</v>
      </c>
      <c r="C17" s="104">
        <v>0.18</v>
      </c>
      <c r="D17" s="98"/>
      <c r="E17" s="98"/>
      <c r="F17" s="98"/>
      <c r="G17" s="98"/>
      <c r="H17" s="7">
        <f>PREÇOS!J18</f>
        <v>6.0324999999999998</v>
      </c>
      <c r="I17" s="61">
        <f t="shared" si="0"/>
        <v>0</v>
      </c>
      <c r="J17" s="4">
        <f t="shared" si="1"/>
        <v>0</v>
      </c>
    </row>
    <row r="18" spans="1:10" x14ac:dyDescent="0.25">
      <c r="A18" s="96" t="s">
        <v>109</v>
      </c>
      <c r="B18" s="104">
        <f>VLOOKUP(A18,[1]DIFAL!$C$13:$E$39,3,0)</f>
        <v>7.0000000000000007E-2</v>
      </c>
      <c r="C18" s="104">
        <v>0.21</v>
      </c>
      <c r="D18" s="98"/>
      <c r="E18" s="98"/>
      <c r="F18" s="98"/>
      <c r="G18" s="98"/>
      <c r="H18" s="7">
        <f>PREÇOS!J19</f>
        <v>6.0324999999999998</v>
      </c>
      <c r="I18" s="61">
        <f t="shared" si="0"/>
        <v>0</v>
      </c>
      <c r="J18" s="4">
        <f t="shared" si="1"/>
        <v>0</v>
      </c>
    </row>
    <row r="19" spans="1:10" x14ac:dyDescent="0.25">
      <c r="A19" s="96" t="s">
        <v>110</v>
      </c>
      <c r="B19" s="104">
        <v>0.12</v>
      </c>
      <c r="C19" s="104">
        <v>0.19500000000000001</v>
      </c>
      <c r="D19" s="98"/>
      <c r="E19" s="98"/>
      <c r="F19" s="98">
        <v>0.60799999999999998</v>
      </c>
      <c r="G19" s="98"/>
      <c r="H19" s="7">
        <f>PREÇOS!J20</f>
        <v>5.8425000000000002</v>
      </c>
      <c r="I19" s="64">
        <f>IF(F19=0,,H19*(1+F19)*C19-(H19*B19))</f>
        <v>1.1308743000000001</v>
      </c>
      <c r="J19" s="65">
        <f t="shared" si="1"/>
        <v>1.1308743000000001</v>
      </c>
    </row>
    <row r="20" spans="1:10" x14ac:dyDescent="0.25">
      <c r="A20" s="96" t="s">
        <v>111</v>
      </c>
      <c r="B20" s="104">
        <f>VLOOKUP(A20,[1]DIFAL!$C$13:$E$39,3,0)</f>
        <v>0.12</v>
      </c>
      <c r="C20" s="104">
        <v>0.22</v>
      </c>
      <c r="D20" s="98"/>
      <c r="E20" s="98"/>
      <c r="F20" s="98">
        <v>0.54730000000000001</v>
      </c>
      <c r="G20" s="98"/>
      <c r="H20" s="7">
        <f>PREÇOS!J21</f>
        <v>5.8425000000000002</v>
      </c>
      <c r="I20" s="64">
        <f t="shared" si="0"/>
        <v>1.2877220549999999</v>
      </c>
      <c r="J20" s="65">
        <f t="shared" si="1"/>
        <v>1.2877220549999999</v>
      </c>
    </row>
    <row r="21" spans="1:10" x14ac:dyDescent="0.25">
      <c r="A21" s="96" t="s">
        <v>112</v>
      </c>
      <c r="B21" s="104">
        <f>VLOOKUP(A21,[1]DIFAL!$C$13:$E$39,3,0)</f>
        <v>7.0000000000000007E-2</v>
      </c>
      <c r="C21" s="104">
        <v>0.2</v>
      </c>
      <c r="D21" s="98"/>
      <c r="E21" s="98"/>
      <c r="F21" s="98"/>
      <c r="G21" s="98"/>
      <c r="H21" s="7">
        <f>PREÇOS!J22</f>
        <v>6.0324999999999998</v>
      </c>
      <c r="I21" s="61">
        <f t="shared" si="0"/>
        <v>0</v>
      </c>
      <c r="J21" s="4">
        <f t="shared" si="1"/>
        <v>0</v>
      </c>
    </row>
    <row r="22" spans="1:10" x14ac:dyDescent="0.25">
      <c r="A22" s="96" t="s">
        <v>113</v>
      </c>
      <c r="B22" s="104">
        <f>VLOOKUP(A22,[1]DIFAL!$C$13:$E$39,3,0)</f>
        <v>7.0000000000000007E-2</v>
      </c>
      <c r="C22" s="104">
        <v>0.17499999999999999</v>
      </c>
      <c r="D22" s="98"/>
      <c r="E22" s="98"/>
      <c r="F22" s="98"/>
      <c r="G22" s="98"/>
      <c r="H22" s="7">
        <f>PREÇOS!J23</f>
        <v>6.0324999999999998</v>
      </c>
      <c r="I22" s="61">
        <f t="shared" si="0"/>
        <v>0</v>
      </c>
      <c r="J22" s="4">
        <f t="shared" si="1"/>
        <v>0</v>
      </c>
    </row>
    <row r="23" spans="1:10" x14ac:dyDescent="0.25">
      <c r="A23" s="96" t="s">
        <v>114</v>
      </c>
      <c r="B23" s="104">
        <f>VLOOKUP(A23,[1]DIFAL!$C$13:$E$39,3,0)</f>
        <v>7.0000000000000007E-2</v>
      </c>
      <c r="C23" s="104">
        <v>0.2</v>
      </c>
      <c r="D23" s="98"/>
      <c r="E23" s="98"/>
      <c r="F23" s="98"/>
      <c r="G23" s="98"/>
      <c r="H23" s="7">
        <f>PREÇOS!J24</f>
        <v>6.0324999999999998</v>
      </c>
      <c r="I23" s="61">
        <f t="shared" si="0"/>
        <v>0</v>
      </c>
      <c r="J23" s="4">
        <f t="shared" si="1"/>
        <v>0</v>
      </c>
    </row>
    <row r="24" spans="1:10" x14ac:dyDescent="0.25">
      <c r="A24" s="96" t="s">
        <v>115</v>
      </c>
      <c r="B24" s="104">
        <f>VLOOKUP(A24,[1]DIFAL!$C$13:$E$39,3,0)</f>
        <v>0.12</v>
      </c>
      <c r="C24" s="104">
        <v>0.17</v>
      </c>
      <c r="D24" s="98"/>
      <c r="E24" s="98"/>
      <c r="F24" s="98"/>
      <c r="G24" s="98"/>
      <c r="H24" s="7">
        <f>PREÇOS!J25</f>
        <v>5.8425000000000002</v>
      </c>
      <c r="I24" s="64">
        <f t="shared" si="0"/>
        <v>0</v>
      </c>
      <c r="J24" s="65">
        <f t="shared" si="1"/>
        <v>0</v>
      </c>
    </row>
    <row r="25" spans="1:10" x14ac:dyDescent="0.25">
      <c r="A25" s="96" t="s">
        <v>116</v>
      </c>
      <c r="B25" s="104">
        <f>VLOOKUP(A25,[1]DIFAL!$C$13:$E$39,3,0)</f>
        <v>0.12</v>
      </c>
      <c r="C25" s="104">
        <v>0.17</v>
      </c>
      <c r="D25" s="98"/>
      <c r="E25" s="98"/>
      <c r="F25" s="98"/>
      <c r="G25" s="98"/>
      <c r="H25" s="7">
        <f>PREÇOS!J26</f>
        <v>5.8425000000000002</v>
      </c>
      <c r="I25" s="64">
        <f t="shared" si="0"/>
        <v>0</v>
      </c>
      <c r="J25" s="65">
        <f t="shared" si="1"/>
        <v>0</v>
      </c>
    </row>
    <row r="26" spans="1:10" x14ac:dyDescent="0.25">
      <c r="A26" s="96" t="s">
        <v>117</v>
      </c>
      <c r="B26" s="104">
        <f>VLOOKUP(A26,[1]DIFAL!$C$13:$E$39,3,0)</f>
        <v>7.0000000000000007E-2</v>
      </c>
      <c r="C26" s="104">
        <v>0.2</v>
      </c>
      <c r="D26" s="98"/>
      <c r="E26" s="98"/>
      <c r="F26" s="98"/>
      <c r="G26" s="98"/>
      <c r="H26" s="7">
        <f>PREÇOS!J27</f>
        <v>6.0324999999999998</v>
      </c>
      <c r="I26" s="62">
        <f t="shared" si="0"/>
        <v>0</v>
      </c>
      <c r="J26" s="33">
        <f t="shared" si="1"/>
        <v>0</v>
      </c>
    </row>
    <row r="27" spans="1:10" x14ac:dyDescent="0.25">
      <c r="A27" s="96" t="s">
        <v>118</v>
      </c>
      <c r="B27" s="104">
        <f>VLOOKUP(A27,[1]DIFAL!$C$13:$E$39,3,0)</f>
        <v>0.12</v>
      </c>
      <c r="C27" s="104">
        <v>0.18</v>
      </c>
      <c r="D27" s="98"/>
      <c r="E27" s="98"/>
      <c r="F27" s="98">
        <v>0.46300000000000002</v>
      </c>
      <c r="G27" s="98"/>
      <c r="H27" s="7">
        <f>PREÇOS!J28</f>
        <v>5.8425000000000002</v>
      </c>
      <c r="I27" s="64">
        <f t="shared" si="0"/>
        <v>0.83746395000000007</v>
      </c>
      <c r="J27" s="65">
        <f t="shared" si="1"/>
        <v>0.83746395000000007</v>
      </c>
    </row>
    <row r="28" spans="1:10" x14ac:dyDescent="0.25">
      <c r="A28" s="99" t="s">
        <v>119</v>
      </c>
      <c r="B28" s="67">
        <f>B27</f>
        <v>0.12</v>
      </c>
      <c r="C28" s="67">
        <f t="shared" ref="C28:G28" si="2">C27</f>
        <v>0.18</v>
      </c>
      <c r="D28" s="66">
        <f t="shared" si="2"/>
        <v>0</v>
      </c>
      <c r="E28" s="66">
        <f t="shared" si="2"/>
        <v>0</v>
      </c>
      <c r="F28" s="66">
        <f t="shared" si="2"/>
        <v>0.46300000000000002</v>
      </c>
      <c r="G28" s="66">
        <f t="shared" si="2"/>
        <v>0</v>
      </c>
      <c r="H28" s="7">
        <f>PREÇOS!J29</f>
        <v>5.8425000000000002</v>
      </c>
      <c r="I28" s="95">
        <f t="shared" si="0"/>
        <v>0.83746395000000007</v>
      </c>
      <c r="J28" s="93">
        <f t="shared" si="1"/>
        <v>0.83746395000000007</v>
      </c>
    </row>
    <row r="29" spans="1:10" x14ac:dyDescent="0.25">
      <c r="A29" s="96" t="s">
        <v>120</v>
      </c>
      <c r="B29" s="104">
        <f>VLOOKUP(A29,[1]DIFAL!$C$13:$E$39,3,0)</f>
        <v>7.0000000000000007E-2</v>
      </c>
      <c r="C29" s="104">
        <v>0.2</v>
      </c>
      <c r="D29" s="98"/>
      <c r="E29" s="98"/>
      <c r="F29" s="98"/>
      <c r="G29" s="98"/>
      <c r="H29" s="7">
        <f>PREÇOS!J30</f>
        <v>6.0324999999999998</v>
      </c>
      <c r="I29" s="62">
        <f t="shared" si="0"/>
        <v>0</v>
      </c>
      <c r="J29" s="33">
        <f t="shared" si="1"/>
        <v>0</v>
      </c>
    </row>
    <row r="30" spans="1:10" x14ac:dyDescent="0.25">
      <c r="A30" s="3" t="s">
        <v>121</v>
      </c>
      <c r="H30" s="7">
        <f>PREÇOS!J31</f>
        <v>0</v>
      </c>
      <c r="I30" s="62">
        <f t="shared" si="0"/>
        <v>0</v>
      </c>
      <c r="J30" s="33">
        <f t="shared" si="1"/>
        <v>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269E2-17D8-45BB-8F59-9C1CA5A373E7}">
  <sheetPr codeName="Planilha11">
    <tabColor rgb="FF7030A0"/>
  </sheetPr>
  <dimension ref="A1:J30"/>
  <sheetViews>
    <sheetView workbookViewId="0">
      <selection activeCell="Q21" sqref="Q21"/>
    </sheetView>
  </sheetViews>
  <sheetFormatPr defaultRowHeight="15" x14ac:dyDescent="0.25"/>
  <cols>
    <col min="1" max="1" width="9" bestFit="1" customWidth="1"/>
    <col min="2" max="2" width="25.42578125" bestFit="1" customWidth="1"/>
    <col min="3" max="3" width="18.5703125" bestFit="1" customWidth="1"/>
    <col min="4" max="4" width="16" bestFit="1" customWidth="1"/>
    <col min="5" max="5" width="17" bestFit="1" customWidth="1"/>
    <col min="6" max="6" width="20.5703125" bestFit="1" customWidth="1"/>
    <col min="7" max="7" width="21.5703125" bestFit="1" customWidth="1"/>
    <col min="8" max="8" width="10.5703125" customWidth="1"/>
    <col min="9" max="9" width="12.5703125" bestFit="1" customWidth="1"/>
    <col min="10" max="10" width="13.5703125" style="4" bestFit="1" customWidth="1"/>
  </cols>
  <sheetData>
    <row r="1" spans="1:10" ht="15.75" x14ac:dyDescent="0.25">
      <c r="A1" s="1" t="s">
        <v>84</v>
      </c>
      <c r="B1" s="5" t="s">
        <v>85</v>
      </c>
      <c r="C1" s="5" t="s">
        <v>86</v>
      </c>
      <c r="D1" s="2" t="s">
        <v>87</v>
      </c>
      <c r="E1" s="2" t="s">
        <v>88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</row>
    <row r="2" spans="1:10" x14ac:dyDescent="0.25">
      <c r="A2" s="96" t="s">
        <v>94</v>
      </c>
      <c r="B2" s="104">
        <f>VLOOKUP(A2,[1]DIFAL!$C$13:$E$39,3,0)</f>
        <v>7.0000000000000007E-2</v>
      </c>
      <c r="C2" s="104">
        <v>0.17</v>
      </c>
      <c r="D2" s="98"/>
      <c r="E2" s="98"/>
      <c r="F2" s="98"/>
      <c r="G2" s="98"/>
      <c r="H2" s="7">
        <f>PREÇOS!K3</f>
        <v>4.9874999999999998</v>
      </c>
      <c r="I2" s="61">
        <f t="shared" ref="I2:I30" si="0">IF(F2=0,,H2*(1+F2)*C2-(H2*B2))</f>
        <v>0</v>
      </c>
      <c r="J2" s="4">
        <f t="shared" ref="J2:J30" si="1">IF(G2=0,IF(F2=0,,H2*(1+F2)*C2-(H2*B2)),H2*(1+G2)*C2-(H2*B2))</f>
        <v>0</v>
      </c>
    </row>
    <row r="3" spans="1:10" x14ac:dyDescent="0.25">
      <c r="A3" s="96" t="s">
        <v>95</v>
      </c>
      <c r="B3" s="104">
        <f>VLOOKUP(A3,[1]DIFAL!$C$13:$E$39,3,0)</f>
        <v>7.0000000000000007E-2</v>
      </c>
      <c r="C3" s="104">
        <v>0.2</v>
      </c>
      <c r="D3" s="98"/>
      <c r="E3" s="98"/>
      <c r="F3" s="98">
        <v>0.71</v>
      </c>
      <c r="G3" s="98"/>
      <c r="H3" s="7">
        <f>PREÇOS!K4</f>
        <v>4.9874999999999998</v>
      </c>
      <c r="I3" s="61">
        <f>IF(F3=0,,H3*(1+F3)*C3-(H3*B3))</f>
        <v>1.3566000000000003</v>
      </c>
      <c r="J3" s="4">
        <f t="shared" si="1"/>
        <v>1.3566000000000003</v>
      </c>
    </row>
    <row r="4" spans="1:10" x14ac:dyDescent="0.25">
      <c r="A4" s="96" t="s">
        <v>96</v>
      </c>
      <c r="B4" s="104">
        <f>VLOOKUP(A4,[1]DIFAL!$C$13:$E$39,3,0)</f>
        <v>7.0000000000000007E-2</v>
      </c>
      <c r="C4" s="104">
        <v>0.2</v>
      </c>
      <c r="D4" s="98"/>
      <c r="E4" s="98"/>
      <c r="F4" s="98">
        <v>0.55379999999999996</v>
      </c>
      <c r="G4" s="98"/>
      <c r="H4" s="7">
        <f>PREÇOS!K5</f>
        <v>4.9874999999999998</v>
      </c>
      <c r="I4" s="61">
        <f t="shared" si="0"/>
        <v>1.2007905000000001</v>
      </c>
      <c r="J4" s="4">
        <f t="shared" si="1"/>
        <v>1.2007905000000001</v>
      </c>
    </row>
    <row r="5" spans="1:10" x14ac:dyDescent="0.25">
      <c r="A5" s="96" t="s">
        <v>97</v>
      </c>
      <c r="B5" s="104">
        <f>VLOOKUP(A5,[1]DIFAL!$C$13:$E$39,3,0)</f>
        <v>7.0000000000000007E-2</v>
      </c>
      <c r="C5" s="104">
        <v>0.18</v>
      </c>
      <c r="D5" s="98"/>
      <c r="E5" s="98"/>
      <c r="F5" s="98"/>
      <c r="G5" s="98"/>
      <c r="H5" s="7">
        <f>PREÇOS!K6</f>
        <v>4.9874999999999998</v>
      </c>
      <c r="I5" s="61">
        <f t="shared" si="0"/>
        <v>0</v>
      </c>
      <c r="J5" s="4">
        <f t="shared" si="1"/>
        <v>0</v>
      </c>
    </row>
    <row r="6" spans="1:10" x14ac:dyDescent="0.25">
      <c r="A6" s="96" t="s">
        <v>98</v>
      </c>
      <c r="B6" s="104">
        <f>VLOOKUP(A6,[1]DIFAL!$C$13:$E$39,3,0)</f>
        <v>7.0000000000000007E-2</v>
      </c>
      <c r="C6" s="104">
        <v>0.19</v>
      </c>
      <c r="D6" s="98"/>
      <c r="E6" s="98"/>
      <c r="F6" s="98"/>
      <c r="G6" s="98"/>
      <c r="H6" s="7">
        <f>PREÇOS!K7</f>
        <v>4.9874999999999998</v>
      </c>
      <c r="I6" s="61">
        <f t="shared" si="0"/>
        <v>0</v>
      </c>
      <c r="J6" s="4">
        <f t="shared" si="1"/>
        <v>0</v>
      </c>
    </row>
    <row r="7" spans="1:10" x14ac:dyDescent="0.25">
      <c r="A7" s="96" t="s">
        <v>99</v>
      </c>
      <c r="B7" s="104">
        <f>VLOOKUP(A7,[1]DIFAL!$C$13:$E$39,3,0)</f>
        <v>7.0000000000000007E-2</v>
      </c>
      <c r="C7" s="104">
        <v>0.2</v>
      </c>
      <c r="D7" s="98"/>
      <c r="E7" s="98"/>
      <c r="F7" s="98"/>
      <c r="G7" s="98"/>
      <c r="H7" s="7">
        <f>PREÇOS!K8</f>
        <v>4.9874999999999998</v>
      </c>
      <c r="I7" s="61">
        <f t="shared" si="0"/>
        <v>0</v>
      </c>
      <c r="J7" s="4">
        <f t="shared" si="1"/>
        <v>0</v>
      </c>
    </row>
    <row r="8" spans="1:10" x14ac:dyDescent="0.25">
      <c r="A8" s="96" t="s">
        <v>5</v>
      </c>
      <c r="B8" s="104">
        <f>VLOOKUP(A8,[1]DIFAL!$C$13:$E$39,3,0)</f>
        <v>7.0000000000000007E-2</v>
      </c>
      <c r="C8" s="104">
        <v>0.18</v>
      </c>
      <c r="D8" s="98"/>
      <c r="E8" s="98"/>
      <c r="F8" s="98"/>
      <c r="G8" s="98"/>
      <c r="H8" s="7">
        <f>PREÇOS!K9</f>
        <v>4.9874999999999998</v>
      </c>
      <c r="I8" s="61">
        <f t="shared" si="0"/>
        <v>0</v>
      </c>
      <c r="J8" s="4">
        <f t="shared" si="1"/>
        <v>0</v>
      </c>
    </row>
    <row r="9" spans="1:10" x14ac:dyDescent="0.25">
      <c r="A9" s="96" t="s">
        <v>100</v>
      </c>
      <c r="B9" s="104">
        <f>VLOOKUP(A9,[1]DIFAL!$C$13:$E$39,3,0)</f>
        <v>7.0000000000000007E-2</v>
      </c>
      <c r="C9" s="104">
        <v>0.17</v>
      </c>
      <c r="D9" s="98"/>
      <c r="E9" s="98"/>
      <c r="F9" s="98"/>
      <c r="G9" s="98"/>
      <c r="H9" s="7">
        <f>PREÇOS!K10</f>
        <v>5.5289999999999999</v>
      </c>
      <c r="I9" s="61">
        <f t="shared" si="0"/>
        <v>0</v>
      </c>
      <c r="J9" s="4">
        <f t="shared" si="1"/>
        <v>0</v>
      </c>
    </row>
    <row r="10" spans="1:10" x14ac:dyDescent="0.25">
      <c r="A10" s="96" t="s">
        <v>101</v>
      </c>
      <c r="B10" s="104">
        <f>VLOOKUP(A10,[1]DIFAL!$C$13:$E$39,3,0)</f>
        <v>7.0000000000000007E-2</v>
      </c>
      <c r="C10" s="104">
        <v>0.17</v>
      </c>
      <c r="D10" s="98"/>
      <c r="E10" s="98"/>
      <c r="F10" s="98"/>
      <c r="G10" s="98"/>
      <c r="H10" s="7">
        <f>PREÇOS!K11</f>
        <v>4.9874999999999998</v>
      </c>
      <c r="I10" s="61">
        <f t="shared" si="0"/>
        <v>0</v>
      </c>
      <c r="J10" s="4">
        <f t="shared" si="1"/>
        <v>0</v>
      </c>
    </row>
    <row r="11" spans="1:10" x14ac:dyDescent="0.25">
      <c r="A11" s="96" t="s">
        <v>102</v>
      </c>
      <c r="B11" s="104">
        <f>VLOOKUP(A11,[1]DIFAL!$C$13:$E$39,3,0)</f>
        <v>7.0000000000000007E-2</v>
      </c>
      <c r="C11" s="104">
        <v>0.2</v>
      </c>
      <c r="D11" s="98"/>
      <c r="E11" s="98"/>
      <c r="F11" s="98"/>
      <c r="G11" s="98"/>
      <c r="H11" s="7">
        <f>PREÇOS!K12</f>
        <v>4.9874999999999998</v>
      </c>
      <c r="I11" s="61">
        <f t="shared" si="0"/>
        <v>0</v>
      </c>
      <c r="J11" s="4">
        <f t="shared" si="1"/>
        <v>0</v>
      </c>
    </row>
    <row r="12" spans="1:10" x14ac:dyDescent="0.25">
      <c r="A12" s="96" t="s">
        <v>103</v>
      </c>
      <c r="B12" s="104">
        <f>VLOOKUP(A12,[1]DIFAL!$C$13:$E$39,3,0)</f>
        <v>0.12</v>
      </c>
      <c r="C12" s="104">
        <v>0.18</v>
      </c>
      <c r="D12" s="98"/>
      <c r="E12" s="98"/>
      <c r="F12" s="98">
        <v>0.44879999999999998</v>
      </c>
      <c r="G12" s="98"/>
      <c r="H12" s="7">
        <f>PREÇOS!K13</f>
        <v>5.8425000000000002</v>
      </c>
      <c r="I12" s="64">
        <f t="shared" si="0"/>
        <v>0.82253051999999971</v>
      </c>
      <c r="J12" s="65">
        <f t="shared" si="1"/>
        <v>0.82253051999999971</v>
      </c>
    </row>
    <row r="13" spans="1:10" x14ac:dyDescent="0.25">
      <c r="A13" s="96" t="s">
        <v>104</v>
      </c>
      <c r="B13" s="104">
        <f>VLOOKUP(A13,[1]DIFAL!$C$13:$E$39,3,0)</f>
        <v>7.0000000000000007E-2</v>
      </c>
      <c r="C13" s="104">
        <v>0.17</v>
      </c>
      <c r="D13" s="98"/>
      <c r="E13" s="98"/>
      <c r="F13" s="98"/>
      <c r="G13" s="98"/>
      <c r="H13" s="7">
        <f>PREÇOS!K14</f>
        <v>4.9874999999999998</v>
      </c>
      <c r="I13" s="61">
        <f t="shared" si="0"/>
        <v>0</v>
      </c>
      <c r="J13" s="4">
        <f t="shared" si="1"/>
        <v>0</v>
      </c>
    </row>
    <row r="14" spans="1:10" x14ac:dyDescent="0.25">
      <c r="A14" s="96" t="s">
        <v>105</v>
      </c>
      <c r="B14" s="104">
        <f>VLOOKUP(A14,[1]DIFAL!$C$13:$E$39,3,0)</f>
        <v>7.0000000000000007E-2</v>
      </c>
      <c r="C14" s="104">
        <v>0.17</v>
      </c>
      <c r="D14" s="98"/>
      <c r="E14" s="98"/>
      <c r="F14" s="98">
        <v>0.45519999999999999</v>
      </c>
      <c r="G14" s="98"/>
      <c r="H14" s="7">
        <f>PREÇOS!K15</f>
        <v>4.9874999999999998</v>
      </c>
      <c r="I14" s="61">
        <f t="shared" si="0"/>
        <v>0.88470270000000018</v>
      </c>
      <c r="J14" s="4">
        <f t="shared" si="1"/>
        <v>0.88470270000000018</v>
      </c>
    </row>
    <row r="15" spans="1:10" x14ac:dyDescent="0.25">
      <c r="A15" s="96" t="s">
        <v>106</v>
      </c>
      <c r="B15" s="104">
        <f>VLOOKUP(A15,[1]DIFAL!$C$13:$E$39,3,0)</f>
        <v>7.0000000000000007E-2</v>
      </c>
      <c r="C15" s="104">
        <v>0.19</v>
      </c>
      <c r="D15" s="98"/>
      <c r="E15" s="98"/>
      <c r="F15" s="98"/>
      <c r="G15" s="98"/>
      <c r="H15" s="7">
        <f>PREÇOS!K16</f>
        <v>4.9874999999999998</v>
      </c>
      <c r="I15" s="61">
        <f t="shared" si="0"/>
        <v>0</v>
      </c>
      <c r="J15" s="4">
        <f t="shared" si="1"/>
        <v>0</v>
      </c>
    </row>
    <row r="16" spans="1:10" x14ac:dyDescent="0.25">
      <c r="A16" s="96" t="s">
        <v>107</v>
      </c>
      <c r="B16" s="104">
        <f>VLOOKUP(A16,[1]DIFAL!$C$13:$E$39,3,0)</f>
        <v>7.0000000000000007E-2</v>
      </c>
      <c r="C16" s="104">
        <v>0.18</v>
      </c>
      <c r="D16" s="98"/>
      <c r="E16" s="98"/>
      <c r="F16" s="98"/>
      <c r="G16" s="98"/>
      <c r="H16" s="7">
        <f>PREÇOS!K17</f>
        <v>4.9874999999999998</v>
      </c>
      <c r="I16" s="61">
        <f t="shared" si="0"/>
        <v>0</v>
      </c>
      <c r="J16" s="4">
        <f t="shared" si="1"/>
        <v>0</v>
      </c>
    </row>
    <row r="17" spans="1:10" x14ac:dyDescent="0.25">
      <c r="A17" s="96" t="s">
        <v>108</v>
      </c>
      <c r="B17" s="104">
        <f>VLOOKUP(A17,[1]DIFAL!$C$13:$E$39,3,0)</f>
        <v>7.0000000000000007E-2</v>
      </c>
      <c r="C17" s="104">
        <v>0.18</v>
      </c>
      <c r="D17" s="98"/>
      <c r="E17" s="98"/>
      <c r="F17" s="98"/>
      <c r="G17" s="98"/>
      <c r="H17" s="7">
        <f>PREÇOS!K18</f>
        <v>4.9874999999999998</v>
      </c>
      <c r="I17" s="61">
        <f t="shared" si="0"/>
        <v>0</v>
      </c>
      <c r="J17" s="4">
        <f t="shared" si="1"/>
        <v>0</v>
      </c>
    </row>
    <row r="18" spans="1:10" x14ac:dyDescent="0.25">
      <c r="A18" s="96" t="s">
        <v>109</v>
      </c>
      <c r="B18" s="104">
        <f>VLOOKUP(A18,[1]DIFAL!$C$13:$E$39,3,0)</f>
        <v>7.0000000000000007E-2</v>
      </c>
      <c r="C18" s="104">
        <v>0.21</v>
      </c>
      <c r="D18" s="98"/>
      <c r="E18" s="98"/>
      <c r="F18" s="98"/>
      <c r="G18" s="98"/>
      <c r="H18" s="7">
        <f>PREÇOS!K19</f>
        <v>4.9874999999999998</v>
      </c>
      <c r="I18" s="61">
        <f t="shared" si="0"/>
        <v>0</v>
      </c>
      <c r="J18" s="4">
        <f t="shared" si="1"/>
        <v>0</v>
      </c>
    </row>
    <row r="19" spans="1:10" x14ac:dyDescent="0.25">
      <c r="A19" s="96" t="s">
        <v>110</v>
      </c>
      <c r="B19" s="104">
        <v>0.12</v>
      </c>
      <c r="C19" s="104">
        <v>0.19500000000000001</v>
      </c>
      <c r="D19" s="98"/>
      <c r="E19" s="98"/>
      <c r="F19" s="98">
        <v>0.60799999999999998</v>
      </c>
      <c r="G19" s="98"/>
      <c r="H19" s="7">
        <f>PREÇOS!K20</f>
        <v>5.8425000000000002</v>
      </c>
      <c r="I19" s="64">
        <f>IF(F19=0,,H19*(1+F19)*C19-(H19*B19))</f>
        <v>1.1308743000000001</v>
      </c>
      <c r="J19" s="65">
        <f t="shared" si="1"/>
        <v>1.1308743000000001</v>
      </c>
    </row>
    <row r="20" spans="1:10" x14ac:dyDescent="0.25">
      <c r="A20" s="96" t="s">
        <v>111</v>
      </c>
      <c r="B20" s="104">
        <f>VLOOKUP(A20,[1]DIFAL!$C$13:$E$39,3,0)</f>
        <v>0.12</v>
      </c>
      <c r="C20" s="104">
        <v>0.22</v>
      </c>
      <c r="D20" s="98"/>
      <c r="E20" s="98"/>
      <c r="F20" s="98">
        <v>0.54730000000000001</v>
      </c>
      <c r="G20" s="98"/>
      <c r="H20" s="7">
        <f>PREÇOS!K21</f>
        <v>5.8425000000000002</v>
      </c>
      <c r="I20" s="64">
        <f t="shared" si="0"/>
        <v>1.2877220549999999</v>
      </c>
      <c r="J20" s="65">
        <f t="shared" si="1"/>
        <v>1.2877220549999999</v>
      </c>
    </row>
    <row r="21" spans="1:10" x14ac:dyDescent="0.25">
      <c r="A21" s="96" t="s">
        <v>112</v>
      </c>
      <c r="B21" s="104">
        <f>VLOOKUP(A21,[1]DIFAL!$C$13:$E$39,3,0)</f>
        <v>7.0000000000000007E-2</v>
      </c>
      <c r="C21" s="104">
        <v>0.2</v>
      </c>
      <c r="D21" s="98"/>
      <c r="E21" s="98"/>
      <c r="F21" s="98"/>
      <c r="G21" s="98"/>
      <c r="H21" s="7">
        <f>PREÇOS!K22</f>
        <v>4.9874999999999998</v>
      </c>
      <c r="I21" s="61">
        <f t="shared" si="0"/>
        <v>0</v>
      </c>
      <c r="J21" s="4">
        <f t="shared" si="1"/>
        <v>0</v>
      </c>
    </row>
    <row r="22" spans="1:10" x14ac:dyDescent="0.25">
      <c r="A22" s="96" t="s">
        <v>113</v>
      </c>
      <c r="B22" s="104">
        <f>VLOOKUP(A22,[1]DIFAL!$C$13:$E$39,3,0)</f>
        <v>7.0000000000000007E-2</v>
      </c>
      <c r="C22" s="104">
        <v>0.17499999999999999</v>
      </c>
      <c r="D22" s="98"/>
      <c r="E22" s="98"/>
      <c r="F22" s="98"/>
      <c r="G22" s="98"/>
      <c r="H22" s="7">
        <f>PREÇOS!K23</f>
        <v>4.9874999999999998</v>
      </c>
      <c r="I22" s="61">
        <f t="shared" si="0"/>
        <v>0</v>
      </c>
      <c r="J22" s="4">
        <f t="shared" si="1"/>
        <v>0</v>
      </c>
    </row>
    <row r="23" spans="1:10" x14ac:dyDescent="0.25">
      <c r="A23" s="96" t="s">
        <v>114</v>
      </c>
      <c r="B23" s="104">
        <f>VLOOKUP(A23,[1]DIFAL!$C$13:$E$39,3,0)</f>
        <v>7.0000000000000007E-2</v>
      </c>
      <c r="C23" s="104">
        <v>0.2</v>
      </c>
      <c r="D23" s="98"/>
      <c r="E23" s="98"/>
      <c r="F23" s="98"/>
      <c r="G23" s="98"/>
      <c r="H23" s="7">
        <f>PREÇOS!K24</f>
        <v>4.9874999999999998</v>
      </c>
      <c r="I23" s="61">
        <f t="shared" si="0"/>
        <v>0</v>
      </c>
      <c r="J23" s="4">
        <f t="shared" si="1"/>
        <v>0</v>
      </c>
    </row>
    <row r="24" spans="1:10" x14ac:dyDescent="0.25">
      <c r="A24" s="96" t="s">
        <v>115</v>
      </c>
      <c r="B24" s="104">
        <f>VLOOKUP(A24,[1]DIFAL!$C$13:$E$39,3,0)</f>
        <v>0.12</v>
      </c>
      <c r="C24" s="104">
        <v>0.17</v>
      </c>
      <c r="D24" s="98"/>
      <c r="E24" s="98"/>
      <c r="F24" s="98"/>
      <c r="G24" s="98"/>
      <c r="H24" s="7">
        <f>PREÇOS!K25</f>
        <v>5.8425000000000002</v>
      </c>
      <c r="I24" s="64">
        <f t="shared" si="0"/>
        <v>0</v>
      </c>
      <c r="J24" s="65">
        <f t="shared" si="1"/>
        <v>0</v>
      </c>
    </row>
    <row r="25" spans="1:10" x14ac:dyDescent="0.25">
      <c r="A25" s="96" t="s">
        <v>116</v>
      </c>
      <c r="B25" s="104">
        <f>VLOOKUP(A25,[1]DIFAL!$C$13:$E$39,3,0)</f>
        <v>0.12</v>
      </c>
      <c r="C25" s="104">
        <v>0.17</v>
      </c>
      <c r="D25" s="98"/>
      <c r="E25" s="98"/>
      <c r="F25" s="98"/>
      <c r="G25" s="98"/>
      <c r="H25" s="7">
        <f>PREÇOS!K26</f>
        <v>5.8425000000000002</v>
      </c>
      <c r="I25" s="64">
        <f t="shared" si="0"/>
        <v>0</v>
      </c>
      <c r="J25" s="65">
        <f t="shared" si="1"/>
        <v>0</v>
      </c>
    </row>
    <row r="26" spans="1:10" x14ac:dyDescent="0.25">
      <c r="A26" s="96" t="s">
        <v>117</v>
      </c>
      <c r="B26" s="104">
        <f>VLOOKUP(A26,[1]DIFAL!$C$13:$E$39,3,0)</f>
        <v>7.0000000000000007E-2</v>
      </c>
      <c r="C26" s="104">
        <v>0.2</v>
      </c>
      <c r="D26" s="98"/>
      <c r="E26" s="98"/>
      <c r="F26" s="98"/>
      <c r="G26" s="98"/>
      <c r="H26" s="7">
        <f>PREÇOS!K27</f>
        <v>4.9874999999999998</v>
      </c>
      <c r="I26" s="62">
        <f t="shared" si="0"/>
        <v>0</v>
      </c>
      <c r="J26" s="33">
        <f t="shared" si="1"/>
        <v>0</v>
      </c>
    </row>
    <row r="27" spans="1:10" x14ac:dyDescent="0.25">
      <c r="A27" s="96" t="s">
        <v>118</v>
      </c>
      <c r="B27" s="104">
        <f>VLOOKUP(A27,[1]DIFAL!$C$13:$E$39,3,0)</f>
        <v>0.12</v>
      </c>
      <c r="C27" s="104">
        <v>0.18</v>
      </c>
      <c r="D27" s="98"/>
      <c r="E27" s="98"/>
      <c r="F27" s="98">
        <v>0.46300000000000002</v>
      </c>
      <c r="G27" s="98"/>
      <c r="H27" s="7">
        <f>PREÇOS!K28</f>
        <v>5.8425000000000002</v>
      </c>
      <c r="I27" s="64">
        <f t="shared" si="0"/>
        <v>0.83746395000000007</v>
      </c>
      <c r="J27" s="65">
        <f t="shared" si="1"/>
        <v>0.83746395000000007</v>
      </c>
    </row>
    <row r="28" spans="1:10" x14ac:dyDescent="0.25">
      <c r="A28" s="99" t="s">
        <v>119</v>
      </c>
      <c r="B28" s="67">
        <f>B27</f>
        <v>0.12</v>
      </c>
      <c r="C28" s="67">
        <f t="shared" ref="C28:G28" si="2">C27</f>
        <v>0.18</v>
      </c>
      <c r="D28" s="66">
        <f t="shared" si="2"/>
        <v>0</v>
      </c>
      <c r="E28" s="66">
        <f t="shared" si="2"/>
        <v>0</v>
      </c>
      <c r="F28" s="66">
        <f t="shared" si="2"/>
        <v>0.46300000000000002</v>
      </c>
      <c r="G28" s="66">
        <f t="shared" si="2"/>
        <v>0</v>
      </c>
      <c r="H28" s="7">
        <f>PREÇOS!K29</f>
        <v>5.8425000000000002</v>
      </c>
      <c r="I28" s="95">
        <f t="shared" si="0"/>
        <v>0.83746395000000007</v>
      </c>
      <c r="J28" s="93">
        <f t="shared" si="1"/>
        <v>0.83746395000000007</v>
      </c>
    </row>
    <row r="29" spans="1:10" x14ac:dyDescent="0.25">
      <c r="A29" s="96" t="s">
        <v>120</v>
      </c>
      <c r="B29" s="104">
        <f>VLOOKUP(A29,[1]DIFAL!$C$13:$E$39,3,0)</f>
        <v>7.0000000000000007E-2</v>
      </c>
      <c r="C29" s="104">
        <v>0.2</v>
      </c>
      <c r="D29" s="98"/>
      <c r="E29" s="98"/>
      <c r="F29" s="98"/>
      <c r="G29" s="98"/>
      <c r="H29" s="7">
        <f>PREÇOS!K30</f>
        <v>4.9874999999999998</v>
      </c>
      <c r="I29" s="62">
        <f t="shared" si="0"/>
        <v>0</v>
      </c>
      <c r="J29" s="33">
        <f t="shared" si="1"/>
        <v>0</v>
      </c>
    </row>
    <row r="30" spans="1:10" x14ac:dyDescent="0.25">
      <c r="A30" s="3" t="s">
        <v>121</v>
      </c>
      <c r="H30" s="7">
        <f>PREÇOS!K31</f>
        <v>0</v>
      </c>
      <c r="I30" s="62">
        <f t="shared" si="0"/>
        <v>0</v>
      </c>
      <c r="J30" s="33">
        <f t="shared" si="1"/>
        <v>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BB859-02A6-40FA-8C25-05EBC9CFD9CB}">
  <sheetPr codeName="Planilha12">
    <tabColor rgb="FF7030A0"/>
  </sheetPr>
  <dimension ref="A1:J30"/>
  <sheetViews>
    <sheetView workbookViewId="0">
      <selection activeCell="Q21" sqref="Q21"/>
    </sheetView>
  </sheetViews>
  <sheetFormatPr defaultRowHeight="15" x14ac:dyDescent="0.25"/>
  <cols>
    <col min="1" max="1" width="9" bestFit="1" customWidth="1"/>
    <col min="2" max="2" width="25.42578125" bestFit="1" customWidth="1"/>
    <col min="3" max="3" width="18.5703125" bestFit="1" customWidth="1"/>
    <col min="4" max="4" width="16" bestFit="1" customWidth="1"/>
    <col min="5" max="5" width="17" bestFit="1" customWidth="1"/>
    <col min="6" max="6" width="20.5703125" bestFit="1" customWidth="1"/>
    <col min="7" max="7" width="21.5703125" bestFit="1" customWidth="1"/>
    <col min="8" max="8" width="10.5703125" customWidth="1"/>
    <col min="9" max="9" width="12.5703125" bestFit="1" customWidth="1"/>
    <col min="10" max="10" width="13.5703125" style="4" bestFit="1" customWidth="1"/>
  </cols>
  <sheetData>
    <row r="1" spans="1:10" ht="15.75" x14ac:dyDescent="0.25">
      <c r="A1" s="1" t="s">
        <v>84</v>
      </c>
      <c r="B1" s="5" t="s">
        <v>85</v>
      </c>
      <c r="C1" s="5" t="s">
        <v>86</v>
      </c>
      <c r="D1" s="2" t="s">
        <v>87</v>
      </c>
      <c r="E1" s="2" t="s">
        <v>88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</row>
    <row r="2" spans="1:10" x14ac:dyDescent="0.25">
      <c r="A2" s="96" t="s">
        <v>94</v>
      </c>
      <c r="B2" s="104">
        <f>VLOOKUP(A2,[1]DIFAL!$C$13:$E$39,3,0)</f>
        <v>7.0000000000000007E-2</v>
      </c>
      <c r="C2" s="104">
        <v>0.17</v>
      </c>
      <c r="D2" s="98"/>
      <c r="E2" s="98"/>
      <c r="F2" s="98"/>
      <c r="G2" s="98"/>
      <c r="H2" s="7">
        <f>PREÇOS!L3</f>
        <v>12.73</v>
      </c>
      <c r="I2" s="61">
        <f t="shared" ref="I2:I30" si="0">IF(F2=0,,H2*(1+F2)*C2-(H2*B2))</f>
        <v>0</v>
      </c>
      <c r="J2" s="4">
        <f t="shared" ref="J2:J30" si="1">IF(G2=0,IF(F2=0,,H2*(1+F2)*C2-(H2*B2)),H2*(1+G2)*C2-(H2*B2))</f>
        <v>0</v>
      </c>
    </row>
    <row r="3" spans="1:10" x14ac:dyDescent="0.25">
      <c r="A3" s="96" t="s">
        <v>95</v>
      </c>
      <c r="B3" s="104">
        <f>VLOOKUP(A3,[1]DIFAL!$C$13:$E$39,3,0)</f>
        <v>7.0000000000000007E-2</v>
      </c>
      <c r="C3" s="104">
        <v>0.2</v>
      </c>
      <c r="D3" s="98"/>
      <c r="E3" s="98"/>
      <c r="F3" s="98">
        <v>0.71</v>
      </c>
      <c r="G3" s="98"/>
      <c r="H3" s="7">
        <f>PREÇOS!L4</f>
        <v>12.73</v>
      </c>
      <c r="I3" s="61">
        <f>IF(F3=0,,H3*(1+F3)*C3-(H3*B3))</f>
        <v>3.4625600000000003</v>
      </c>
      <c r="J3" s="4">
        <f t="shared" si="1"/>
        <v>3.4625600000000003</v>
      </c>
    </row>
    <row r="4" spans="1:10" x14ac:dyDescent="0.25">
      <c r="A4" s="96" t="s">
        <v>96</v>
      </c>
      <c r="B4" s="104">
        <f>VLOOKUP(A4,[1]DIFAL!$C$13:$E$39,3,0)</f>
        <v>7.0000000000000007E-2</v>
      </c>
      <c r="C4" s="104">
        <v>0.2</v>
      </c>
      <c r="D4" s="98"/>
      <c r="E4" s="98"/>
      <c r="F4" s="98">
        <v>0.55379999999999996</v>
      </c>
      <c r="G4" s="98"/>
      <c r="H4" s="7">
        <f>PREÇOS!L5</f>
        <v>12.73</v>
      </c>
      <c r="I4" s="61">
        <f t="shared" si="0"/>
        <v>3.0648747999999997</v>
      </c>
      <c r="J4" s="4">
        <f t="shared" si="1"/>
        <v>3.0648747999999997</v>
      </c>
    </row>
    <row r="5" spans="1:10" x14ac:dyDescent="0.25">
      <c r="A5" s="96" t="s">
        <v>97</v>
      </c>
      <c r="B5" s="104">
        <f>VLOOKUP(A5,[1]DIFAL!$C$13:$E$39,3,0)</f>
        <v>7.0000000000000007E-2</v>
      </c>
      <c r="C5" s="104">
        <v>0.18</v>
      </c>
      <c r="D5" s="98"/>
      <c r="E5" s="98"/>
      <c r="F5" s="98"/>
      <c r="G5" s="98"/>
      <c r="H5" s="7">
        <f>PREÇOS!L6</f>
        <v>12.73</v>
      </c>
      <c r="I5" s="61">
        <f t="shared" si="0"/>
        <v>0</v>
      </c>
      <c r="J5" s="4">
        <f t="shared" si="1"/>
        <v>0</v>
      </c>
    </row>
    <row r="6" spans="1:10" x14ac:dyDescent="0.25">
      <c r="A6" s="96" t="s">
        <v>98</v>
      </c>
      <c r="B6" s="104">
        <f>VLOOKUP(A6,[1]DIFAL!$C$13:$E$39,3,0)</f>
        <v>7.0000000000000007E-2</v>
      </c>
      <c r="C6" s="104">
        <v>0.19</v>
      </c>
      <c r="D6" s="98"/>
      <c r="E6" s="98"/>
      <c r="F6" s="98"/>
      <c r="G6" s="98"/>
      <c r="H6" s="7">
        <f>PREÇOS!L7</f>
        <v>12.73</v>
      </c>
      <c r="I6" s="61">
        <f t="shared" si="0"/>
        <v>0</v>
      </c>
      <c r="J6" s="4">
        <f t="shared" si="1"/>
        <v>0</v>
      </c>
    </row>
    <row r="7" spans="1:10" x14ac:dyDescent="0.25">
      <c r="A7" s="96" t="s">
        <v>99</v>
      </c>
      <c r="B7" s="104">
        <f>VLOOKUP(A7,[1]DIFAL!$C$13:$E$39,3,0)</f>
        <v>7.0000000000000007E-2</v>
      </c>
      <c r="C7" s="104">
        <v>0.2</v>
      </c>
      <c r="D7" s="98"/>
      <c r="E7" s="98"/>
      <c r="F7" s="98"/>
      <c r="G7" s="98"/>
      <c r="H7" s="7">
        <f>PREÇOS!L8</f>
        <v>12.73</v>
      </c>
      <c r="I7" s="61">
        <f t="shared" si="0"/>
        <v>0</v>
      </c>
      <c r="J7" s="4">
        <f t="shared" si="1"/>
        <v>0</v>
      </c>
    </row>
    <row r="8" spans="1:10" x14ac:dyDescent="0.25">
      <c r="A8" s="96" t="s">
        <v>5</v>
      </c>
      <c r="B8" s="104">
        <f>VLOOKUP(A8,[1]DIFAL!$C$13:$E$39,3,0)</f>
        <v>7.0000000000000007E-2</v>
      </c>
      <c r="C8" s="104">
        <v>0.18</v>
      </c>
      <c r="D8" s="98"/>
      <c r="E8" s="98"/>
      <c r="F8" s="98"/>
      <c r="G8" s="98"/>
      <c r="H8" s="7">
        <f>PREÇOS!L9</f>
        <v>12.73</v>
      </c>
      <c r="I8" s="61">
        <f t="shared" si="0"/>
        <v>0</v>
      </c>
      <c r="J8" s="4">
        <f t="shared" si="1"/>
        <v>0</v>
      </c>
    </row>
    <row r="9" spans="1:10" x14ac:dyDescent="0.25">
      <c r="A9" s="96" t="s">
        <v>100</v>
      </c>
      <c r="B9" s="104">
        <f>VLOOKUP(A9,[1]DIFAL!$C$13:$E$39,3,0)</f>
        <v>7.0000000000000007E-2</v>
      </c>
      <c r="C9" s="104">
        <v>0.17</v>
      </c>
      <c r="D9" s="98"/>
      <c r="E9" s="98"/>
      <c r="F9" s="98"/>
      <c r="G9" s="98"/>
      <c r="H9" s="7">
        <f>PREÇOS!L10</f>
        <v>13.470999999999998</v>
      </c>
      <c r="I9" s="61">
        <f t="shared" si="0"/>
        <v>0</v>
      </c>
      <c r="J9" s="4">
        <f t="shared" si="1"/>
        <v>0</v>
      </c>
    </row>
    <row r="10" spans="1:10" x14ac:dyDescent="0.25">
      <c r="A10" s="96" t="s">
        <v>101</v>
      </c>
      <c r="B10" s="104">
        <f>VLOOKUP(A10,[1]DIFAL!$C$13:$E$39,3,0)</f>
        <v>7.0000000000000007E-2</v>
      </c>
      <c r="C10" s="104">
        <v>0.17</v>
      </c>
      <c r="D10" s="98"/>
      <c r="E10" s="98"/>
      <c r="F10" s="98"/>
      <c r="G10" s="98"/>
      <c r="H10" s="7">
        <f>PREÇOS!L11</f>
        <v>12.73</v>
      </c>
      <c r="I10" s="61">
        <f t="shared" si="0"/>
        <v>0</v>
      </c>
      <c r="J10" s="4">
        <f t="shared" si="1"/>
        <v>0</v>
      </c>
    </row>
    <row r="11" spans="1:10" x14ac:dyDescent="0.25">
      <c r="A11" s="96" t="s">
        <v>102</v>
      </c>
      <c r="B11" s="104">
        <f>VLOOKUP(A11,[1]DIFAL!$C$13:$E$39,3,0)</f>
        <v>7.0000000000000007E-2</v>
      </c>
      <c r="C11" s="104">
        <v>0.2</v>
      </c>
      <c r="D11" s="98"/>
      <c r="E11" s="98"/>
      <c r="F11" s="98"/>
      <c r="G11" s="98"/>
      <c r="H11" s="7">
        <f>PREÇOS!L12</f>
        <v>12.73</v>
      </c>
      <c r="I11" s="61">
        <f t="shared" si="0"/>
        <v>0</v>
      </c>
      <c r="J11" s="4">
        <f t="shared" si="1"/>
        <v>0</v>
      </c>
    </row>
    <row r="12" spans="1:10" x14ac:dyDescent="0.25">
      <c r="A12" s="96" t="s">
        <v>103</v>
      </c>
      <c r="B12" s="104">
        <f>VLOOKUP(A12,[1]DIFAL!$C$13:$E$39,3,0)</f>
        <v>0.12</v>
      </c>
      <c r="C12" s="104">
        <v>0.18</v>
      </c>
      <c r="D12" s="98"/>
      <c r="E12" s="98"/>
      <c r="F12" s="98">
        <v>0.44879999999999998</v>
      </c>
      <c r="G12" s="98"/>
      <c r="H12" s="7">
        <f>PREÇOS!L13</f>
        <v>14.240499999999999</v>
      </c>
      <c r="I12" s="64">
        <f t="shared" si="0"/>
        <v>2.0048345519999993</v>
      </c>
      <c r="J12" s="65">
        <f t="shared" si="1"/>
        <v>2.0048345519999993</v>
      </c>
    </row>
    <row r="13" spans="1:10" x14ac:dyDescent="0.25">
      <c r="A13" s="96" t="s">
        <v>104</v>
      </c>
      <c r="B13" s="104">
        <f>VLOOKUP(A13,[1]DIFAL!$C$13:$E$39,3,0)</f>
        <v>7.0000000000000007E-2</v>
      </c>
      <c r="C13" s="104">
        <v>0.17</v>
      </c>
      <c r="D13" s="98"/>
      <c r="E13" s="98"/>
      <c r="F13" s="98"/>
      <c r="G13" s="98"/>
      <c r="H13" s="7">
        <f>PREÇOS!L14</f>
        <v>12.73</v>
      </c>
      <c r="I13" s="61">
        <f t="shared" si="0"/>
        <v>0</v>
      </c>
      <c r="J13" s="4">
        <f t="shared" si="1"/>
        <v>0</v>
      </c>
    </row>
    <row r="14" spans="1:10" x14ac:dyDescent="0.25">
      <c r="A14" s="96" t="s">
        <v>105</v>
      </c>
      <c r="B14" s="104">
        <f>VLOOKUP(A14,[1]DIFAL!$C$13:$E$39,3,0)</f>
        <v>7.0000000000000007E-2</v>
      </c>
      <c r="C14" s="104">
        <v>0.17</v>
      </c>
      <c r="D14" s="98"/>
      <c r="E14" s="98"/>
      <c r="F14" s="98">
        <v>0.45519999999999999</v>
      </c>
      <c r="G14" s="98"/>
      <c r="H14" s="7">
        <f>PREÇOS!L15</f>
        <v>12.73</v>
      </c>
      <c r="I14" s="61">
        <f t="shared" si="0"/>
        <v>2.2580983200000002</v>
      </c>
      <c r="J14" s="4">
        <f t="shared" si="1"/>
        <v>2.2580983200000002</v>
      </c>
    </row>
    <row r="15" spans="1:10" x14ac:dyDescent="0.25">
      <c r="A15" s="96" t="s">
        <v>106</v>
      </c>
      <c r="B15" s="104">
        <f>VLOOKUP(A15,[1]DIFAL!$C$13:$E$39,3,0)</f>
        <v>7.0000000000000007E-2</v>
      </c>
      <c r="C15" s="104">
        <v>0.19</v>
      </c>
      <c r="D15" s="98"/>
      <c r="E15" s="98"/>
      <c r="F15" s="98"/>
      <c r="G15" s="98"/>
      <c r="H15" s="7">
        <f>PREÇOS!L16</f>
        <v>12.73</v>
      </c>
      <c r="I15" s="61">
        <f t="shared" si="0"/>
        <v>0</v>
      </c>
      <c r="J15" s="4">
        <f t="shared" si="1"/>
        <v>0</v>
      </c>
    </row>
    <row r="16" spans="1:10" x14ac:dyDescent="0.25">
      <c r="A16" s="96" t="s">
        <v>107</v>
      </c>
      <c r="B16" s="104">
        <f>VLOOKUP(A16,[1]DIFAL!$C$13:$E$39,3,0)</f>
        <v>7.0000000000000007E-2</v>
      </c>
      <c r="C16" s="104">
        <v>0.18</v>
      </c>
      <c r="D16" s="98"/>
      <c r="E16" s="98"/>
      <c r="F16" s="98"/>
      <c r="G16" s="98"/>
      <c r="H16" s="7">
        <f>PREÇOS!L17</f>
        <v>12.73</v>
      </c>
      <c r="I16" s="61">
        <f t="shared" si="0"/>
        <v>0</v>
      </c>
      <c r="J16" s="4">
        <f t="shared" si="1"/>
        <v>0</v>
      </c>
    </row>
    <row r="17" spans="1:10" x14ac:dyDescent="0.25">
      <c r="A17" s="96" t="s">
        <v>108</v>
      </c>
      <c r="B17" s="104">
        <f>VLOOKUP(A17,[1]DIFAL!$C$13:$E$39,3,0)</f>
        <v>7.0000000000000007E-2</v>
      </c>
      <c r="C17" s="104">
        <v>0.18</v>
      </c>
      <c r="D17" s="98"/>
      <c r="E17" s="98"/>
      <c r="F17" s="98"/>
      <c r="G17" s="98"/>
      <c r="H17" s="7">
        <f>PREÇOS!L18</f>
        <v>12.73</v>
      </c>
      <c r="I17" s="61">
        <f t="shared" si="0"/>
        <v>0</v>
      </c>
      <c r="J17" s="4">
        <f t="shared" si="1"/>
        <v>0</v>
      </c>
    </row>
    <row r="18" spans="1:10" x14ac:dyDescent="0.25">
      <c r="A18" s="96" t="s">
        <v>109</v>
      </c>
      <c r="B18" s="104">
        <f>VLOOKUP(A18,[1]DIFAL!$C$13:$E$39,3,0)</f>
        <v>7.0000000000000007E-2</v>
      </c>
      <c r="C18" s="104">
        <v>0.21</v>
      </c>
      <c r="D18" s="98"/>
      <c r="E18" s="98"/>
      <c r="F18" s="98"/>
      <c r="G18" s="98"/>
      <c r="H18" s="7">
        <f>PREÇOS!L19</f>
        <v>12.73</v>
      </c>
      <c r="I18" s="61">
        <f t="shared" si="0"/>
        <v>0</v>
      </c>
      <c r="J18" s="4">
        <f t="shared" si="1"/>
        <v>0</v>
      </c>
    </row>
    <row r="19" spans="1:10" x14ac:dyDescent="0.25">
      <c r="A19" s="96" t="s">
        <v>110</v>
      </c>
      <c r="B19" s="104">
        <v>0.12</v>
      </c>
      <c r="C19" s="104">
        <v>0.19500000000000001</v>
      </c>
      <c r="D19" s="98"/>
      <c r="E19" s="98"/>
      <c r="F19" s="98">
        <v>0.60799999999999998</v>
      </c>
      <c r="G19" s="98"/>
      <c r="H19" s="7">
        <f>PREÇOS!L20</f>
        <v>14.240499999999999</v>
      </c>
      <c r="I19" s="64">
        <f>IF(F19=0,,H19*(1+F19)*C19-(H19*B19))</f>
        <v>2.7563911800000005</v>
      </c>
      <c r="J19" s="65">
        <f t="shared" si="1"/>
        <v>2.7563911800000005</v>
      </c>
    </row>
    <row r="20" spans="1:10" x14ac:dyDescent="0.25">
      <c r="A20" s="96" t="s">
        <v>111</v>
      </c>
      <c r="B20" s="104">
        <f>VLOOKUP(A20,[1]DIFAL!$C$13:$E$39,3,0)</f>
        <v>0.12</v>
      </c>
      <c r="C20" s="104">
        <v>0.22</v>
      </c>
      <c r="D20" s="98"/>
      <c r="E20" s="98"/>
      <c r="F20" s="98">
        <v>0.54730000000000001</v>
      </c>
      <c r="G20" s="98"/>
      <c r="H20" s="7">
        <f>PREÇOS!L21</f>
        <v>14.240499999999999</v>
      </c>
      <c r="I20" s="64">
        <f t="shared" si="0"/>
        <v>3.1386916429999996</v>
      </c>
      <c r="J20" s="65">
        <f t="shared" si="1"/>
        <v>3.1386916429999996</v>
      </c>
    </row>
    <row r="21" spans="1:10" x14ac:dyDescent="0.25">
      <c r="A21" s="96" t="s">
        <v>112</v>
      </c>
      <c r="B21" s="104">
        <f>VLOOKUP(A21,[1]DIFAL!$C$13:$E$39,3,0)</f>
        <v>7.0000000000000007E-2</v>
      </c>
      <c r="C21" s="104">
        <v>0.2</v>
      </c>
      <c r="D21" s="98"/>
      <c r="E21" s="98"/>
      <c r="F21" s="98"/>
      <c r="G21" s="98"/>
      <c r="H21" s="7">
        <f>PREÇOS!L22</f>
        <v>12.73</v>
      </c>
      <c r="I21" s="61">
        <f t="shared" si="0"/>
        <v>0</v>
      </c>
      <c r="J21" s="4">
        <f t="shared" si="1"/>
        <v>0</v>
      </c>
    </row>
    <row r="22" spans="1:10" x14ac:dyDescent="0.25">
      <c r="A22" s="96" t="s">
        <v>113</v>
      </c>
      <c r="B22" s="104">
        <f>VLOOKUP(A22,[1]DIFAL!$C$13:$E$39,3,0)</f>
        <v>7.0000000000000007E-2</v>
      </c>
      <c r="C22" s="104">
        <v>0.17499999999999999</v>
      </c>
      <c r="D22" s="98"/>
      <c r="E22" s="98"/>
      <c r="F22" s="98"/>
      <c r="G22" s="98"/>
      <c r="H22" s="7">
        <f>PREÇOS!L23</f>
        <v>12.73</v>
      </c>
      <c r="I22" s="61">
        <f t="shared" si="0"/>
        <v>0</v>
      </c>
      <c r="J22" s="4">
        <f t="shared" si="1"/>
        <v>0</v>
      </c>
    </row>
    <row r="23" spans="1:10" x14ac:dyDescent="0.25">
      <c r="A23" s="96" t="s">
        <v>114</v>
      </c>
      <c r="B23" s="104">
        <f>VLOOKUP(A23,[1]DIFAL!$C$13:$E$39,3,0)</f>
        <v>7.0000000000000007E-2</v>
      </c>
      <c r="C23" s="104">
        <v>0.2</v>
      </c>
      <c r="D23" s="98"/>
      <c r="E23" s="98"/>
      <c r="F23" s="98"/>
      <c r="G23" s="98"/>
      <c r="H23" s="7">
        <f>PREÇOS!L24</f>
        <v>12.73</v>
      </c>
      <c r="I23" s="61">
        <f t="shared" si="0"/>
        <v>0</v>
      </c>
      <c r="J23" s="4">
        <f t="shared" si="1"/>
        <v>0</v>
      </c>
    </row>
    <row r="24" spans="1:10" x14ac:dyDescent="0.25">
      <c r="A24" s="96" t="s">
        <v>115</v>
      </c>
      <c r="B24" s="104">
        <f>VLOOKUP(A24,[1]DIFAL!$C$13:$E$39,3,0)</f>
        <v>0.12</v>
      </c>
      <c r="C24" s="104">
        <v>0.17</v>
      </c>
      <c r="D24" s="98"/>
      <c r="E24" s="98"/>
      <c r="F24" s="98"/>
      <c r="G24" s="98"/>
      <c r="H24" s="7">
        <f>PREÇOS!L25</f>
        <v>14.240499999999999</v>
      </c>
      <c r="I24" s="64">
        <f t="shared" si="0"/>
        <v>0</v>
      </c>
      <c r="J24" s="65">
        <f t="shared" si="1"/>
        <v>0</v>
      </c>
    </row>
    <row r="25" spans="1:10" x14ac:dyDescent="0.25">
      <c r="A25" s="96" t="s">
        <v>116</v>
      </c>
      <c r="B25" s="104">
        <f>VLOOKUP(A25,[1]DIFAL!$C$13:$E$39,3,0)</f>
        <v>0.12</v>
      </c>
      <c r="C25" s="104">
        <v>0.17</v>
      </c>
      <c r="D25" s="98"/>
      <c r="E25" s="98"/>
      <c r="F25" s="98"/>
      <c r="G25" s="98"/>
      <c r="H25" s="7">
        <f>PREÇOS!L26</f>
        <v>14.240499999999999</v>
      </c>
      <c r="I25" s="64">
        <f t="shared" si="0"/>
        <v>0</v>
      </c>
      <c r="J25" s="65">
        <f t="shared" si="1"/>
        <v>0</v>
      </c>
    </row>
    <row r="26" spans="1:10" x14ac:dyDescent="0.25">
      <c r="A26" s="96" t="s">
        <v>117</v>
      </c>
      <c r="B26" s="104">
        <f>VLOOKUP(A26,[1]DIFAL!$C$13:$E$39,3,0)</f>
        <v>7.0000000000000007E-2</v>
      </c>
      <c r="C26" s="104">
        <v>0.2</v>
      </c>
      <c r="D26" s="98"/>
      <c r="E26" s="98"/>
      <c r="F26" s="98"/>
      <c r="G26" s="98"/>
      <c r="H26" s="7">
        <f>PREÇOS!L27</f>
        <v>12.73</v>
      </c>
      <c r="I26" s="62">
        <f t="shared" si="0"/>
        <v>0</v>
      </c>
      <c r="J26" s="33">
        <f t="shared" si="1"/>
        <v>0</v>
      </c>
    </row>
    <row r="27" spans="1:10" x14ac:dyDescent="0.25">
      <c r="A27" s="96" t="s">
        <v>118</v>
      </c>
      <c r="B27" s="104">
        <f>VLOOKUP(A27,[1]DIFAL!$C$13:$E$39,3,0)</f>
        <v>0.12</v>
      </c>
      <c r="C27" s="104">
        <v>0.18</v>
      </c>
      <c r="D27" s="98"/>
      <c r="E27" s="98"/>
      <c r="F27" s="98">
        <v>0.46300000000000002</v>
      </c>
      <c r="G27" s="98"/>
      <c r="H27" s="7">
        <f>PREÇOS!L28</f>
        <v>14.240499999999999</v>
      </c>
      <c r="I27" s="64">
        <f t="shared" si="0"/>
        <v>2.0412332699999993</v>
      </c>
      <c r="J27" s="65">
        <f t="shared" si="1"/>
        <v>2.0412332699999993</v>
      </c>
    </row>
    <row r="28" spans="1:10" x14ac:dyDescent="0.25">
      <c r="A28" s="99" t="s">
        <v>119</v>
      </c>
      <c r="B28" s="67">
        <f>B27</f>
        <v>0.12</v>
      </c>
      <c r="C28" s="67">
        <f t="shared" ref="C28:G28" si="2">C27</f>
        <v>0.18</v>
      </c>
      <c r="D28" s="66">
        <f t="shared" si="2"/>
        <v>0</v>
      </c>
      <c r="E28" s="66">
        <f t="shared" si="2"/>
        <v>0</v>
      </c>
      <c r="F28" s="66">
        <f t="shared" si="2"/>
        <v>0.46300000000000002</v>
      </c>
      <c r="G28" s="66">
        <f t="shared" si="2"/>
        <v>0</v>
      </c>
      <c r="H28" s="7">
        <f>PREÇOS!L29</f>
        <v>14.240499999999999</v>
      </c>
      <c r="I28" s="95">
        <f t="shared" si="0"/>
        <v>2.0412332699999993</v>
      </c>
      <c r="J28" s="93">
        <f t="shared" si="1"/>
        <v>2.0412332699999993</v>
      </c>
    </row>
    <row r="29" spans="1:10" x14ac:dyDescent="0.25">
      <c r="A29" s="96" t="s">
        <v>120</v>
      </c>
      <c r="B29" s="104">
        <f>VLOOKUP(A29,[1]DIFAL!$C$13:$E$39,3,0)</f>
        <v>7.0000000000000007E-2</v>
      </c>
      <c r="C29" s="104">
        <v>0.2</v>
      </c>
      <c r="D29" s="98"/>
      <c r="E29" s="98"/>
      <c r="F29" s="98"/>
      <c r="G29" s="98"/>
      <c r="H29" s="7">
        <f>PREÇOS!L30</f>
        <v>12.73</v>
      </c>
      <c r="I29" s="62">
        <f t="shared" si="0"/>
        <v>0</v>
      </c>
      <c r="J29" s="33">
        <f t="shared" si="1"/>
        <v>0</v>
      </c>
    </row>
    <row r="30" spans="1:10" x14ac:dyDescent="0.25">
      <c r="A30" s="3" t="s">
        <v>121</v>
      </c>
      <c r="H30" s="7">
        <f>PREÇOS!L31</f>
        <v>0</v>
      </c>
      <c r="I30" s="62">
        <f t="shared" si="0"/>
        <v>0</v>
      </c>
      <c r="J30" s="33">
        <f t="shared" si="1"/>
        <v>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969CE-893E-4979-A1B6-EDB3CE57E52A}">
  <sheetPr codeName="Planilha6"/>
  <dimension ref="A1:AE33"/>
  <sheetViews>
    <sheetView zoomScale="70" zoomScaleNormal="70" workbookViewId="0">
      <selection activeCell="U42" sqref="U42"/>
    </sheetView>
  </sheetViews>
  <sheetFormatPr defaultRowHeight="15" x14ac:dyDescent="0.25"/>
  <cols>
    <col min="1" max="15" width="18.42578125" customWidth="1"/>
    <col min="17" max="17" width="11.42578125" bestFit="1" customWidth="1"/>
    <col min="18" max="18" width="11.5703125" bestFit="1" customWidth="1"/>
    <col min="19" max="19" width="12.42578125" bestFit="1" customWidth="1"/>
    <col min="20" max="20" width="15.42578125" bestFit="1" customWidth="1"/>
    <col min="21" max="21" width="12.85546875" bestFit="1" customWidth="1"/>
    <col min="22" max="24" width="10.28515625" bestFit="1" customWidth="1"/>
    <col min="25" max="25" width="16" bestFit="1" customWidth="1"/>
    <col min="26" max="28" width="10.28515625" bestFit="1" customWidth="1"/>
    <col min="29" max="29" width="13.42578125" bestFit="1" customWidth="1"/>
    <col min="30" max="30" width="14" bestFit="1" customWidth="1"/>
    <col min="31" max="31" width="18" bestFit="1" customWidth="1"/>
  </cols>
  <sheetData>
    <row r="1" spans="1:31" ht="15.75" x14ac:dyDescent="0.25">
      <c r="A1" s="68" t="s">
        <v>122</v>
      </c>
      <c r="B1" s="69" t="s">
        <v>123</v>
      </c>
      <c r="C1" s="70"/>
      <c r="D1" s="70" t="s">
        <v>124</v>
      </c>
      <c r="E1" s="70"/>
      <c r="F1" s="70"/>
      <c r="G1" s="105"/>
      <c r="H1" s="70"/>
      <c r="I1" s="70"/>
      <c r="J1" s="70"/>
      <c r="K1" s="70"/>
      <c r="L1" s="70"/>
      <c r="M1" s="70"/>
      <c r="N1" s="70"/>
      <c r="O1" s="70"/>
    </row>
    <row r="2" spans="1:31" ht="94.5" x14ac:dyDescent="0.25">
      <c r="A2" s="71" t="s">
        <v>84</v>
      </c>
      <c r="B2" s="106" t="s">
        <v>125</v>
      </c>
      <c r="C2" s="71" t="s">
        <v>126</v>
      </c>
      <c r="D2" s="106" t="s">
        <v>127</v>
      </c>
      <c r="E2" s="71" t="s">
        <v>128</v>
      </c>
      <c r="F2" s="71" t="s">
        <v>129</v>
      </c>
      <c r="G2" s="107" t="s">
        <v>130</v>
      </c>
      <c r="H2" s="1" t="s">
        <v>131</v>
      </c>
      <c r="I2" s="72" t="s">
        <v>132</v>
      </c>
      <c r="J2" s="107" t="s">
        <v>133</v>
      </c>
      <c r="K2" s="108" t="s">
        <v>134</v>
      </c>
      <c r="L2" s="108" t="s">
        <v>135</v>
      </c>
      <c r="M2" s="1" t="s">
        <v>136</v>
      </c>
      <c r="N2" s="1" t="s">
        <v>137</v>
      </c>
      <c r="O2" s="1" t="s">
        <v>138</v>
      </c>
      <c r="Q2" s="71" t="s">
        <v>84</v>
      </c>
      <c r="R2" s="106" t="s">
        <v>125</v>
      </c>
      <c r="S2" s="71" t="s">
        <v>126</v>
      </c>
      <c r="T2" s="106" t="s">
        <v>127</v>
      </c>
      <c r="U2" s="71" t="s">
        <v>128</v>
      </c>
      <c r="V2" s="71" t="s">
        <v>129</v>
      </c>
      <c r="W2" s="107" t="s">
        <v>130</v>
      </c>
      <c r="X2" s="1" t="s">
        <v>131</v>
      </c>
      <c r="Y2" s="72" t="s">
        <v>132</v>
      </c>
      <c r="Z2" s="107" t="s">
        <v>133</v>
      </c>
      <c r="AA2" s="108" t="s">
        <v>134</v>
      </c>
      <c r="AB2" s="108" t="s">
        <v>135</v>
      </c>
      <c r="AC2" s="1" t="s">
        <v>136</v>
      </c>
      <c r="AD2" s="1" t="s">
        <v>137</v>
      </c>
      <c r="AE2" s="1" t="s">
        <v>138</v>
      </c>
    </row>
    <row r="3" spans="1:31" x14ac:dyDescent="0.25">
      <c r="A3" s="8" t="s">
        <v>94</v>
      </c>
      <c r="B3" s="9">
        <f>R3*0.95</f>
        <v>5.3864999999999998</v>
      </c>
      <c r="C3" s="9">
        <f t="shared" ref="C3:C30" si="0">S3*0.95</f>
        <v>3.3914999999999997</v>
      </c>
      <c r="D3" s="9">
        <f t="shared" ref="D3:D30" si="1">T3*0.95</f>
        <v>10.8965</v>
      </c>
      <c r="E3" s="9">
        <f t="shared" ref="E3:E30" si="2">U3*0.95</f>
        <v>7.5334999999999992</v>
      </c>
      <c r="F3" s="10">
        <f t="shared" ref="F3:F30" si="3">V3*0.95</f>
        <v>10.545</v>
      </c>
      <c r="G3" s="10">
        <f t="shared" ref="G3:G30" si="4">W3*0.95</f>
        <v>7.4574999999999996</v>
      </c>
      <c r="H3" s="10">
        <f t="shared" ref="H3:H30" si="5">X3*0.95</f>
        <v>7.5334999999999992</v>
      </c>
      <c r="I3" s="9">
        <f t="shared" ref="I3:I30" si="6">Y3*0.95</f>
        <v>6.982499999999999</v>
      </c>
      <c r="J3" s="10">
        <f t="shared" ref="J3:J30" si="7">Z3*0.95</f>
        <v>6.0324999999999998</v>
      </c>
      <c r="K3" s="10">
        <f t="shared" ref="K3:K30" si="8">AA3*0.95</f>
        <v>4.9874999999999998</v>
      </c>
      <c r="L3" s="10">
        <f t="shared" ref="L3:L30" si="9">AB3*0.95</f>
        <v>12.73</v>
      </c>
      <c r="M3" s="6">
        <f t="shared" ref="M3:M30" si="10">AC3*0.95</f>
        <v>5.3864999999999998</v>
      </c>
      <c r="N3" s="6">
        <f>AD3*0.95</f>
        <v>10.773</v>
      </c>
      <c r="O3" s="6"/>
      <c r="Q3" s="8" t="s">
        <v>94</v>
      </c>
      <c r="R3" s="9">
        <v>5.67</v>
      </c>
      <c r="S3" s="9">
        <v>3.57</v>
      </c>
      <c r="T3" s="9">
        <v>11.47</v>
      </c>
      <c r="U3" s="9">
        <v>7.93</v>
      </c>
      <c r="V3" s="10">
        <v>11.1</v>
      </c>
      <c r="W3" s="10">
        <v>7.85</v>
      </c>
      <c r="X3" s="10">
        <v>7.93</v>
      </c>
      <c r="Y3" s="9">
        <v>7.35</v>
      </c>
      <c r="Z3" s="10">
        <v>6.35</v>
      </c>
      <c r="AA3" s="10">
        <v>5.25</v>
      </c>
      <c r="AB3" s="10">
        <v>13.4</v>
      </c>
      <c r="AC3" s="6">
        <v>5.67</v>
      </c>
      <c r="AD3" s="10">
        <v>11.34</v>
      </c>
      <c r="AE3" s="6"/>
    </row>
    <row r="4" spans="1:31" x14ac:dyDescent="0.25">
      <c r="A4" s="8" t="s">
        <v>95</v>
      </c>
      <c r="B4" s="9">
        <f t="shared" ref="B4:B30" si="11">R4*0.95</f>
        <v>5.3864999999999998</v>
      </c>
      <c r="C4" s="9">
        <f t="shared" si="0"/>
        <v>3.3914999999999997</v>
      </c>
      <c r="D4" s="9">
        <f t="shared" si="1"/>
        <v>10.8965</v>
      </c>
      <c r="E4" s="9">
        <f t="shared" si="2"/>
        <v>7.5334999999999992</v>
      </c>
      <c r="F4" s="10">
        <f t="shared" si="3"/>
        <v>10.545</v>
      </c>
      <c r="G4" s="10">
        <f t="shared" si="4"/>
        <v>7.4574999999999996</v>
      </c>
      <c r="H4" s="10">
        <f t="shared" si="5"/>
        <v>7.5334999999999992</v>
      </c>
      <c r="I4" s="9">
        <f t="shared" si="6"/>
        <v>6.982499999999999</v>
      </c>
      <c r="J4" s="10">
        <f t="shared" si="7"/>
        <v>6.0324999999999998</v>
      </c>
      <c r="K4" s="10">
        <f t="shared" si="8"/>
        <v>4.9874999999999998</v>
      </c>
      <c r="L4" s="10">
        <f t="shared" si="9"/>
        <v>12.73</v>
      </c>
      <c r="M4" s="6">
        <f t="shared" si="10"/>
        <v>5.3864999999999998</v>
      </c>
      <c r="N4" s="6">
        <f t="shared" ref="N4:N30" si="12">AD4*0.95</f>
        <v>10.773</v>
      </c>
      <c r="O4" s="6"/>
      <c r="Q4" s="8" t="s">
        <v>95</v>
      </c>
      <c r="R4" s="9">
        <v>5.67</v>
      </c>
      <c r="S4" s="9">
        <v>3.57</v>
      </c>
      <c r="T4" s="9">
        <v>11.47</v>
      </c>
      <c r="U4" s="9">
        <v>7.93</v>
      </c>
      <c r="V4" s="10">
        <v>11.1</v>
      </c>
      <c r="W4" s="10">
        <v>7.85</v>
      </c>
      <c r="X4" s="10">
        <v>7.93</v>
      </c>
      <c r="Y4" s="9">
        <v>7.35</v>
      </c>
      <c r="Z4" s="10">
        <v>6.35</v>
      </c>
      <c r="AA4" s="10">
        <v>5.25</v>
      </c>
      <c r="AB4" s="10">
        <v>13.4</v>
      </c>
      <c r="AC4" s="6">
        <v>5.67</v>
      </c>
      <c r="AD4" s="10">
        <v>11.34</v>
      </c>
      <c r="AE4" s="6"/>
    </row>
    <row r="5" spans="1:31" x14ac:dyDescent="0.25">
      <c r="A5" s="8" t="s">
        <v>96</v>
      </c>
      <c r="B5" s="9">
        <f t="shared" si="11"/>
        <v>5.3864999999999998</v>
      </c>
      <c r="C5" s="9">
        <f t="shared" si="0"/>
        <v>3.3914999999999997</v>
      </c>
      <c r="D5" s="9">
        <f t="shared" si="1"/>
        <v>10.8965</v>
      </c>
      <c r="E5" s="9">
        <f t="shared" si="2"/>
        <v>7.5334999999999992</v>
      </c>
      <c r="F5" s="10">
        <f t="shared" si="3"/>
        <v>10.545</v>
      </c>
      <c r="G5" s="10">
        <f t="shared" si="4"/>
        <v>7.4574999999999996</v>
      </c>
      <c r="H5" s="10">
        <f t="shared" si="5"/>
        <v>7.5334999999999992</v>
      </c>
      <c r="I5" s="9">
        <f t="shared" si="6"/>
        <v>6.982499999999999</v>
      </c>
      <c r="J5" s="10">
        <f t="shared" si="7"/>
        <v>6.0324999999999998</v>
      </c>
      <c r="K5" s="10">
        <f t="shared" si="8"/>
        <v>4.9874999999999998</v>
      </c>
      <c r="L5" s="10">
        <f t="shared" si="9"/>
        <v>12.73</v>
      </c>
      <c r="M5" s="6">
        <f t="shared" si="10"/>
        <v>5.3864999999999998</v>
      </c>
      <c r="N5" s="6">
        <f t="shared" si="12"/>
        <v>10.773</v>
      </c>
      <c r="O5" s="6"/>
      <c r="Q5" s="8" t="s">
        <v>96</v>
      </c>
      <c r="R5" s="9">
        <v>5.67</v>
      </c>
      <c r="S5" s="9">
        <v>3.57</v>
      </c>
      <c r="T5" s="9">
        <v>11.47</v>
      </c>
      <c r="U5" s="9">
        <v>7.93</v>
      </c>
      <c r="V5" s="10">
        <v>11.1</v>
      </c>
      <c r="W5" s="10">
        <v>7.85</v>
      </c>
      <c r="X5" s="10">
        <v>7.93</v>
      </c>
      <c r="Y5" s="9">
        <v>7.35</v>
      </c>
      <c r="Z5" s="10">
        <v>6.35</v>
      </c>
      <c r="AA5" s="10">
        <v>5.25</v>
      </c>
      <c r="AB5" s="10">
        <v>13.4</v>
      </c>
      <c r="AC5" s="6">
        <v>5.67</v>
      </c>
      <c r="AD5" s="10">
        <v>11.34</v>
      </c>
      <c r="AE5" s="6"/>
    </row>
    <row r="6" spans="1:31" x14ac:dyDescent="0.25">
      <c r="A6" s="8" t="s">
        <v>97</v>
      </c>
      <c r="B6" s="9">
        <f t="shared" si="11"/>
        <v>5.3864999999999998</v>
      </c>
      <c r="C6" s="9">
        <f t="shared" si="0"/>
        <v>3.3914999999999997</v>
      </c>
      <c r="D6" s="9">
        <f t="shared" si="1"/>
        <v>10.8965</v>
      </c>
      <c r="E6" s="9">
        <f t="shared" si="2"/>
        <v>7.5334999999999992</v>
      </c>
      <c r="F6" s="10">
        <f t="shared" si="3"/>
        <v>10.545</v>
      </c>
      <c r="G6" s="10">
        <f t="shared" si="4"/>
        <v>7.4574999999999996</v>
      </c>
      <c r="H6" s="10">
        <f t="shared" si="5"/>
        <v>7.5334999999999992</v>
      </c>
      <c r="I6" s="9">
        <f t="shared" si="6"/>
        <v>6.982499999999999</v>
      </c>
      <c r="J6" s="10">
        <f t="shared" si="7"/>
        <v>6.0324999999999998</v>
      </c>
      <c r="K6" s="10">
        <f t="shared" si="8"/>
        <v>4.9874999999999998</v>
      </c>
      <c r="L6" s="10">
        <f t="shared" si="9"/>
        <v>12.73</v>
      </c>
      <c r="M6" s="6">
        <f t="shared" si="10"/>
        <v>5.3864999999999998</v>
      </c>
      <c r="N6" s="6">
        <f t="shared" si="12"/>
        <v>10.773</v>
      </c>
      <c r="O6" s="6"/>
      <c r="Q6" s="8" t="s">
        <v>97</v>
      </c>
      <c r="R6" s="9">
        <v>5.67</v>
      </c>
      <c r="S6" s="9">
        <v>3.57</v>
      </c>
      <c r="T6" s="9">
        <v>11.47</v>
      </c>
      <c r="U6" s="9">
        <v>7.93</v>
      </c>
      <c r="V6" s="10">
        <v>11.1</v>
      </c>
      <c r="W6" s="10">
        <v>7.85</v>
      </c>
      <c r="X6" s="10">
        <v>7.93</v>
      </c>
      <c r="Y6" s="9">
        <v>7.35</v>
      </c>
      <c r="Z6" s="10">
        <v>6.35</v>
      </c>
      <c r="AA6" s="10">
        <v>5.25</v>
      </c>
      <c r="AB6" s="10">
        <v>13.4</v>
      </c>
      <c r="AC6" s="6">
        <v>5.67</v>
      </c>
      <c r="AD6" s="10">
        <v>11.34</v>
      </c>
      <c r="AE6" s="6"/>
    </row>
    <row r="7" spans="1:31" x14ac:dyDescent="0.25">
      <c r="A7" s="8" t="s">
        <v>98</v>
      </c>
      <c r="B7" s="9">
        <f t="shared" si="11"/>
        <v>5.3864999999999998</v>
      </c>
      <c r="C7" s="9">
        <f t="shared" si="0"/>
        <v>3.3914999999999997</v>
      </c>
      <c r="D7" s="9">
        <f t="shared" si="1"/>
        <v>10.8965</v>
      </c>
      <c r="E7" s="9">
        <f t="shared" si="2"/>
        <v>7.5334999999999992</v>
      </c>
      <c r="F7" s="10">
        <f t="shared" si="3"/>
        <v>10.545</v>
      </c>
      <c r="G7" s="10">
        <f t="shared" si="4"/>
        <v>7.4574999999999996</v>
      </c>
      <c r="H7" s="10">
        <f t="shared" si="5"/>
        <v>7.5334999999999992</v>
      </c>
      <c r="I7" s="9">
        <f t="shared" si="6"/>
        <v>6.982499999999999</v>
      </c>
      <c r="J7" s="10">
        <f t="shared" si="7"/>
        <v>6.0324999999999998</v>
      </c>
      <c r="K7" s="10">
        <f t="shared" si="8"/>
        <v>4.9874999999999998</v>
      </c>
      <c r="L7" s="10">
        <f t="shared" si="9"/>
        <v>12.73</v>
      </c>
      <c r="M7" s="6">
        <f t="shared" si="10"/>
        <v>5.3864999999999998</v>
      </c>
      <c r="N7" s="6">
        <f t="shared" si="12"/>
        <v>10.773</v>
      </c>
      <c r="O7" s="6"/>
      <c r="Q7" s="8" t="s">
        <v>98</v>
      </c>
      <c r="R7" s="9">
        <v>5.67</v>
      </c>
      <c r="S7" s="9">
        <v>3.57</v>
      </c>
      <c r="T7" s="9">
        <v>11.47</v>
      </c>
      <c r="U7" s="9">
        <v>7.93</v>
      </c>
      <c r="V7" s="10">
        <v>11.1</v>
      </c>
      <c r="W7" s="10">
        <v>7.85</v>
      </c>
      <c r="X7" s="10">
        <v>7.93</v>
      </c>
      <c r="Y7" s="9">
        <v>7.35</v>
      </c>
      <c r="Z7" s="10">
        <v>6.35</v>
      </c>
      <c r="AA7" s="10">
        <v>5.25</v>
      </c>
      <c r="AB7" s="10">
        <v>13.4</v>
      </c>
      <c r="AC7" s="6">
        <v>5.67</v>
      </c>
      <c r="AD7" s="10">
        <v>11.34</v>
      </c>
      <c r="AE7" s="6"/>
    </row>
    <row r="8" spans="1:31" x14ac:dyDescent="0.25">
      <c r="A8" s="8" t="s">
        <v>99</v>
      </c>
      <c r="B8" s="9">
        <f t="shared" si="11"/>
        <v>5.3864999999999998</v>
      </c>
      <c r="C8" s="9">
        <f t="shared" si="0"/>
        <v>3.3914999999999997</v>
      </c>
      <c r="D8" s="9">
        <f t="shared" si="1"/>
        <v>10.8965</v>
      </c>
      <c r="E8" s="9">
        <f t="shared" si="2"/>
        <v>7.5334999999999992</v>
      </c>
      <c r="F8" s="10">
        <f t="shared" si="3"/>
        <v>10.545</v>
      </c>
      <c r="G8" s="10">
        <f t="shared" si="4"/>
        <v>7.4574999999999996</v>
      </c>
      <c r="H8" s="10">
        <f t="shared" si="5"/>
        <v>7.5334999999999992</v>
      </c>
      <c r="I8" s="9">
        <f t="shared" si="6"/>
        <v>6.982499999999999</v>
      </c>
      <c r="J8" s="10">
        <f t="shared" si="7"/>
        <v>6.0324999999999998</v>
      </c>
      <c r="K8" s="10">
        <f t="shared" si="8"/>
        <v>4.9874999999999998</v>
      </c>
      <c r="L8" s="10">
        <f t="shared" si="9"/>
        <v>12.73</v>
      </c>
      <c r="M8" s="6">
        <f t="shared" si="10"/>
        <v>5.3864999999999998</v>
      </c>
      <c r="N8" s="6">
        <f t="shared" si="12"/>
        <v>10.773</v>
      </c>
      <c r="O8" s="6"/>
      <c r="Q8" s="8" t="s">
        <v>99</v>
      </c>
      <c r="R8" s="9">
        <v>5.67</v>
      </c>
      <c r="S8" s="9">
        <v>3.57</v>
      </c>
      <c r="T8" s="9">
        <v>11.47</v>
      </c>
      <c r="U8" s="9">
        <v>7.93</v>
      </c>
      <c r="V8" s="10">
        <v>11.1</v>
      </c>
      <c r="W8" s="10">
        <v>7.85</v>
      </c>
      <c r="X8" s="10">
        <v>7.93</v>
      </c>
      <c r="Y8" s="9">
        <v>7.35</v>
      </c>
      <c r="Z8" s="10">
        <v>6.35</v>
      </c>
      <c r="AA8" s="10">
        <v>5.25</v>
      </c>
      <c r="AB8" s="10">
        <v>13.4</v>
      </c>
      <c r="AC8" s="6">
        <v>5.67</v>
      </c>
      <c r="AD8" s="10">
        <v>11.34</v>
      </c>
      <c r="AE8" s="6"/>
    </row>
    <row r="9" spans="1:31" x14ac:dyDescent="0.25">
      <c r="A9" s="8" t="s">
        <v>5</v>
      </c>
      <c r="B9" s="9">
        <f t="shared" si="11"/>
        <v>5.3864999999999998</v>
      </c>
      <c r="C9" s="9">
        <f t="shared" si="0"/>
        <v>3.3914999999999997</v>
      </c>
      <c r="D9" s="9">
        <f t="shared" si="1"/>
        <v>10.8965</v>
      </c>
      <c r="E9" s="9">
        <f t="shared" si="2"/>
        <v>7.5334999999999992</v>
      </c>
      <c r="F9" s="10">
        <f t="shared" si="3"/>
        <v>10.545</v>
      </c>
      <c r="G9" s="10">
        <f t="shared" si="4"/>
        <v>7.4574999999999996</v>
      </c>
      <c r="H9" s="10">
        <f t="shared" si="5"/>
        <v>7.5334999999999992</v>
      </c>
      <c r="I9" s="9">
        <f t="shared" si="6"/>
        <v>6.982499999999999</v>
      </c>
      <c r="J9" s="10">
        <f t="shared" si="7"/>
        <v>6.0324999999999998</v>
      </c>
      <c r="K9" s="10">
        <f t="shared" si="8"/>
        <v>4.9874999999999998</v>
      </c>
      <c r="L9" s="10">
        <f t="shared" si="9"/>
        <v>12.73</v>
      </c>
      <c r="M9" s="6">
        <f t="shared" si="10"/>
        <v>5.3864999999999998</v>
      </c>
      <c r="N9" s="6">
        <f t="shared" si="12"/>
        <v>10.773</v>
      </c>
      <c r="O9" s="6"/>
      <c r="Q9" s="8" t="s">
        <v>5</v>
      </c>
      <c r="R9" s="9">
        <v>5.67</v>
      </c>
      <c r="S9" s="9">
        <v>3.57</v>
      </c>
      <c r="T9" s="9">
        <v>11.47</v>
      </c>
      <c r="U9" s="9">
        <v>7.93</v>
      </c>
      <c r="V9" s="10">
        <v>11.1</v>
      </c>
      <c r="W9" s="10">
        <v>7.85</v>
      </c>
      <c r="X9" s="10">
        <v>7.93</v>
      </c>
      <c r="Y9" s="9">
        <v>7.35</v>
      </c>
      <c r="Z9" s="10">
        <v>6.35</v>
      </c>
      <c r="AA9" s="10">
        <v>5.25</v>
      </c>
      <c r="AB9" s="10">
        <v>13.4</v>
      </c>
      <c r="AC9" s="6">
        <v>5.67</v>
      </c>
      <c r="AD9" s="10">
        <v>11.34</v>
      </c>
      <c r="AE9" s="6"/>
    </row>
    <row r="10" spans="1:31" x14ac:dyDescent="0.25">
      <c r="A10" s="11" t="s">
        <v>100</v>
      </c>
      <c r="B10" s="9">
        <f t="shared" si="11"/>
        <v>5.3864999999999998</v>
      </c>
      <c r="C10" s="9">
        <f t="shared" si="0"/>
        <v>3.3914999999999997</v>
      </c>
      <c r="D10" s="9">
        <f t="shared" si="1"/>
        <v>10.8965</v>
      </c>
      <c r="E10" s="9">
        <f t="shared" si="2"/>
        <v>7.5334999999999992</v>
      </c>
      <c r="F10" s="10">
        <f t="shared" si="3"/>
        <v>10.545</v>
      </c>
      <c r="G10" s="10">
        <f t="shared" si="4"/>
        <v>7.4574999999999996</v>
      </c>
      <c r="H10" s="10">
        <f t="shared" si="5"/>
        <v>7.5334999999999992</v>
      </c>
      <c r="I10" s="9">
        <f t="shared" si="6"/>
        <v>6.982499999999999</v>
      </c>
      <c r="J10" s="111">
        <f t="shared" si="7"/>
        <v>5.5289999999999999</v>
      </c>
      <c r="K10" s="111">
        <f t="shared" si="8"/>
        <v>5.5289999999999999</v>
      </c>
      <c r="L10" s="111">
        <f t="shared" si="9"/>
        <v>13.470999999999998</v>
      </c>
      <c r="M10" s="6">
        <f t="shared" si="10"/>
        <v>5.3864999999999998</v>
      </c>
      <c r="N10" s="6">
        <f t="shared" si="12"/>
        <v>10.773</v>
      </c>
      <c r="O10" s="6"/>
      <c r="Q10" s="11" t="s">
        <v>100</v>
      </c>
      <c r="R10" s="9">
        <v>5.67</v>
      </c>
      <c r="S10" s="9">
        <v>3.57</v>
      </c>
      <c r="T10" s="9">
        <v>11.47</v>
      </c>
      <c r="U10" s="9">
        <v>7.93</v>
      </c>
      <c r="V10" s="10">
        <v>11.1</v>
      </c>
      <c r="W10" s="10">
        <v>7.85</v>
      </c>
      <c r="X10" s="10">
        <v>7.93</v>
      </c>
      <c r="Y10" s="9">
        <v>7.35</v>
      </c>
      <c r="Z10" s="111">
        <v>5.82</v>
      </c>
      <c r="AA10" s="111">
        <v>5.82</v>
      </c>
      <c r="AB10" s="111">
        <v>14.18</v>
      </c>
      <c r="AC10" s="6">
        <v>5.67</v>
      </c>
      <c r="AD10" s="10">
        <v>11.34</v>
      </c>
      <c r="AE10" s="6"/>
    </row>
    <row r="11" spans="1:31" x14ac:dyDescent="0.25">
      <c r="A11" s="8" t="s">
        <v>101</v>
      </c>
      <c r="B11" s="9">
        <f t="shared" si="11"/>
        <v>5.3864999999999998</v>
      </c>
      <c r="C11" s="9">
        <f t="shared" si="0"/>
        <v>3.3914999999999997</v>
      </c>
      <c r="D11" s="9">
        <f t="shared" si="1"/>
        <v>10.8965</v>
      </c>
      <c r="E11" s="9">
        <f t="shared" si="2"/>
        <v>7.5334999999999992</v>
      </c>
      <c r="F11" s="10">
        <f t="shared" si="3"/>
        <v>10.545</v>
      </c>
      <c r="G11" s="10">
        <f t="shared" si="4"/>
        <v>7.4574999999999996</v>
      </c>
      <c r="H11" s="10">
        <f t="shared" si="5"/>
        <v>7.5334999999999992</v>
      </c>
      <c r="I11" s="9">
        <f t="shared" si="6"/>
        <v>6.982499999999999</v>
      </c>
      <c r="J11" s="10">
        <f t="shared" si="7"/>
        <v>6.0324999999999998</v>
      </c>
      <c r="K11" s="10">
        <f t="shared" si="8"/>
        <v>4.9874999999999998</v>
      </c>
      <c r="L11" s="10">
        <f t="shared" si="9"/>
        <v>12.73</v>
      </c>
      <c r="M11" s="6">
        <f t="shared" si="10"/>
        <v>5.3864999999999998</v>
      </c>
      <c r="N11" s="6">
        <f t="shared" si="12"/>
        <v>10.773</v>
      </c>
      <c r="O11" s="6"/>
      <c r="Q11" s="8" t="s">
        <v>101</v>
      </c>
      <c r="R11" s="9">
        <v>5.67</v>
      </c>
      <c r="S11" s="9">
        <v>3.57</v>
      </c>
      <c r="T11" s="9">
        <v>11.47</v>
      </c>
      <c r="U11" s="9">
        <v>7.93</v>
      </c>
      <c r="V11" s="10">
        <v>11.1</v>
      </c>
      <c r="W11" s="10">
        <v>7.85</v>
      </c>
      <c r="X11" s="10">
        <v>7.93</v>
      </c>
      <c r="Y11" s="9">
        <v>7.35</v>
      </c>
      <c r="Z11" s="10">
        <v>6.35</v>
      </c>
      <c r="AA11" s="10">
        <v>5.25</v>
      </c>
      <c r="AB11" s="10">
        <v>13.4</v>
      </c>
      <c r="AC11" s="6">
        <v>5.67</v>
      </c>
      <c r="AD11" s="10">
        <v>11.34</v>
      </c>
      <c r="AE11" s="6"/>
    </row>
    <row r="12" spans="1:31" x14ac:dyDescent="0.25">
      <c r="A12" s="8" t="s">
        <v>102</v>
      </c>
      <c r="B12" s="9">
        <f t="shared" si="11"/>
        <v>5.3864999999999998</v>
      </c>
      <c r="C12" s="9">
        <f t="shared" si="0"/>
        <v>3.3914999999999997</v>
      </c>
      <c r="D12" s="9">
        <f t="shared" si="1"/>
        <v>10.8965</v>
      </c>
      <c r="E12" s="9">
        <f t="shared" si="2"/>
        <v>7.5334999999999992</v>
      </c>
      <c r="F12" s="10">
        <f t="shared" si="3"/>
        <v>10.545</v>
      </c>
      <c r="G12" s="10">
        <f t="shared" si="4"/>
        <v>7.4574999999999996</v>
      </c>
      <c r="H12" s="10">
        <f t="shared" si="5"/>
        <v>7.5334999999999992</v>
      </c>
      <c r="I12" s="9">
        <f t="shared" si="6"/>
        <v>6.982499999999999</v>
      </c>
      <c r="J12" s="10">
        <f t="shared" si="7"/>
        <v>6.0324999999999998</v>
      </c>
      <c r="K12" s="10">
        <f t="shared" si="8"/>
        <v>4.9874999999999998</v>
      </c>
      <c r="L12" s="10">
        <f t="shared" si="9"/>
        <v>12.73</v>
      </c>
      <c r="M12" s="6">
        <f t="shared" si="10"/>
        <v>5.3864999999999998</v>
      </c>
      <c r="N12" s="6">
        <f t="shared" si="12"/>
        <v>10.773</v>
      </c>
      <c r="O12" s="6"/>
      <c r="Q12" s="8" t="s">
        <v>102</v>
      </c>
      <c r="R12" s="9">
        <v>5.67</v>
      </c>
      <c r="S12" s="9">
        <v>3.57</v>
      </c>
      <c r="T12" s="9">
        <v>11.47</v>
      </c>
      <c r="U12" s="9">
        <v>7.93</v>
      </c>
      <c r="V12" s="10">
        <v>11.1</v>
      </c>
      <c r="W12" s="10">
        <v>7.85</v>
      </c>
      <c r="X12" s="10">
        <v>7.93</v>
      </c>
      <c r="Y12" s="9">
        <v>7.35</v>
      </c>
      <c r="Z12" s="10">
        <v>6.35</v>
      </c>
      <c r="AA12" s="10">
        <v>5.25</v>
      </c>
      <c r="AB12" s="10">
        <v>13.4</v>
      </c>
      <c r="AC12" s="6">
        <v>5.67</v>
      </c>
      <c r="AD12" s="10">
        <v>11.34</v>
      </c>
      <c r="AE12" s="6"/>
    </row>
    <row r="13" spans="1:31" x14ac:dyDescent="0.25">
      <c r="A13" s="12" t="s">
        <v>103</v>
      </c>
      <c r="B13" s="9">
        <f t="shared" si="11"/>
        <v>5.3864999999999998</v>
      </c>
      <c r="C13" s="73">
        <f t="shared" si="0"/>
        <v>3.5909999999999997</v>
      </c>
      <c r="D13" s="9">
        <f t="shared" si="1"/>
        <v>10.8965</v>
      </c>
      <c r="E13" s="73">
        <f t="shared" si="2"/>
        <v>8.0274999999999981</v>
      </c>
      <c r="F13" s="74">
        <f t="shared" si="3"/>
        <v>11.21</v>
      </c>
      <c r="G13" s="74">
        <f t="shared" si="4"/>
        <v>7.8850000000000007</v>
      </c>
      <c r="H13" s="74">
        <f t="shared" si="5"/>
        <v>7.9799999999999995</v>
      </c>
      <c r="I13" s="9">
        <f t="shared" si="6"/>
        <v>6.982499999999999</v>
      </c>
      <c r="J13" s="74">
        <f t="shared" si="7"/>
        <v>5.8425000000000002</v>
      </c>
      <c r="K13" s="74">
        <f t="shared" si="8"/>
        <v>5.8425000000000002</v>
      </c>
      <c r="L13" s="74">
        <f t="shared" si="9"/>
        <v>14.240499999999999</v>
      </c>
      <c r="M13" s="74">
        <f t="shared" si="10"/>
        <v>5.3864999999999998</v>
      </c>
      <c r="N13" s="74">
        <f t="shared" si="12"/>
        <v>11.703999999999999</v>
      </c>
      <c r="O13" s="6"/>
      <c r="Q13" s="12" t="s">
        <v>103</v>
      </c>
      <c r="R13" s="9">
        <v>5.67</v>
      </c>
      <c r="S13" s="73">
        <v>3.78</v>
      </c>
      <c r="T13" s="9">
        <v>11.47</v>
      </c>
      <c r="U13" s="73">
        <v>8.4499999999999993</v>
      </c>
      <c r="V13" s="74">
        <v>11.8</v>
      </c>
      <c r="W13" s="74">
        <v>8.3000000000000007</v>
      </c>
      <c r="X13" s="74">
        <v>8.4</v>
      </c>
      <c r="Y13" s="9">
        <v>7.35</v>
      </c>
      <c r="Z13" s="74">
        <v>6.15</v>
      </c>
      <c r="AA13" s="74">
        <v>6.15</v>
      </c>
      <c r="AB13" s="74">
        <v>14.99</v>
      </c>
      <c r="AC13" s="74">
        <v>5.67</v>
      </c>
      <c r="AD13" s="74">
        <v>12.32</v>
      </c>
      <c r="AE13" s="6"/>
    </row>
    <row r="14" spans="1:31" x14ac:dyDescent="0.25">
      <c r="A14" s="8" t="s">
        <v>104</v>
      </c>
      <c r="B14" s="9">
        <f t="shared" si="11"/>
        <v>5.3864999999999998</v>
      </c>
      <c r="C14" s="9">
        <f t="shared" si="0"/>
        <v>3.3914999999999997</v>
      </c>
      <c r="D14" s="9">
        <f t="shared" si="1"/>
        <v>10.8965</v>
      </c>
      <c r="E14" s="9">
        <f t="shared" si="2"/>
        <v>7.5334999999999992</v>
      </c>
      <c r="F14" s="10">
        <f t="shared" si="3"/>
        <v>10.545</v>
      </c>
      <c r="G14" s="10">
        <f t="shared" si="4"/>
        <v>7.4574999999999996</v>
      </c>
      <c r="H14" s="10">
        <f t="shared" si="5"/>
        <v>7.5334999999999992</v>
      </c>
      <c r="I14" s="9">
        <f t="shared" si="6"/>
        <v>6.982499999999999</v>
      </c>
      <c r="J14" s="10">
        <f t="shared" si="7"/>
        <v>6.0324999999999998</v>
      </c>
      <c r="K14" s="10">
        <f t="shared" si="8"/>
        <v>4.9874999999999998</v>
      </c>
      <c r="L14" s="10">
        <f t="shared" si="9"/>
        <v>12.73</v>
      </c>
      <c r="M14" s="6">
        <f t="shared" si="10"/>
        <v>5.3864999999999998</v>
      </c>
      <c r="N14" s="6">
        <f t="shared" si="12"/>
        <v>10.773</v>
      </c>
      <c r="O14" s="6"/>
      <c r="Q14" s="8" t="s">
        <v>104</v>
      </c>
      <c r="R14" s="9">
        <v>5.67</v>
      </c>
      <c r="S14" s="9">
        <v>3.57</v>
      </c>
      <c r="T14" s="9">
        <v>11.47</v>
      </c>
      <c r="U14" s="9">
        <v>7.93</v>
      </c>
      <c r="V14" s="10">
        <v>11.1</v>
      </c>
      <c r="W14" s="10">
        <v>7.85</v>
      </c>
      <c r="X14" s="10">
        <v>7.93</v>
      </c>
      <c r="Y14" s="9">
        <v>7.35</v>
      </c>
      <c r="Z14" s="10">
        <v>6.35</v>
      </c>
      <c r="AA14" s="10">
        <v>5.25</v>
      </c>
      <c r="AB14" s="10">
        <v>13.4</v>
      </c>
      <c r="AC14" s="6">
        <v>5.67</v>
      </c>
      <c r="AD14" s="10">
        <v>11.34</v>
      </c>
      <c r="AE14" s="6"/>
    </row>
    <row r="15" spans="1:31" x14ac:dyDescent="0.25">
      <c r="A15" s="8" t="s">
        <v>105</v>
      </c>
      <c r="B15" s="9">
        <f t="shared" si="11"/>
        <v>5.3864999999999998</v>
      </c>
      <c r="C15" s="9">
        <f t="shared" si="0"/>
        <v>3.3914999999999997</v>
      </c>
      <c r="D15" s="9">
        <f t="shared" si="1"/>
        <v>10.8965</v>
      </c>
      <c r="E15" s="9">
        <f t="shared" si="2"/>
        <v>7.5334999999999992</v>
      </c>
      <c r="F15" s="10">
        <f t="shared" si="3"/>
        <v>10.545</v>
      </c>
      <c r="G15" s="10">
        <f t="shared" si="4"/>
        <v>7.4574999999999996</v>
      </c>
      <c r="H15" s="10">
        <f t="shared" si="5"/>
        <v>7.5334999999999992</v>
      </c>
      <c r="I15" s="9">
        <f t="shared" si="6"/>
        <v>6.982499999999999</v>
      </c>
      <c r="J15" s="10">
        <f t="shared" si="7"/>
        <v>6.0324999999999998</v>
      </c>
      <c r="K15" s="10">
        <f t="shared" si="8"/>
        <v>4.9874999999999998</v>
      </c>
      <c r="L15" s="10">
        <f t="shared" si="9"/>
        <v>12.73</v>
      </c>
      <c r="M15" s="6">
        <f t="shared" si="10"/>
        <v>5.3864999999999998</v>
      </c>
      <c r="N15" s="6">
        <f t="shared" si="12"/>
        <v>10.773</v>
      </c>
      <c r="O15" s="6"/>
      <c r="Q15" s="8" t="s">
        <v>105</v>
      </c>
      <c r="R15" s="9">
        <v>5.67</v>
      </c>
      <c r="S15" s="9">
        <v>3.57</v>
      </c>
      <c r="T15" s="9">
        <v>11.47</v>
      </c>
      <c r="U15" s="9">
        <v>7.93</v>
      </c>
      <c r="V15" s="10">
        <v>11.1</v>
      </c>
      <c r="W15" s="10">
        <v>7.85</v>
      </c>
      <c r="X15" s="10">
        <v>7.93</v>
      </c>
      <c r="Y15" s="9">
        <v>7.35</v>
      </c>
      <c r="Z15" s="10">
        <v>6.35</v>
      </c>
      <c r="AA15" s="10">
        <v>5.25</v>
      </c>
      <c r="AB15" s="10">
        <v>13.4</v>
      </c>
      <c r="AC15" s="6">
        <v>5.67</v>
      </c>
      <c r="AD15" s="10">
        <v>11.34</v>
      </c>
      <c r="AE15" s="6"/>
    </row>
    <row r="16" spans="1:31" x14ac:dyDescent="0.25">
      <c r="A16" s="8" t="s">
        <v>106</v>
      </c>
      <c r="B16" s="9">
        <f t="shared" si="11"/>
        <v>5.3864999999999998</v>
      </c>
      <c r="C16" s="9">
        <f t="shared" si="0"/>
        <v>3.3914999999999997</v>
      </c>
      <c r="D16" s="9">
        <f t="shared" si="1"/>
        <v>10.8965</v>
      </c>
      <c r="E16" s="9">
        <f t="shared" si="2"/>
        <v>7.5334999999999992</v>
      </c>
      <c r="F16" s="10">
        <f t="shared" si="3"/>
        <v>10.545</v>
      </c>
      <c r="G16" s="10">
        <f t="shared" si="4"/>
        <v>7.4574999999999996</v>
      </c>
      <c r="H16" s="10">
        <f t="shared" si="5"/>
        <v>7.5334999999999992</v>
      </c>
      <c r="I16" s="9">
        <f t="shared" si="6"/>
        <v>6.982499999999999</v>
      </c>
      <c r="J16" s="10">
        <f t="shared" si="7"/>
        <v>6.0324999999999998</v>
      </c>
      <c r="K16" s="10">
        <f t="shared" si="8"/>
        <v>4.9874999999999998</v>
      </c>
      <c r="L16" s="10">
        <f t="shared" si="9"/>
        <v>12.73</v>
      </c>
      <c r="M16" s="6">
        <f t="shared" si="10"/>
        <v>5.3864999999999998</v>
      </c>
      <c r="N16" s="6">
        <f t="shared" si="12"/>
        <v>10.773</v>
      </c>
      <c r="O16" s="6"/>
      <c r="Q16" s="8" t="s">
        <v>106</v>
      </c>
      <c r="R16" s="9">
        <v>5.67</v>
      </c>
      <c r="S16" s="9">
        <v>3.57</v>
      </c>
      <c r="T16" s="9">
        <v>11.47</v>
      </c>
      <c r="U16" s="9">
        <v>7.93</v>
      </c>
      <c r="V16" s="10">
        <v>11.1</v>
      </c>
      <c r="W16" s="10">
        <v>7.85</v>
      </c>
      <c r="X16" s="10">
        <v>7.93</v>
      </c>
      <c r="Y16" s="9">
        <v>7.35</v>
      </c>
      <c r="Z16" s="10">
        <v>6.35</v>
      </c>
      <c r="AA16" s="10">
        <v>5.25</v>
      </c>
      <c r="AB16" s="10">
        <v>13.4</v>
      </c>
      <c r="AC16" s="6">
        <v>5.67</v>
      </c>
      <c r="AD16" s="10">
        <v>11.34</v>
      </c>
      <c r="AE16" s="6"/>
    </row>
    <row r="17" spans="1:31" x14ac:dyDescent="0.25">
      <c r="A17" s="8" t="s">
        <v>107</v>
      </c>
      <c r="B17" s="9">
        <f t="shared" si="11"/>
        <v>5.3864999999999998</v>
      </c>
      <c r="C17" s="9">
        <f t="shared" si="0"/>
        <v>3.3914999999999997</v>
      </c>
      <c r="D17" s="9">
        <f t="shared" si="1"/>
        <v>10.8965</v>
      </c>
      <c r="E17" s="9">
        <f t="shared" si="2"/>
        <v>7.5334999999999992</v>
      </c>
      <c r="F17" s="10">
        <f t="shared" si="3"/>
        <v>10.545</v>
      </c>
      <c r="G17" s="10">
        <f t="shared" si="4"/>
        <v>7.4574999999999996</v>
      </c>
      <c r="H17" s="10">
        <f t="shared" si="5"/>
        <v>7.5334999999999992</v>
      </c>
      <c r="I17" s="9">
        <f t="shared" si="6"/>
        <v>6.982499999999999</v>
      </c>
      <c r="J17" s="10">
        <f t="shared" si="7"/>
        <v>6.0324999999999998</v>
      </c>
      <c r="K17" s="10">
        <f t="shared" si="8"/>
        <v>4.9874999999999998</v>
      </c>
      <c r="L17" s="10">
        <f t="shared" si="9"/>
        <v>12.73</v>
      </c>
      <c r="M17" s="6">
        <f t="shared" si="10"/>
        <v>5.3864999999999998</v>
      </c>
      <c r="N17" s="6">
        <f t="shared" si="12"/>
        <v>10.773</v>
      </c>
      <c r="O17" s="6"/>
      <c r="Q17" s="8" t="s">
        <v>107</v>
      </c>
      <c r="R17" s="9">
        <v>5.67</v>
      </c>
      <c r="S17" s="9">
        <v>3.57</v>
      </c>
      <c r="T17" s="9">
        <v>11.47</v>
      </c>
      <c r="U17" s="9">
        <v>7.93</v>
      </c>
      <c r="V17" s="10">
        <v>11.1</v>
      </c>
      <c r="W17" s="10">
        <v>7.85</v>
      </c>
      <c r="X17" s="10">
        <v>7.93</v>
      </c>
      <c r="Y17" s="9">
        <v>7.35</v>
      </c>
      <c r="Z17" s="10">
        <v>6.35</v>
      </c>
      <c r="AA17" s="10">
        <v>5.25</v>
      </c>
      <c r="AB17" s="10">
        <v>13.4</v>
      </c>
      <c r="AC17" s="6">
        <v>5.67</v>
      </c>
      <c r="AD17" s="10">
        <v>11.34</v>
      </c>
      <c r="AE17" s="6"/>
    </row>
    <row r="18" spans="1:31" x14ac:dyDescent="0.25">
      <c r="A18" s="8" t="s">
        <v>108</v>
      </c>
      <c r="B18" s="9">
        <f t="shared" si="11"/>
        <v>5.3864999999999998</v>
      </c>
      <c r="C18" s="9">
        <f t="shared" si="0"/>
        <v>3.3914999999999997</v>
      </c>
      <c r="D18" s="9">
        <f t="shared" si="1"/>
        <v>10.8965</v>
      </c>
      <c r="E18" s="9">
        <f t="shared" si="2"/>
        <v>7.5334999999999992</v>
      </c>
      <c r="F18" s="10">
        <f t="shared" si="3"/>
        <v>10.545</v>
      </c>
      <c r="G18" s="10">
        <f t="shared" si="4"/>
        <v>7.4574999999999996</v>
      </c>
      <c r="H18" s="10">
        <f t="shared" si="5"/>
        <v>7.5334999999999992</v>
      </c>
      <c r="I18" s="9">
        <f t="shared" si="6"/>
        <v>6.982499999999999</v>
      </c>
      <c r="J18" s="10">
        <f t="shared" si="7"/>
        <v>6.0324999999999998</v>
      </c>
      <c r="K18" s="10">
        <f t="shared" si="8"/>
        <v>4.9874999999999998</v>
      </c>
      <c r="L18" s="10">
        <f t="shared" si="9"/>
        <v>12.73</v>
      </c>
      <c r="M18" s="6">
        <f t="shared" si="10"/>
        <v>5.3864999999999998</v>
      </c>
      <c r="N18" s="6">
        <f t="shared" si="12"/>
        <v>10.773</v>
      </c>
      <c r="O18" s="6"/>
      <c r="Q18" s="8" t="s">
        <v>108</v>
      </c>
      <c r="R18" s="9">
        <v>5.67</v>
      </c>
      <c r="S18" s="9">
        <v>3.57</v>
      </c>
      <c r="T18" s="9">
        <v>11.47</v>
      </c>
      <c r="U18" s="9">
        <v>7.93</v>
      </c>
      <c r="V18" s="10">
        <v>11.1</v>
      </c>
      <c r="W18" s="10">
        <v>7.85</v>
      </c>
      <c r="X18" s="10">
        <v>7.93</v>
      </c>
      <c r="Y18" s="9">
        <v>7.35</v>
      </c>
      <c r="Z18" s="10">
        <v>6.35</v>
      </c>
      <c r="AA18" s="10">
        <v>5.25</v>
      </c>
      <c r="AB18" s="10">
        <v>13.4</v>
      </c>
      <c r="AC18" s="6">
        <v>5.67</v>
      </c>
      <c r="AD18" s="10">
        <v>11.34</v>
      </c>
      <c r="AE18" s="6"/>
    </row>
    <row r="19" spans="1:31" x14ac:dyDescent="0.25">
      <c r="A19" s="8" t="s">
        <v>109</v>
      </c>
      <c r="B19" s="9">
        <f t="shared" si="11"/>
        <v>5.3864999999999998</v>
      </c>
      <c r="C19" s="9">
        <f t="shared" si="0"/>
        <v>3.3914999999999997</v>
      </c>
      <c r="D19" s="9">
        <f t="shared" si="1"/>
        <v>10.8965</v>
      </c>
      <c r="E19" s="9">
        <f t="shared" si="2"/>
        <v>7.5334999999999992</v>
      </c>
      <c r="F19" s="10">
        <f t="shared" si="3"/>
        <v>10.545</v>
      </c>
      <c r="G19" s="10">
        <f t="shared" si="4"/>
        <v>7.4574999999999996</v>
      </c>
      <c r="H19" s="10">
        <f t="shared" si="5"/>
        <v>7.5334999999999992</v>
      </c>
      <c r="I19" s="9">
        <f t="shared" si="6"/>
        <v>6.982499999999999</v>
      </c>
      <c r="J19" s="10">
        <f t="shared" si="7"/>
        <v>6.0324999999999998</v>
      </c>
      <c r="K19" s="10">
        <f t="shared" si="8"/>
        <v>4.9874999999999998</v>
      </c>
      <c r="L19" s="10">
        <f t="shared" si="9"/>
        <v>12.73</v>
      </c>
      <c r="M19" s="6">
        <f t="shared" si="10"/>
        <v>5.3864999999999998</v>
      </c>
      <c r="N19" s="6">
        <f t="shared" si="12"/>
        <v>10.773</v>
      </c>
      <c r="O19" s="6"/>
      <c r="Q19" s="8" t="s">
        <v>109</v>
      </c>
      <c r="R19" s="9">
        <v>5.67</v>
      </c>
      <c r="S19" s="9">
        <v>3.57</v>
      </c>
      <c r="T19" s="9">
        <v>11.47</v>
      </c>
      <c r="U19" s="9">
        <v>7.93</v>
      </c>
      <c r="V19" s="10">
        <v>11.1</v>
      </c>
      <c r="W19" s="10">
        <v>7.85</v>
      </c>
      <c r="X19" s="10">
        <v>7.93</v>
      </c>
      <c r="Y19" s="9">
        <v>7.35</v>
      </c>
      <c r="Z19" s="10">
        <v>6.35</v>
      </c>
      <c r="AA19" s="10">
        <v>5.25</v>
      </c>
      <c r="AB19" s="10">
        <v>13.4</v>
      </c>
      <c r="AC19" s="6">
        <v>5.67</v>
      </c>
      <c r="AD19" s="10">
        <v>11.34</v>
      </c>
      <c r="AE19" s="6"/>
    </row>
    <row r="20" spans="1:31" x14ac:dyDescent="0.25">
      <c r="A20" s="13" t="s">
        <v>110</v>
      </c>
      <c r="B20" s="14">
        <f t="shared" si="11"/>
        <v>5.9279999999999999</v>
      </c>
      <c r="C20" s="73">
        <f t="shared" si="0"/>
        <v>3.5909999999999997</v>
      </c>
      <c r="D20" s="14">
        <f t="shared" si="1"/>
        <v>11.950999999999999</v>
      </c>
      <c r="E20" s="73">
        <f t="shared" si="2"/>
        <v>8.0274999999999981</v>
      </c>
      <c r="F20" s="74">
        <f t="shared" si="3"/>
        <v>11.21</v>
      </c>
      <c r="G20" s="74">
        <f t="shared" si="4"/>
        <v>7.8850000000000007</v>
      </c>
      <c r="H20" s="74">
        <f t="shared" si="5"/>
        <v>7.9799999999999995</v>
      </c>
      <c r="I20" s="14">
        <f t="shared" si="6"/>
        <v>7.6854999999999993</v>
      </c>
      <c r="J20" s="74">
        <f t="shared" si="7"/>
        <v>5.8425000000000002</v>
      </c>
      <c r="K20" s="74">
        <f t="shared" si="8"/>
        <v>5.8425000000000002</v>
      </c>
      <c r="L20" s="74">
        <f t="shared" si="9"/>
        <v>14.240499999999999</v>
      </c>
      <c r="M20" s="74">
        <f t="shared" si="10"/>
        <v>5.3864999999999998</v>
      </c>
      <c r="N20" s="74">
        <f t="shared" si="12"/>
        <v>11.703999999999999</v>
      </c>
      <c r="O20" s="6"/>
      <c r="Q20" s="13" t="s">
        <v>110</v>
      </c>
      <c r="R20" s="14">
        <v>6.24</v>
      </c>
      <c r="S20" s="73">
        <v>3.78</v>
      </c>
      <c r="T20" s="14">
        <v>12.58</v>
      </c>
      <c r="U20" s="73">
        <v>8.4499999999999993</v>
      </c>
      <c r="V20" s="74">
        <v>11.8</v>
      </c>
      <c r="W20" s="74">
        <v>8.3000000000000007</v>
      </c>
      <c r="X20" s="74">
        <v>8.4</v>
      </c>
      <c r="Y20" s="14">
        <v>8.09</v>
      </c>
      <c r="Z20" s="74">
        <v>6.15</v>
      </c>
      <c r="AA20" s="74">
        <v>6.15</v>
      </c>
      <c r="AB20" s="74">
        <v>14.99</v>
      </c>
      <c r="AC20" s="74">
        <v>5.67</v>
      </c>
      <c r="AD20" s="74">
        <v>12.32</v>
      </c>
      <c r="AE20" s="6"/>
    </row>
    <row r="21" spans="1:31" x14ac:dyDescent="0.25">
      <c r="A21" s="12" t="s">
        <v>111</v>
      </c>
      <c r="B21" s="9">
        <f t="shared" si="11"/>
        <v>5.3864999999999998</v>
      </c>
      <c r="C21" s="73">
        <f t="shared" si="0"/>
        <v>3.5909999999999997</v>
      </c>
      <c r="D21" s="9">
        <f t="shared" si="1"/>
        <v>10.8965</v>
      </c>
      <c r="E21" s="73">
        <f t="shared" si="2"/>
        <v>8.0274999999999981</v>
      </c>
      <c r="F21" s="74">
        <f t="shared" si="3"/>
        <v>11.21</v>
      </c>
      <c r="G21" s="74">
        <f t="shared" si="4"/>
        <v>7.8850000000000007</v>
      </c>
      <c r="H21" s="74">
        <f t="shared" si="5"/>
        <v>7.9799999999999995</v>
      </c>
      <c r="I21" s="9">
        <f t="shared" si="6"/>
        <v>6.982499999999999</v>
      </c>
      <c r="J21" s="74">
        <f t="shared" si="7"/>
        <v>5.8425000000000002</v>
      </c>
      <c r="K21" s="74">
        <f t="shared" si="8"/>
        <v>5.8425000000000002</v>
      </c>
      <c r="L21" s="74">
        <f t="shared" si="9"/>
        <v>14.240499999999999</v>
      </c>
      <c r="M21" s="74">
        <f t="shared" si="10"/>
        <v>5.3864999999999998</v>
      </c>
      <c r="N21" s="74">
        <f t="shared" si="12"/>
        <v>11.703999999999999</v>
      </c>
      <c r="O21" s="6"/>
      <c r="Q21" s="12" t="s">
        <v>111</v>
      </c>
      <c r="R21" s="9">
        <v>5.67</v>
      </c>
      <c r="S21" s="73">
        <v>3.78</v>
      </c>
      <c r="T21" s="9">
        <v>11.47</v>
      </c>
      <c r="U21" s="73">
        <v>8.4499999999999993</v>
      </c>
      <c r="V21" s="74">
        <v>11.8</v>
      </c>
      <c r="W21" s="74">
        <v>8.3000000000000007</v>
      </c>
      <c r="X21" s="74">
        <v>8.4</v>
      </c>
      <c r="Y21" s="9">
        <v>7.35</v>
      </c>
      <c r="Z21" s="74">
        <v>6.15</v>
      </c>
      <c r="AA21" s="74">
        <v>6.15</v>
      </c>
      <c r="AB21" s="74">
        <v>14.99</v>
      </c>
      <c r="AC21" s="74">
        <v>5.67</v>
      </c>
      <c r="AD21" s="74">
        <v>12.32</v>
      </c>
      <c r="AE21" s="6"/>
    </row>
    <row r="22" spans="1:31" x14ac:dyDescent="0.25">
      <c r="A22" s="8" t="s">
        <v>112</v>
      </c>
      <c r="B22" s="9">
        <f t="shared" si="11"/>
        <v>5.3864999999999998</v>
      </c>
      <c r="C22" s="9">
        <f t="shared" si="0"/>
        <v>3.3914999999999997</v>
      </c>
      <c r="D22" s="9">
        <f t="shared" si="1"/>
        <v>10.8965</v>
      </c>
      <c r="E22" s="9">
        <f t="shared" si="2"/>
        <v>7.5334999999999992</v>
      </c>
      <c r="F22" s="10">
        <f t="shared" si="3"/>
        <v>10.545</v>
      </c>
      <c r="G22" s="10">
        <f t="shared" si="4"/>
        <v>7.4574999999999996</v>
      </c>
      <c r="H22" s="10">
        <f t="shared" si="5"/>
        <v>7.5334999999999992</v>
      </c>
      <c r="I22" s="9">
        <f t="shared" si="6"/>
        <v>6.982499999999999</v>
      </c>
      <c r="J22" s="10">
        <f t="shared" si="7"/>
        <v>6.0324999999999998</v>
      </c>
      <c r="K22" s="10">
        <f t="shared" si="8"/>
        <v>4.9874999999999998</v>
      </c>
      <c r="L22" s="10">
        <f t="shared" si="9"/>
        <v>12.73</v>
      </c>
      <c r="M22" s="6">
        <f t="shared" si="10"/>
        <v>5.3864999999999998</v>
      </c>
      <c r="N22" s="6">
        <f t="shared" si="12"/>
        <v>10.773</v>
      </c>
      <c r="O22" s="6"/>
      <c r="Q22" s="8" t="s">
        <v>112</v>
      </c>
      <c r="R22" s="9">
        <v>5.67</v>
      </c>
      <c r="S22" s="9">
        <v>3.57</v>
      </c>
      <c r="T22" s="9">
        <v>11.47</v>
      </c>
      <c r="U22" s="9">
        <v>7.93</v>
      </c>
      <c r="V22" s="10">
        <v>11.1</v>
      </c>
      <c r="W22" s="10">
        <v>7.85</v>
      </c>
      <c r="X22" s="10">
        <v>7.93</v>
      </c>
      <c r="Y22" s="9">
        <v>7.35</v>
      </c>
      <c r="Z22" s="10">
        <v>6.35</v>
      </c>
      <c r="AA22" s="10">
        <v>5.25</v>
      </c>
      <c r="AB22" s="10">
        <v>13.4</v>
      </c>
      <c r="AC22" s="6">
        <v>5.67</v>
      </c>
      <c r="AD22" s="10">
        <v>11.34</v>
      </c>
      <c r="AE22" s="6"/>
    </row>
    <row r="23" spans="1:31" x14ac:dyDescent="0.25">
      <c r="A23" s="8" t="s">
        <v>113</v>
      </c>
      <c r="B23" s="9">
        <f t="shared" si="11"/>
        <v>5.3864999999999998</v>
      </c>
      <c r="C23" s="9">
        <f t="shared" si="0"/>
        <v>3.3914999999999997</v>
      </c>
      <c r="D23" s="9">
        <f t="shared" si="1"/>
        <v>10.8965</v>
      </c>
      <c r="E23" s="9">
        <f t="shared" si="2"/>
        <v>7.5334999999999992</v>
      </c>
      <c r="F23" s="10">
        <f t="shared" si="3"/>
        <v>10.545</v>
      </c>
      <c r="G23" s="10">
        <f t="shared" si="4"/>
        <v>7.4574999999999996</v>
      </c>
      <c r="H23" s="10">
        <f t="shared" si="5"/>
        <v>7.5334999999999992</v>
      </c>
      <c r="I23" s="9">
        <f t="shared" si="6"/>
        <v>6.982499999999999</v>
      </c>
      <c r="J23" s="10">
        <f t="shared" si="7"/>
        <v>6.0324999999999998</v>
      </c>
      <c r="K23" s="10">
        <f t="shared" si="8"/>
        <v>4.9874999999999998</v>
      </c>
      <c r="L23" s="10">
        <f t="shared" si="9"/>
        <v>12.73</v>
      </c>
      <c r="M23" s="6">
        <f t="shared" si="10"/>
        <v>5.3864999999999998</v>
      </c>
      <c r="N23" s="6">
        <f t="shared" si="12"/>
        <v>10.773</v>
      </c>
      <c r="O23" s="6"/>
      <c r="Q23" s="8" t="s">
        <v>113</v>
      </c>
      <c r="R23" s="9">
        <v>5.67</v>
      </c>
      <c r="S23" s="9">
        <v>3.57</v>
      </c>
      <c r="T23" s="9">
        <v>11.47</v>
      </c>
      <c r="U23" s="9">
        <v>7.93</v>
      </c>
      <c r="V23" s="10">
        <v>11.1</v>
      </c>
      <c r="W23" s="10">
        <v>7.85</v>
      </c>
      <c r="X23" s="10">
        <v>7.93</v>
      </c>
      <c r="Y23" s="9">
        <v>7.35</v>
      </c>
      <c r="Z23" s="10">
        <v>6.35</v>
      </c>
      <c r="AA23" s="10">
        <v>5.25</v>
      </c>
      <c r="AB23" s="10">
        <v>13.4</v>
      </c>
      <c r="AC23" s="6">
        <v>5.67</v>
      </c>
      <c r="AD23" s="10">
        <v>11.34</v>
      </c>
      <c r="AE23" s="6"/>
    </row>
    <row r="24" spans="1:31" x14ac:dyDescent="0.25">
      <c r="A24" s="8" t="s">
        <v>114</v>
      </c>
      <c r="B24" s="9">
        <f t="shared" si="11"/>
        <v>5.3864999999999998</v>
      </c>
      <c r="C24" s="9">
        <f t="shared" si="0"/>
        <v>3.3914999999999997</v>
      </c>
      <c r="D24" s="9">
        <f t="shared" si="1"/>
        <v>10.8965</v>
      </c>
      <c r="E24" s="9">
        <f t="shared" si="2"/>
        <v>7.5334999999999992</v>
      </c>
      <c r="F24" s="10">
        <f t="shared" si="3"/>
        <v>10.545</v>
      </c>
      <c r="G24" s="10">
        <f t="shared" si="4"/>
        <v>7.4574999999999996</v>
      </c>
      <c r="H24" s="10">
        <f t="shared" si="5"/>
        <v>7.5334999999999992</v>
      </c>
      <c r="I24" s="9">
        <f t="shared" si="6"/>
        <v>6.982499999999999</v>
      </c>
      <c r="J24" s="10">
        <f t="shared" si="7"/>
        <v>6.0324999999999998</v>
      </c>
      <c r="K24" s="10">
        <f t="shared" si="8"/>
        <v>4.9874999999999998</v>
      </c>
      <c r="L24" s="10">
        <f t="shared" si="9"/>
        <v>12.73</v>
      </c>
      <c r="M24" s="6">
        <f t="shared" si="10"/>
        <v>5.3864999999999998</v>
      </c>
      <c r="N24" s="6">
        <f t="shared" si="12"/>
        <v>10.773</v>
      </c>
      <c r="O24" s="6"/>
      <c r="Q24" s="8" t="s">
        <v>114</v>
      </c>
      <c r="R24" s="9">
        <v>5.67</v>
      </c>
      <c r="S24" s="9">
        <v>3.57</v>
      </c>
      <c r="T24" s="9">
        <v>11.47</v>
      </c>
      <c r="U24" s="9">
        <v>7.93</v>
      </c>
      <c r="V24" s="10">
        <v>11.1</v>
      </c>
      <c r="W24" s="10">
        <v>7.85</v>
      </c>
      <c r="X24" s="10">
        <v>7.93</v>
      </c>
      <c r="Y24" s="9">
        <v>7.35</v>
      </c>
      <c r="Z24" s="10">
        <v>6.35</v>
      </c>
      <c r="AA24" s="10">
        <v>5.25</v>
      </c>
      <c r="AB24" s="10">
        <v>13.4</v>
      </c>
      <c r="AC24" s="6">
        <v>5.67</v>
      </c>
      <c r="AD24" s="10">
        <v>11.34</v>
      </c>
      <c r="AE24" s="6"/>
    </row>
    <row r="25" spans="1:31" x14ac:dyDescent="0.25">
      <c r="A25" s="12" t="s">
        <v>115</v>
      </c>
      <c r="B25" s="9">
        <f t="shared" si="11"/>
        <v>5.3864999999999998</v>
      </c>
      <c r="C25" s="73">
        <f t="shared" si="0"/>
        <v>3.5909999999999997</v>
      </c>
      <c r="D25" s="9">
        <f t="shared" si="1"/>
        <v>10.8965</v>
      </c>
      <c r="E25" s="73">
        <f t="shared" si="2"/>
        <v>8.0274999999999981</v>
      </c>
      <c r="F25" s="74">
        <f t="shared" si="3"/>
        <v>11.21</v>
      </c>
      <c r="G25" s="74">
        <f t="shared" si="4"/>
        <v>7.8850000000000007</v>
      </c>
      <c r="H25" s="74">
        <f t="shared" si="5"/>
        <v>7.9799999999999995</v>
      </c>
      <c r="I25" s="9">
        <f t="shared" si="6"/>
        <v>6.982499999999999</v>
      </c>
      <c r="J25" s="74">
        <f t="shared" si="7"/>
        <v>5.8425000000000002</v>
      </c>
      <c r="K25" s="74">
        <f t="shared" si="8"/>
        <v>5.8425000000000002</v>
      </c>
      <c r="L25" s="74">
        <f t="shared" si="9"/>
        <v>14.240499999999999</v>
      </c>
      <c r="M25" s="74">
        <f t="shared" si="10"/>
        <v>5.3864999999999998</v>
      </c>
      <c r="N25" s="74">
        <f t="shared" si="12"/>
        <v>11.703999999999999</v>
      </c>
      <c r="O25" s="6"/>
      <c r="Q25" s="12" t="s">
        <v>115</v>
      </c>
      <c r="R25" s="9">
        <v>5.67</v>
      </c>
      <c r="S25" s="73">
        <v>3.78</v>
      </c>
      <c r="T25" s="9">
        <v>11.47</v>
      </c>
      <c r="U25" s="73">
        <v>8.4499999999999993</v>
      </c>
      <c r="V25" s="74">
        <v>11.8</v>
      </c>
      <c r="W25" s="74">
        <v>8.3000000000000007</v>
      </c>
      <c r="X25" s="74">
        <v>8.4</v>
      </c>
      <c r="Y25" s="9">
        <v>7.35</v>
      </c>
      <c r="Z25" s="74">
        <v>6.15</v>
      </c>
      <c r="AA25" s="74">
        <v>6.15</v>
      </c>
      <c r="AB25" s="74">
        <v>14.99</v>
      </c>
      <c r="AC25" s="74">
        <v>5.67</v>
      </c>
      <c r="AD25" s="74">
        <v>12.32</v>
      </c>
      <c r="AE25" s="6"/>
    </row>
    <row r="26" spans="1:31" x14ac:dyDescent="0.25">
      <c r="A26" s="12" t="s">
        <v>116</v>
      </c>
      <c r="B26" s="9">
        <f t="shared" si="11"/>
        <v>5.3864999999999998</v>
      </c>
      <c r="C26" s="73">
        <f t="shared" si="0"/>
        <v>3.5909999999999997</v>
      </c>
      <c r="D26" s="9">
        <f t="shared" si="1"/>
        <v>10.8965</v>
      </c>
      <c r="E26" s="73">
        <f t="shared" si="2"/>
        <v>8.0274999999999981</v>
      </c>
      <c r="F26" s="74">
        <f t="shared" si="3"/>
        <v>11.21</v>
      </c>
      <c r="G26" s="74">
        <f t="shared" si="4"/>
        <v>7.8850000000000007</v>
      </c>
      <c r="H26" s="74">
        <f t="shared" si="5"/>
        <v>7.9799999999999995</v>
      </c>
      <c r="I26" s="9">
        <f t="shared" si="6"/>
        <v>6.982499999999999</v>
      </c>
      <c r="J26" s="74">
        <f t="shared" si="7"/>
        <v>5.8425000000000002</v>
      </c>
      <c r="K26" s="74">
        <f t="shared" si="8"/>
        <v>5.8425000000000002</v>
      </c>
      <c r="L26" s="74">
        <f t="shared" si="9"/>
        <v>14.240499999999999</v>
      </c>
      <c r="M26" s="74">
        <f t="shared" si="10"/>
        <v>5.3864999999999998</v>
      </c>
      <c r="N26" s="74">
        <f t="shared" si="12"/>
        <v>11.703999999999999</v>
      </c>
      <c r="O26" s="6"/>
      <c r="Q26" s="12" t="s">
        <v>116</v>
      </c>
      <c r="R26" s="9">
        <v>5.67</v>
      </c>
      <c r="S26" s="73">
        <v>3.78</v>
      </c>
      <c r="T26" s="9">
        <v>11.47</v>
      </c>
      <c r="U26" s="73">
        <v>8.4499999999999993</v>
      </c>
      <c r="V26" s="74">
        <v>11.8</v>
      </c>
      <c r="W26" s="74">
        <v>8.3000000000000007</v>
      </c>
      <c r="X26" s="74">
        <v>8.4</v>
      </c>
      <c r="Y26" s="9">
        <v>7.35</v>
      </c>
      <c r="Z26" s="74">
        <v>6.15</v>
      </c>
      <c r="AA26" s="74">
        <v>6.15</v>
      </c>
      <c r="AB26" s="74">
        <v>14.99</v>
      </c>
      <c r="AC26" s="74">
        <v>5.67</v>
      </c>
      <c r="AD26" s="74">
        <v>12.32</v>
      </c>
      <c r="AE26" s="6"/>
    </row>
    <row r="27" spans="1:31" x14ac:dyDescent="0.25">
      <c r="A27" s="8" t="s">
        <v>117</v>
      </c>
      <c r="B27" s="9">
        <f t="shared" si="11"/>
        <v>5.3864999999999998</v>
      </c>
      <c r="C27" s="9">
        <f t="shared" si="0"/>
        <v>3.3914999999999997</v>
      </c>
      <c r="D27" s="9">
        <f t="shared" si="1"/>
        <v>10.8965</v>
      </c>
      <c r="E27" s="9">
        <f t="shared" si="2"/>
        <v>7.5334999999999992</v>
      </c>
      <c r="F27" s="10">
        <f t="shared" si="3"/>
        <v>10.545</v>
      </c>
      <c r="G27" s="10">
        <f t="shared" si="4"/>
        <v>7.4574999999999996</v>
      </c>
      <c r="H27" s="10">
        <f t="shared" si="5"/>
        <v>7.5334999999999992</v>
      </c>
      <c r="I27" s="9">
        <f t="shared" si="6"/>
        <v>6.982499999999999</v>
      </c>
      <c r="J27" s="10">
        <f t="shared" si="7"/>
        <v>6.0324999999999998</v>
      </c>
      <c r="K27" s="10">
        <f t="shared" si="8"/>
        <v>4.9874999999999998</v>
      </c>
      <c r="L27" s="10">
        <f t="shared" si="9"/>
        <v>12.73</v>
      </c>
      <c r="M27" s="6">
        <f t="shared" si="10"/>
        <v>5.3864999999999998</v>
      </c>
      <c r="N27" s="6">
        <f t="shared" si="12"/>
        <v>10.773</v>
      </c>
      <c r="O27" s="6"/>
      <c r="Q27" s="8" t="s">
        <v>117</v>
      </c>
      <c r="R27" s="9">
        <v>5.67</v>
      </c>
      <c r="S27" s="9">
        <v>3.57</v>
      </c>
      <c r="T27" s="9">
        <v>11.47</v>
      </c>
      <c r="U27" s="9">
        <v>7.93</v>
      </c>
      <c r="V27" s="10">
        <v>11.1</v>
      </c>
      <c r="W27" s="10">
        <v>7.85</v>
      </c>
      <c r="X27" s="10">
        <v>7.93</v>
      </c>
      <c r="Y27" s="9">
        <v>7.35</v>
      </c>
      <c r="Z27" s="10">
        <v>6.35</v>
      </c>
      <c r="AA27" s="10">
        <v>5.25</v>
      </c>
      <c r="AB27" s="10">
        <v>13.4</v>
      </c>
      <c r="AC27" s="6">
        <v>5.67</v>
      </c>
      <c r="AD27" s="10">
        <v>11.34</v>
      </c>
      <c r="AE27" s="6"/>
    </row>
    <row r="28" spans="1:31" x14ac:dyDescent="0.25">
      <c r="A28" s="12" t="s">
        <v>118</v>
      </c>
      <c r="B28" s="9">
        <f t="shared" si="11"/>
        <v>5.3864999999999998</v>
      </c>
      <c r="C28" s="73">
        <f t="shared" si="0"/>
        <v>3.5909999999999997</v>
      </c>
      <c r="D28" s="9">
        <f t="shared" si="1"/>
        <v>10.8965</v>
      </c>
      <c r="E28" s="73">
        <f t="shared" si="2"/>
        <v>8.0274999999999981</v>
      </c>
      <c r="F28" s="74">
        <f t="shared" si="3"/>
        <v>11.21</v>
      </c>
      <c r="G28" s="74">
        <f t="shared" si="4"/>
        <v>7.8850000000000007</v>
      </c>
      <c r="H28" s="74">
        <f t="shared" si="5"/>
        <v>7.9799999999999995</v>
      </c>
      <c r="I28" s="9">
        <f t="shared" si="6"/>
        <v>6.982499999999999</v>
      </c>
      <c r="J28" s="74">
        <f t="shared" si="7"/>
        <v>5.8425000000000002</v>
      </c>
      <c r="K28" s="74">
        <f t="shared" si="8"/>
        <v>5.8425000000000002</v>
      </c>
      <c r="L28" s="74">
        <f t="shared" si="9"/>
        <v>14.240499999999999</v>
      </c>
      <c r="M28" s="74">
        <f t="shared" si="10"/>
        <v>5.3864999999999998</v>
      </c>
      <c r="N28" s="74">
        <f t="shared" si="12"/>
        <v>11.703999999999999</v>
      </c>
      <c r="O28" s="6"/>
      <c r="Q28" s="12" t="s">
        <v>118</v>
      </c>
      <c r="R28" s="9">
        <v>5.67</v>
      </c>
      <c r="S28" s="73">
        <v>3.78</v>
      </c>
      <c r="T28" s="9">
        <v>11.47</v>
      </c>
      <c r="U28" s="73">
        <v>8.4499999999999993</v>
      </c>
      <c r="V28" s="74">
        <v>11.8</v>
      </c>
      <c r="W28" s="74">
        <v>8.3000000000000007</v>
      </c>
      <c r="X28" s="74">
        <v>8.4</v>
      </c>
      <c r="Y28" s="9">
        <v>7.35</v>
      </c>
      <c r="Z28" s="74">
        <v>6.15</v>
      </c>
      <c r="AA28" s="74">
        <v>6.15</v>
      </c>
      <c r="AB28" s="74">
        <v>14.99</v>
      </c>
      <c r="AC28" s="74">
        <v>5.67</v>
      </c>
      <c r="AD28" s="74">
        <v>12.32</v>
      </c>
      <c r="AE28" s="6"/>
    </row>
    <row r="29" spans="1:31" x14ac:dyDescent="0.25">
      <c r="A29" s="89" t="s">
        <v>119</v>
      </c>
      <c r="B29" s="90">
        <f t="shared" si="11"/>
        <v>5.3864999999999998</v>
      </c>
      <c r="C29" s="91">
        <f t="shared" si="0"/>
        <v>3.5909999999999997</v>
      </c>
      <c r="D29" s="90">
        <f t="shared" si="1"/>
        <v>10.8965</v>
      </c>
      <c r="E29" s="91">
        <f t="shared" si="2"/>
        <v>8.0274999999999981</v>
      </c>
      <c r="F29" s="92">
        <f t="shared" si="3"/>
        <v>11.21</v>
      </c>
      <c r="G29" s="92">
        <f t="shared" si="4"/>
        <v>7.8850000000000007</v>
      </c>
      <c r="H29" s="92">
        <f t="shared" si="5"/>
        <v>7.9799999999999995</v>
      </c>
      <c r="I29" s="90">
        <f t="shared" si="6"/>
        <v>6.982499999999999</v>
      </c>
      <c r="J29" s="92">
        <f t="shared" si="7"/>
        <v>5.8425000000000002</v>
      </c>
      <c r="K29" s="92">
        <f t="shared" si="8"/>
        <v>5.8425000000000002</v>
      </c>
      <c r="L29" s="92">
        <f t="shared" si="9"/>
        <v>14.240499999999999</v>
      </c>
      <c r="M29" s="92">
        <f t="shared" si="10"/>
        <v>5.3864999999999998</v>
      </c>
      <c r="N29" s="92">
        <f t="shared" si="12"/>
        <v>11.703999999999999</v>
      </c>
      <c r="O29" s="6"/>
      <c r="Q29" s="89" t="s">
        <v>119</v>
      </c>
      <c r="R29" s="90">
        <v>5.67</v>
      </c>
      <c r="S29" s="91">
        <v>3.78</v>
      </c>
      <c r="T29" s="90">
        <v>11.47</v>
      </c>
      <c r="U29" s="91">
        <v>8.4499999999999993</v>
      </c>
      <c r="V29" s="92">
        <v>11.8</v>
      </c>
      <c r="W29" s="92">
        <v>8.3000000000000007</v>
      </c>
      <c r="X29" s="92">
        <v>8.4</v>
      </c>
      <c r="Y29" s="90">
        <v>7.35</v>
      </c>
      <c r="Z29" s="92">
        <v>6.15</v>
      </c>
      <c r="AA29" s="92">
        <v>6.15</v>
      </c>
      <c r="AB29" s="92">
        <v>14.99</v>
      </c>
      <c r="AC29" s="92">
        <v>5.67</v>
      </c>
      <c r="AD29" s="74">
        <v>12.32</v>
      </c>
      <c r="AE29" s="6"/>
    </row>
    <row r="30" spans="1:31" x14ac:dyDescent="0.25">
      <c r="A30" s="8" t="s">
        <v>120</v>
      </c>
      <c r="B30" s="9">
        <f t="shared" si="11"/>
        <v>5.3864999999999998</v>
      </c>
      <c r="C30" s="9">
        <f t="shared" si="0"/>
        <v>3.3914999999999997</v>
      </c>
      <c r="D30" s="9">
        <f t="shared" si="1"/>
        <v>10.8965</v>
      </c>
      <c r="E30" s="9">
        <f t="shared" si="2"/>
        <v>7.5334999999999992</v>
      </c>
      <c r="F30" s="10">
        <f t="shared" si="3"/>
        <v>10.545</v>
      </c>
      <c r="G30" s="10">
        <f t="shared" si="4"/>
        <v>7.4574999999999996</v>
      </c>
      <c r="H30" s="10">
        <f t="shared" si="5"/>
        <v>7.5334999999999992</v>
      </c>
      <c r="I30" s="9">
        <f t="shared" si="6"/>
        <v>6.982499999999999</v>
      </c>
      <c r="J30" s="10">
        <f t="shared" si="7"/>
        <v>6.0324999999999998</v>
      </c>
      <c r="K30" s="10">
        <f t="shared" si="8"/>
        <v>4.9874999999999998</v>
      </c>
      <c r="L30" s="10">
        <f t="shared" si="9"/>
        <v>12.73</v>
      </c>
      <c r="M30" s="6">
        <f t="shared" si="10"/>
        <v>5.3864999999999998</v>
      </c>
      <c r="N30" s="6">
        <f t="shared" si="12"/>
        <v>10.773</v>
      </c>
      <c r="O30" s="6"/>
      <c r="Q30" s="8" t="s">
        <v>120</v>
      </c>
      <c r="R30" s="9">
        <v>5.67</v>
      </c>
      <c r="S30" s="9">
        <v>3.57</v>
      </c>
      <c r="T30" s="9">
        <v>11.47</v>
      </c>
      <c r="U30" s="9">
        <v>7.93</v>
      </c>
      <c r="V30" s="10">
        <v>11.1</v>
      </c>
      <c r="W30" s="10">
        <v>7.85</v>
      </c>
      <c r="X30" s="10">
        <v>7.93</v>
      </c>
      <c r="Y30" s="9">
        <v>7.35</v>
      </c>
      <c r="Z30" s="10">
        <v>6.35</v>
      </c>
      <c r="AA30" s="10">
        <v>5.25</v>
      </c>
      <c r="AB30" s="10">
        <v>13.4</v>
      </c>
      <c r="AC30" s="6">
        <v>5.67</v>
      </c>
      <c r="AD30" s="10">
        <v>11.34</v>
      </c>
      <c r="AE30" s="6"/>
    </row>
    <row r="31" spans="1:31" x14ac:dyDescent="0.25">
      <c r="A31" s="75"/>
      <c r="B31" s="121"/>
      <c r="C31" s="121"/>
      <c r="D31" s="121"/>
      <c r="E31" s="121"/>
      <c r="F31" s="121"/>
      <c r="G31" s="121"/>
      <c r="H31" s="121"/>
      <c r="I31" s="121"/>
      <c r="J31" s="122"/>
      <c r="K31" s="122"/>
      <c r="L31" s="122"/>
      <c r="M31" s="122"/>
      <c r="N31" s="122"/>
      <c r="Q31" s="75"/>
      <c r="R31" s="121"/>
      <c r="S31" s="121"/>
      <c r="T31" s="121"/>
      <c r="U31" s="121"/>
      <c r="V31" s="121"/>
      <c r="W31" s="121"/>
      <c r="X31" s="121"/>
      <c r="Y31" s="121"/>
      <c r="Z31" s="122"/>
      <c r="AA31" s="122"/>
      <c r="AB31" s="122"/>
      <c r="AC31" s="122"/>
    </row>
    <row r="33" spans="1:31" x14ac:dyDescent="0.25">
      <c r="A33" s="77" t="s">
        <v>12</v>
      </c>
      <c r="B33" s="78">
        <v>9.49</v>
      </c>
      <c r="C33" s="79">
        <v>5.99</v>
      </c>
      <c r="D33" s="79">
        <v>19.489999999999998</v>
      </c>
      <c r="E33" s="79">
        <v>12.99</v>
      </c>
      <c r="F33" s="79">
        <v>18.989999999999998</v>
      </c>
      <c r="G33" s="79">
        <v>14.39</v>
      </c>
      <c r="H33" s="79">
        <v>13.49</v>
      </c>
      <c r="I33" s="79">
        <v>12.49</v>
      </c>
      <c r="J33" s="79">
        <v>10.99</v>
      </c>
      <c r="K33" s="79">
        <v>10.99</v>
      </c>
      <c r="L33" s="79">
        <v>25.49</v>
      </c>
      <c r="M33" s="79">
        <v>9.49</v>
      </c>
      <c r="N33" s="79">
        <v>18.989999999999998</v>
      </c>
      <c r="O33" s="6"/>
      <c r="Q33" s="77" t="s">
        <v>12</v>
      </c>
      <c r="R33" s="78">
        <v>9.49</v>
      </c>
      <c r="S33" s="79">
        <v>5.99</v>
      </c>
      <c r="T33" s="79">
        <v>19.489999999999998</v>
      </c>
      <c r="U33" s="79">
        <v>12.99</v>
      </c>
      <c r="V33" s="79">
        <v>18.989999999999998</v>
      </c>
      <c r="W33" s="79">
        <v>14.39</v>
      </c>
      <c r="X33" s="79">
        <v>13.49</v>
      </c>
      <c r="Y33" s="79">
        <v>12.49</v>
      </c>
      <c r="Z33" s="79">
        <v>10.99</v>
      </c>
      <c r="AA33" s="79">
        <v>10.99</v>
      </c>
      <c r="AB33" s="79">
        <v>25.49</v>
      </c>
      <c r="AC33" s="79">
        <v>9.49</v>
      </c>
      <c r="AD33" s="79">
        <v>18.989999999999998</v>
      </c>
      <c r="AE33" s="6"/>
    </row>
  </sheetData>
  <sheetProtection selectLockedCells="1" selectUnlockedCells="1"/>
  <pageMargins left="0.511811024" right="0.511811024" top="0.78740157499999996" bottom="0.78740157499999996" header="0.31496062000000002" footer="0.31496062000000002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83249-5E58-4CE3-97D9-327CDDD20C91}">
  <sheetPr codeName="Planilha13">
    <tabColor rgb="FFFFC000"/>
  </sheetPr>
  <dimension ref="A1:O34"/>
  <sheetViews>
    <sheetView zoomScaleNormal="100" workbookViewId="0">
      <selection activeCell="P29" sqref="P29"/>
    </sheetView>
  </sheetViews>
  <sheetFormatPr defaultRowHeight="15" x14ac:dyDescent="0.25"/>
  <cols>
    <col min="1" max="3" width="13.140625" bestFit="1" customWidth="1"/>
    <col min="4" max="4" width="14.140625" bestFit="1" customWidth="1"/>
    <col min="5" max="6" width="13.140625" bestFit="1" customWidth="1"/>
    <col min="7" max="7" width="14.140625" bestFit="1" customWidth="1"/>
    <col min="8" max="8" width="13.5703125" customWidth="1"/>
    <col min="9" max="9" width="15.42578125" customWidth="1"/>
    <col min="10" max="10" width="22.42578125" customWidth="1"/>
    <col min="11" max="11" width="19.5703125" customWidth="1"/>
    <col min="12" max="12" width="19.140625" customWidth="1"/>
    <col min="13" max="15" width="13.140625" bestFit="1" customWidth="1"/>
  </cols>
  <sheetData>
    <row r="1" spans="1:15" x14ac:dyDescent="0.25">
      <c r="A1" s="112" t="s">
        <v>139</v>
      </c>
      <c r="B1" s="112" t="s">
        <v>139</v>
      </c>
      <c r="C1" s="112" t="s">
        <v>139</v>
      </c>
      <c r="D1" s="112" t="s">
        <v>139</v>
      </c>
      <c r="E1" s="112" t="s">
        <v>139</v>
      </c>
      <c r="F1" s="112" t="s">
        <v>139</v>
      </c>
      <c r="G1" s="112" t="s">
        <v>139</v>
      </c>
      <c r="H1" s="112" t="s">
        <v>139</v>
      </c>
      <c r="I1" s="112" t="s">
        <v>139</v>
      </c>
      <c r="J1" s="112" t="s">
        <v>139</v>
      </c>
      <c r="K1" s="112" t="s">
        <v>139</v>
      </c>
      <c r="L1" s="112" t="s">
        <v>139</v>
      </c>
      <c r="M1" s="112" t="s">
        <v>139</v>
      </c>
      <c r="N1" s="112" t="s">
        <v>139</v>
      </c>
      <c r="O1" s="112" t="s">
        <v>139</v>
      </c>
    </row>
    <row r="2" spans="1:15" ht="31.5" x14ac:dyDescent="0.25">
      <c r="A2" s="71" t="s">
        <v>84</v>
      </c>
      <c r="B2" s="113" t="s">
        <v>125</v>
      </c>
      <c r="C2" s="71" t="s">
        <v>126</v>
      </c>
      <c r="D2" s="113" t="s">
        <v>127</v>
      </c>
      <c r="E2" s="71" t="s">
        <v>128</v>
      </c>
      <c r="F2" s="71" t="s">
        <v>129</v>
      </c>
      <c r="G2" s="1" t="s">
        <v>130</v>
      </c>
      <c r="H2" s="1" t="s">
        <v>131</v>
      </c>
      <c r="I2" s="72" t="s">
        <v>132</v>
      </c>
      <c r="J2" s="107" t="s">
        <v>133</v>
      </c>
      <c r="K2" s="108" t="s">
        <v>134</v>
      </c>
      <c r="L2" s="108" t="s">
        <v>135</v>
      </c>
      <c r="M2" s="1" t="s">
        <v>136</v>
      </c>
      <c r="N2" s="1" t="s">
        <v>137</v>
      </c>
      <c r="O2" s="1" t="s">
        <v>138</v>
      </c>
    </row>
    <row r="3" spans="1:15" x14ac:dyDescent="0.25">
      <c r="A3" s="8" t="s">
        <v>94</v>
      </c>
      <c r="B3" s="9">
        <v>9.49</v>
      </c>
      <c r="C3" s="114">
        <v>5.79</v>
      </c>
      <c r="D3" s="9">
        <v>19.989999999999998</v>
      </c>
      <c r="E3" s="114">
        <v>13.69</v>
      </c>
      <c r="F3" s="114">
        <v>17.989999999999998</v>
      </c>
      <c r="G3" s="114">
        <v>13.89</v>
      </c>
      <c r="H3" s="114">
        <v>13.49</v>
      </c>
      <c r="I3" s="9">
        <v>12.49</v>
      </c>
      <c r="J3" s="9">
        <v>8.99</v>
      </c>
      <c r="K3" s="115">
        <v>7.99</v>
      </c>
      <c r="L3" s="115">
        <v>19.989999999999998</v>
      </c>
      <c r="M3" s="10">
        <v>9.49</v>
      </c>
      <c r="N3" s="10">
        <v>18.989999999999998</v>
      </c>
      <c r="O3" s="10"/>
    </row>
    <row r="4" spans="1:15" x14ac:dyDescent="0.25">
      <c r="A4" s="8" t="s">
        <v>95</v>
      </c>
      <c r="B4" s="9">
        <v>9.49</v>
      </c>
      <c r="C4" s="114">
        <v>5.79</v>
      </c>
      <c r="D4" s="9">
        <v>19.989999999999998</v>
      </c>
      <c r="E4" s="114">
        <v>13.69</v>
      </c>
      <c r="F4" s="114">
        <v>17.989999999999998</v>
      </c>
      <c r="G4" s="114">
        <v>13.89</v>
      </c>
      <c r="H4" s="114">
        <v>13.49</v>
      </c>
      <c r="I4" s="9">
        <v>12.49</v>
      </c>
      <c r="J4" s="9">
        <v>8.99</v>
      </c>
      <c r="K4" s="115">
        <v>7.99</v>
      </c>
      <c r="L4" s="115">
        <v>19.989999999999998</v>
      </c>
      <c r="M4" s="10">
        <v>9.49</v>
      </c>
      <c r="N4" s="10">
        <v>18.989999999999998</v>
      </c>
      <c r="O4" s="10"/>
    </row>
    <row r="5" spans="1:15" x14ac:dyDescent="0.25">
      <c r="A5" s="8" t="s">
        <v>96</v>
      </c>
      <c r="B5" s="9">
        <v>9.49</v>
      </c>
      <c r="C5" s="114">
        <v>5.79</v>
      </c>
      <c r="D5" s="9">
        <v>19.989999999999998</v>
      </c>
      <c r="E5" s="114">
        <v>13.69</v>
      </c>
      <c r="F5" s="114">
        <v>17.989999999999998</v>
      </c>
      <c r="G5" s="114">
        <v>13.89</v>
      </c>
      <c r="H5" s="114">
        <v>13.49</v>
      </c>
      <c r="I5" s="9">
        <v>12.49</v>
      </c>
      <c r="J5" s="9">
        <v>8.99</v>
      </c>
      <c r="K5" s="115">
        <v>7.99</v>
      </c>
      <c r="L5" s="115">
        <v>19.989999999999998</v>
      </c>
      <c r="M5" s="10">
        <v>9.49</v>
      </c>
      <c r="N5" s="10">
        <v>18.989999999999998</v>
      </c>
      <c r="O5" s="10"/>
    </row>
    <row r="6" spans="1:15" x14ac:dyDescent="0.25">
      <c r="A6" s="8" t="s">
        <v>97</v>
      </c>
      <c r="B6" s="9">
        <v>9.49</v>
      </c>
      <c r="C6" s="114">
        <v>5.79</v>
      </c>
      <c r="D6" s="9">
        <v>19.989999999999998</v>
      </c>
      <c r="E6" s="114">
        <v>13.69</v>
      </c>
      <c r="F6" s="114">
        <v>17.989999999999998</v>
      </c>
      <c r="G6" s="114">
        <v>13.89</v>
      </c>
      <c r="H6" s="114">
        <v>13.49</v>
      </c>
      <c r="I6" s="9">
        <v>12.49</v>
      </c>
      <c r="J6" s="9">
        <v>8.99</v>
      </c>
      <c r="K6" s="115">
        <v>7.99</v>
      </c>
      <c r="L6" s="115">
        <v>19.989999999999998</v>
      </c>
      <c r="M6" s="10">
        <v>9.49</v>
      </c>
      <c r="N6" s="10">
        <v>18.989999999999998</v>
      </c>
      <c r="O6" s="10"/>
    </row>
    <row r="7" spans="1:15" x14ac:dyDescent="0.25">
      <c r="A7" s="8" t="s">
        <v>98</v>
      </c>
      <c r="B7" s="9">
        <v>9.49</v>
      </c>
      <c r="C7" s="114">
        <v>5.79</v>
      </c>
      <c r="D7" s="9">
        <v>19.989999999999998</v>
      </c>
      <c r="E7" s="114">
        <v>13.69</v>
      </c>
      <c r="F7" s="114">
        <v>17.989999999999998</v>
      </c>
      <c r="G7" s="114">
        <v>13.89</v>
      </c>
      <c r="H7" s="114">
        <v>13.49</v>
      </c>
      <c r="I7" s="9">
        <v>12.49</v>
      </c>
      <c r="J7" s="9">
        <v>8.99</v>
      </c>
      <c r="K7" s="115">
        <v>7.99</v>
      </c>
      <c r="L7" s="115">
        <v>19.989999999999998</v>
      </c>
      <c r="M7" s="10">
        <v>9.49</v>
      </c>
      <c r="N7" s="10">
        <v>18.989999999999998</v>
      </c>
      <c r="O7" s="10"/>
    </row>
    <row r="8" spans="1:15" x14ac:dyDescent="0.25">
      <c r="A8" s="8" t="s">
        <v>99</v>
      </c>
      <c r="B8" s="9">
        <v>9.49</v>
      </c>
      <c r="C8" s="114">
        <v>5.79</v>
      </c>
      <c r="D8" s="9">
        <v>19.989999999999998</v>
      </c>
      <c r="E8" s="114">
        <v>13.69</v>
      </c>
      <c r="F8" s="114">
        <v>17.989999999999998</v>
      </c>
      <c r="G8" s="114">
        <v>13.89</v>
      </c>
      <c r="H8" s="114">
        <v>13.49</v>
      </c>
      <c r="I8" s="9">
        <v>12.49</v>
      </c>
      <c r="J8" s="9">
        <v>8.99</v>
      </c>
      <c r="K8" s="115">
        <v>7.99</v>
      </c>
      <c r="L8" s="115">
        <v>19.989999999999998</v>
      </c>
      <c r="M8" s="10">
        <v>9.49</v>
      </c>
      <c r="N8" s="10">
        <v>18.989999999999998</v>
      </c>
      <c r="O8" s="10"/>
    </row>
    <row r="9" spans="1:15" x14ac:dyDescent="0.25">
      <c r="A9" s="8" t="s">
        <v>5</v>
      </c>
      <c r="B9" s="9">
        <v>9.49</v>
      </c>
      <c r="C9" s="114">
        <v>5.79</v>
      </c>
      <c r="D9" s="9">
        <v>19.989999999999998</v>
      </c>
      <c r="E9" s="114">
        <v>13.69</v>
      </c>
      <c r="F9" s="114">
        <v>17.989999999999998</v>
      </c>
      <c r="G9" s="114">
        <v>13.89</v>
      </c>
      <c r="H9" s="114">
        <v>13.49</v>
      </c>
      <c r="I9" s="9">
        <v>12.49</v>
      </c>
      <c r="J9" s="9">
        <v>8.99</v>
      </c>
      <c r="K9" s="115">
        <v>7.99</v>
      </c>
      <c r="L9" s="115">
        <v>19.989999999999998</v>
      </c>
      <c r="M9" s="10">
        <v>9.49</v>
      </c>
      <c r="N9" s="10">
        <v>18.989999999999998</v>
      </c>
      <c r="O9" s="10"/>
    </row>
    <row r="10" spans="1:15" ht="18.75" x14ac:dyDescent="0.3">
      <c r="A10" s="11" t="s">
        <v>100</v>
      </c>
      <c r="B10" s="9">
        <v>9.49</v>
      </c>
      <c r="C10" s="114">
        <v>5.79</v>
      </c>
      <c r="D10" s="9">
        <v>19.989999999999998</v>
      </c>
      <c r="E10" s="114">
        <v>13.69</v>
      </c>
      <c r="F10" s="114">
        <v>17.989999999999998</v>
      </c>
      <c r="G10" s="114">
        <v>13.89</v>
      </c>
      <c r="H10" s="114">
        <v>13.49</v>
      </c>
      <c r="I10" s="9">
        <v>12.49</v>
      </c>
      <c r="J10" s="118">
        <v>9.99</v>
      </c>
      <c r="K10" s="118">
        <v>9.99</v>
      </c>
      <c r="L10" s="118">
        <v>24.99</v>
      </c>
      <c r="M10" s="10">
        <v>9.49</v>
      </c>
      <c r="N10" s="10">
        <v>18.989999999999998</v>
      </c>
      <c r="O10" s="10"/>
    </row>
    <row r="11" spans="1:15" x14ac:dyDescent="0.25">
      <c r="A11" s="8" t="s">
        <v>101</v>
      </c>
      <c r="B11" s="9">
        <v>9.49</v>
      </c>
      <c r="C11" s="114">
        <v>5.79</v>
      </c>
      <c r="D11" s="9">
        <v>19.989999999999998</v>
      </c>
      <c r="E11" s="114">
        <v>13.69</v>
      </c>
      <c r="F11" s="114">
        <v>17.989999999999998</v>
      </c>
      <c r="G11" s="114">
        <v>13.89</v>
      </c>
      <c r="H11" s="114">
        <v>13.49</v>
      </c>
      <c r="I11" s="9">
        <v>12.49</v>
      </c>
      <c r="J11" s="9">
        <v>8.99</v>
      </c>
      <c r="K11" s="115">
        <v>7.99</v>
      </c>
      <c r="L11" s="115">
        <v>19.989999999999998</v>
      </c>
      <c r="M11" s="10">
        <v>9.49</v>
      </c>
      <c r="N11" s="10">
        <v>18.989999999999998</v>
      </c>
      <c r="O11" s="10"/>
    </row>
    <row r="12" spans="1:15" x14ac:dyDescent="0.25">
      <c r="A12" s="8" t="s">
        <v>102</v>
      </c>
      <c r="B12" s="9">
        <v>9.49</v>
      </c>
      <c r="C12" s="114">
        <v>5.79</v>
      </c>
      <c r="D12" s="9">
        <v>19.989999999999998</v>
      </c>
      <c r="E12" s="114">
        <v>13.69</v>
      </c>
      <c r="F12" s="114">
        <v>17.989999999999998</v>
      </c>
      <c r="G12" s="114">
        <v>13.89</v>
      </c>
      <c r="H12" s="114">
        <v>13.49</v>
      </c>
      <c r="I12" s="9">
        <v>12.49</v>
      </c>
      <c r="J12" s="9">
        <v>8.99</v>
      </c>
      <c r="K12" s="115">
        <v>7.99</v>
      </c>
      <c r="L12" s="115">
        <v>19.989999999999998</v>
      </c>
      <c r="M12" s="10">
        <v>9.49</v>
      </c>
      <c r="N12" s="10">
        <v>18.989999999999998</v>
      </c>
      <c r="O12" s="10"/>
    </row>
    <row r="13" spans="1:15" x14ac:dyDescent="0.25">
      <c r="A13" s="12" t="s">
        <v>103</v>
      </c>
      <c r="B13" s="9">
        <v>9.49</v>
      </c>
      <c r="C13" s="73">
        <v>5.79</v>
      </c>
      <c r="D13" s="9">
        <v>19.989999999999998</v>
      </c>
      <c r="E13" s="73">
        <v>13.69</v>
      </c>
      <c r="F13" s="73">
        <v>17.989999999999998</v>
      </c>
      <c r="G13" s="73">
        <v>13.89</v>
      </c>
      <c r="H13" s="73">
        <v>13.49</v>
      </c>
      <c r="I13" s="9">
        <v>12.49</v>
      </c>
      <c r="J13" s="74">
        <v>9.99</v>
      </c>
      <c r="K13" s="74">
        <v>9.99</v>
      </c>
      <c r="L13" s="74">
        <v>24.99</v>
      </c>
      <c r="M13" s="74">
        <v>9.49</v>
      </c>
      <c r="N13" s="10">
        <v>18.989999999999998</v>
      </c>
      <c r="O13" s="74"/>
    </row>
    <row r="14" spans="1:15" x14ac:dyDescent="0.25">
      <c r="A14" s="8" t="s">
        <v>104</v>
      </c>
      <c r="B14" s="9">
        <v>9.49</v>
      </c>
      <c r="C14" s="114">
        <v>5.79</v>
      </c>
      <c r="D14" s="9">
        <v>19.989999999999998</v>
      </c>
      <c r="E14" s="114">
        <v>13.69</v>
      </c>
      <c r="F14" s="114">
        <v>17.989999999999998</v>
      </c>
      <c r="G14" s="114">
        <v>13.89</v>
      </c>
      <c r="H14" s="114">
        <v>13.49</v>
      </c>
      <c r="I14" s="9">
        <v>12.49</v>
      </c>
      <c r="J14" s="9">
        <v>8.99</v>
      </c>
      <c r="K14" s="115">
        <v>7.99</v>
      </c>
      <c r="L14" s="115">
        <v>19.989999999999998</v>
      </c>
      <c r="M14" s="10">
        <v>9.49</v>
      </c>
      <c r="N14" s="10">
        <v>18.989999999999998</v>
      </c>
      <c r="O14" s="10"/>
    </row>
    <row r="15" spans="1:15" x14ac:dyDescent="0.25">
      <c r="A15" s="8" t="s">
        <v>105</v>
      </c>
      <c r="B15" s="9">
        <v>9.49</v>
      </c>
      <c r="C15" s="114">
        <v>5.79</v>
      </c>
      <c r="D15" s="9">
        <v>19.989999999999998</v>
      </c>
      <c r="E15" s="114">
        <v>13.69</v>
      </c>
      <c r="F15" s="114">
        <v>17.989999999999998</v>
      </c>
      <c r="G15" s="114">
        <v>13.89</v>
      </c>
      <c r="H15" s="114">
        <v>13.49</v>
      </c>
      <c r="I15" s="9">
        <v>12.49</v>
      </c>
      <c r="J15" s="9">
        <v>8.99</v>
      </c>
      <c r="K15" s="115">
        <v>7.99</v>
      </c>
      <c r="L15" s="115">
        <v>19.989999999999998</v>
      </c>
      <c r="M15" s="10">
        <v>9.49</v>
      </c>
      <c r="N15" s="10">
        <v>18.989999999999998</v>
      </c>
      <c r="O15" s="10"/>
    </row>
    <row r="16" spans="1:15" x14ac:dyDescent="0.25">
      <c r="A16" s="8" t="s">
        <v>106</v>
      </c>
      <c r="B16" s="9">
        <v>9.49</v>
      </c>
      <c r="C16" s="114">
        <v>5.79</v>
      </c>
      <c r="D16" s="9">
        <v>19.989999999999998</v>
      </c>
      <c r="E16" s="114">
        <v>13.69</v>
      </c>
      <c r="F16" s="114">
        <v>17.989999999999998</v>
      </c>
      <c r="G16" s="114">
        <v>13.89</v>
      </c>
      <c r="H16" s="114">
        <v>13.49</v>
      </c>
      <c r="I16" s="9">
        <v>12.49</v>
      </c>
      <c r="J16" s="9">
        <v>8.99</v>
      </c>
      <c r="K16" s="115">
        <v>7.99</v>
      </c>
      <c r="L16" s="115">
        <v>19.989999999999998</v>
      </c>
      <c r="M16" s="10">
        <v>9.49</v>
      </c>
      <c r="N16" s="10">
        <v>18.989999999999998</v>
      </c>
      <c r="O16" s="10"/>
    </row>
    <row r="17" spans="1:15" x14ac:dyDescent="0.25">
      <c r="A17" s="8" t="s">
        <v>107</v>
      </c>
      <c r="B17" s="9">
        <v>9.49</v>
      </c>
      <c r="C17" s="114">
        <v>5.79</v>
      </c>
      <c r="D17" s="9">
        <v>19.989999999999998</v>
      </c>
      <c r="E17" s="114">
        <v>13.69</v>
      </c>
      <c r="F17" s="114">
        <v>17.989999999999998</v>
      </c>
      <c r="G17" s="114">
        <v>13.89</v>
      </c>
      <c r="H17" s="114">
        <v>13.49</v>
      </c>
      <c r="I17" s="9">
        <v>12.49</v>
      </c>
      <c r="J17" s="9">
        <v>8.99</v>
      </c>
      <c r="K17" s="115">
        <v>7.99</v>
      </c>
      <c r="L17" s="115">
        <v>19.989999999999998</v>
      </c>
      <c r="M17" s="10">
        <v>9.49</v>
      </c>
      <c r="N17" s="10">
        <v>18.989999999999998</v>
      </c>
      <c r="O17" s="10"/>
    </row>
    <row r="18" spans="1:15" x14ac:dyDescent="0.25">
      <c r="A18" s="8" t="s">
        <v>108</v>
      </c>
      <c r="B18" s="9">
        <v>9.49</v>
      </c>
      <c r="C18" s="114">
        <v>5.79</v>
      </c>
      <c r="D18" s="9">
        <v>19.989999999999998</v>
      </c>
      <c r="E18" s="114">
        <v>13.69</v>
      </c>
      <c r="F18" s="114">
        <v>17.989999999999998</v>
      </c>
      <c r="G18" s="114">
        <v>13.89</v>
      </c>
      <c r="H18" s="114">
        <v>13.49</v>
      </c>
      <c r="I18" s="9">
        <v>12.49</v>
      </c>
      <c r="J18" s="9">
        <v>8.99</v>
      </c>
      <c r="K18" s="115">
        <v>7.99</v>
      </c>
      <c r="L18" s="115">
        <v>19.989999999999998</v>
      </c>
      <c r="M18" s="10">
        <v>9.49</v>
      </c>
      <c r="N18" s="10">
        <v>18.989999999999998</v>
      </c>
      <c r="O18" s="10"/>
    </row>
    <row r="19" spans="1:15" x14ac:dyDescent="0.25">
      <c r="A19" s="8" t="s">
        <v>109</v>
      </c>
      <c r="B19" s="9">
        <v>9.49</v>
      </c>
      <c r="C19" s="114">
        <v>5.79</v>
      </c>
      <c r="D19" s="9">
        <v>19.989999999999998</v>
      </c>
      <c r="E19" s="114">
        <v>13.69</v>
      </c>
      <c r="F19" s="114">
        <v>17.989999999999998</v>
      </c>
      <c r="G19" s="114">
        <v>13.89</v>
      </c>
      <c r="H19" s="114">
        <v>13.49</v>
      </c>
      <c r="I19" s="9">
        <v>12.49</v>
      </c>
      <c r="J19" s="9">
        <v>8.99</v>
      </c>
      <c r="K19" s="115">
        <v>7.99</v>
      </c>
      <c r="L19" s="115">
        <v>19.989999999999998</v>
      </c>
      <c r="M19" s="10">
        <v>9.49</v>
      </c>
      <c r="N19" s="10">
        <v>18.989999999999998</v>
      </c>
      <c r="O19" s="10"/>
    </row>
    <row r="20" spans="1:15" x14ac:dyDescent="0.25">
      <c r="A20" s="13" t="s">
        <v>110</v>
      </c>
      <c r="B20" s="14">
        <v>9.49</v>
      </c>
      <c r="C20" s="73">
        <v>5.79</v>
      </c>
      <c r="D20" s="14">
        <v>19.989999999999998</v>
      </c>
      <c r="E20" s="73">
        <v>13.69</v>
      </c>
      <c r="F20" s="73">
        <v>17.989999999999998</v>
      </c>
      <c r="G20" s="73">
        <v>13.89</v>
      </c>
      <c r="H20" s="73">
        <v>13.49</v>
      </c>
      <c r="I20" s="14">
        <v>12.49</v>
      </c>
      <c r="J20" s="74">
        <v>9.99</v>
      </c>
      <c r="K20" s="74">
        <v>9.99</v>
      </c>
      <c r="L20" s="74">
        <v>24.99</v>
      </c>
      <c r="M20" s="74">
        <v>9.49</v>
      </c>
      <c r="N20" s="10">
        <v>18.989999999999998</v>
      </c>
      <c r="O20" s="74"/>
    </row>
    <row r="21" spans="1:15" x14ac:dyDescent="0.25">
      <c r="A21" s="12" t="s">
        <v>111</v>
      </c>
      <c r="B21" s="9">
        <v>9.49</v>
      </c>
      <c r="C21" s="73">
        <v>5.79</v>
      </c>
      <c r="D21" s="9">
        <v>19.989999999999998</v>
      </c>
      <c r="E21" s="73">
        <v>13.69</v>
      </c>
      <c r="F21" s="73">
        <v>17.989999999999998</v>
      </c>
      <c r="G21" s="73">
        <v>13.89</v>
      </c>
      <c r="H21" s="73">
        <v>13.49</v>
      </c>
      <c r="I21" s="9">
        <v>12.49</v>
      </c>
      <c r="J21" s="74">
        <v>9.99</v>
      </c>
      <c r="K21" s="74">
        <v>9.99</v>
      </c>
      <c r="L21" s="74">
        <v>24.99</v>
      </c>
      <c r="M21" s="74">
        <v>9.49</v>
      </c>
      <c r="N21" s="10">
        <v>18.989999999999998</v>
      </c>
      <c r="O21" s="74"/>
    </row>
    <row r="22" spans="1:15" x14ac:dyDescent="0.25">
      <c r="A22" s="8" t="s">
        <v>112</v>
      </c>
      <c r="B22" s="9">
        <v>9.49</v>
      </c>
      <c r="C22" s="114">
        <v>5.79</v>
      </c>
      <c r="D22" s="9">
        <v>19.989999999999998</v>
      </c>
      <c r="E22" s="114">
        <v>13.69</v>
      </c>
      <c r="F22" s="114">
        <v>17.989999999999998</v>
      </c>
      <c r="G22" s="114">
        <v>13.89</v>
      </c>
      <c r="H22" s="114">
        <v>13.49</v>
      </c>
      <c r="I22" s="9">
        <v>12.49</v>
      </c>
      <c r="J22" s="9">
        <v>8.99</v>
      </c>
      <c r="K22" s="115">
        <v>7.99</v>
      </c>
      <c r="L22" s="115">
        <v>19.989999999999998</v>
      </c>
      <c r="M22" s="10">
        <v>9.49</v>
      </c>
      <c r="N22" s="10">
        <v>18.989999999999998</v>
      </c>
      <c r="O22" s="10"/>
    </row>
    <row r="23" spans="1:15" x14ac:dyDescent="0.25">
      <c r="A23" s="8" t="s">
        <v>113</v>
      </c>
      <c r="B23" s="9">
        <v>9.49</v>
      </c>
      <c r="C23" s="114">
        <v>5.79</v>
      </c>
      <c r="D23" s="9">
        <v>19.989999999999998</v>
      </c>
      <c r="E23" s="114">
        <v>13.69</v>
      </c>
      <c r="F23" s="114">
        <v>17.989999999999998</v>
      </c>
      <c r="G23" s="114">
        <v>13.89</v>
      </c>
      <c r="H23" s="114">
        <v>13.49</v>
      </c>
      <c r="I23" s="9">
        <v>12.49</v>
      </c>
      <c r="J23" s="9">
        <v>8.99</v>
      </c>
      <c r="K23" s="115">
        <v>7.99</v>
      </c>
      <c r="L23" s="115">
        <v>19.989999999999998</v>
      </c>
      <c r="M23" s="10">
        <v>9.49</v>
      </c>
      <c r="N23" s="10">
        <v>18.989999999999998</v>
      </c>
      <c r="O23" s="10"/>
    </row>
    <row r="24" spans="1:15" x14ac:dyDescent="0.25">
      <c r="A24" s="8" t="s">
        <v>114</v>
      </c>
      <c r="B24" s="9">
        <v>9.49</v>
      </c>
      <c r="C24" s="114">
        <v>5.79</v>
      </c>
      <c r="D24" s="9">
        <v>19.989999999999998</v>
      </c>
      <c r="E24" s="114">
        <v>13.69</v>
      </c>
      <c r="F24" s="114">
        <v>17.989999999999998</v>
      </c>
      <c r="G24" s="114">
        <v>13.89</v>
      </c>
      <c r="H24" s="114">
        <v>13.49</v>
      </c>
      <c r="I24" s="9">
        <v>12.49</v>
      </c>
      <c r="J24" s="9">
        <v>8.99</v>
      </c>
      <c r="K24" s="115">
        <v>7.99</v>
      </c>
      <c r="L24" s="115">
        <v>19.989999999999998</v>
      </c>
      <c r="M24" s="10">
        <v>9.49</v>
      </c>
      <c r="N24" s="10">
        <v>18.989999999999998</v>
      </c>
      <c r="O24" s="10"/>
    </row>
    <row r="25" spans="1:15" x14ac:dyDescent="0.25">
      <c r="A25" s="12" t="s">
        <v>115</v>
      </c>
      <c r="B25" s="9">
        <v>9.49</v>
      </c>
      <c r="C25" s="73">
        <v>5.79</v>
      </c>
      <c r="D25" s="9">
        <v>19.989999999999998</v>
      </c>
      <c r="E25" s="73">
        <v>13.69</v>
      </c>
      <c r="F25" s="73">
        <v>17.989999999999998</v>
      </c>
      <c r="G25" s="73">
        <v>13.89</v>
      </c>
      <c r="H25" s="73">
        <v>13.49</v>
      </c>
      <c r="I25" s="9">
        <v>12.49</v>
      </c>
      <c r="J25" s="74">
        <v>9.99</v>
      </c>
      <c r="K25" s="74">
        <v>9.99</v>
      </c>
      <c r="L25" s="74">
        <v>24.99</v>
      </c>
      <c r="M25" s="74">
        <v>9.49</v>
      </c>
      <c r="N25" s="10">
        <v>18.989999999999998</v>
      </c>
      <c r="O25" s="74"/>
    </row>
    <row r="26" spans="1:15" x14ac:dyDescent="0.25">
      <c r="A26" s="12" t="s">
        <v>116</v>
      </c>
      <c r="B26" s="9">
        <v>9.49</v>
      </c>
      <c r="C26" s="73">
        <v>5.79</v>
      </c>
      <c r="D26" s="9">
        <v>19.989999999999998</v>
      </c>
      <c r="E26" s="73">
        <v>13.69</v>
      </c>
      <c r="F26" s="73">
        <v>17.989999999999998</v>
      </c>
      <c r="G26" s="73">
        <v>13.89</v>
      </c>
      <c r="H26" s="73">
        <v>13.49</v>
      </c>
      <c r="I26" s="9">
        <v>12.49</v>
      </c>
      <c r="J26" s="74">
        <v>9.99</v>
      </c>
      <c r="K26" s="74">
        <v>9.99</v>
      </c>
      <c r="L26" s="74">
        <v>24.99</v>
      </c>
      <c r="M26" s="74">
        <v>9.49</v>
      </c>
      <c r="N26" s="10">
        <v>18.989999999999998</v>
      </c>
      <c r="O26" s="74"/>
    </row>
    <row r="27" spans="1:15" x14ac:dyDescent="0.25">
      <c r="A27" s="8" t="s">
        <v>117</v>
      </c>
      <c r="B27" s="9">
        <v>9.49</v>
      </c>
      <c r="C27" s="114">
        <v>5.79</v>
      </c>
      <c r="D27" s="9">
        <v>19.989999999999998</v>
      </c>
      <c r="E27" s="114">
        <v>13.69</v>
      </c>
      <c r="F27" s="114">
        <v>17.989999999999998</v>
      </c>
      <c r="G27" s="114">
        <v>13.89</v>
      </c>
      <c r="H27" s="114">
        <v>13.49</v>
      </c>
      <c r="I27" s="9">
        <v>12.49</v>
      </c>
      <c r="J27" s="9">
        <v>8.99</v>
      </c>
      <c r="K27" s="115">
        <v>7.99</v>
      </c>
      <c r="L27" s="115">
        <v>19.989999999999998</v>
      </c>
      <c r="M27" s="10">
        <v>9.49</v>
      </c>
      <c r="N27" s="10">
        <v>18.989999999999998</v>
      </c>
      <c r="O27" s="10"/>
    </row>
    <row r="28" spans="1:15" x14ac:dyDescent="0.25">
      <c r="A28" s="12" t="s">
        <v>118</v>
      </c>
      <c r="B28" s="9">
        <v>9.49</v>
      </c>
      <c r="C28" s="73">
        <v>5.79</v>
      </c>
      <c r="D28" s="9">
        <v>19.989999999999998</v>
      </c>
      <c r="E28" s="73">
        <v>13.69</v>
      </c>
      <c r="F28" s="73">
        <v>17.989999999999998</v>
      </c>
      <c r="G28" s="73">
        <v>13.89</v>
      </c>
      <c r="H28" s="73">
        <v>13.49</v>
      </c>
      <c r="I28" s="9">
        <v>12.49</v>
      </c>
      <c r="J28" s="74">
        <v>9.99</v>
      </c>
      <c r="K28" s="74">
        <v>9.99</v>
      </c>
      <c r="L28" s="74">
        <v>24.99</v>
      </c>
      <c r="M28" s="74">
        <v>9.49</v>
      </c>
      <c r="N28" s="10">
        <v>18.989999999999998</v>
      </c>
      <c r="O28" s="74"/>
    </row>
    <row r="29" spans="1:15" x14ac:dyDescent="0.25">
      <c r="A29" s="116" t="s">
        <v>119</v>
      </c>
      <c r="B29" s="9">
        <v>9.49</v>
      </c>
      <c r="C29" s="73">
        <v>5.79</v>
      </c>
      <c r="D29" s="9">
        <v>19.989999999999998</v>
      </c>
      <c r="E29" s="73">
        <v>13.69</v>
      </c>
      <c r="F29" s="73">
        <v>17.989999999999998</v>
      </c>
      <c r="G29" s="73">
        <v>13.89</v>
      </c>
      <c r="H29" s="73">
        <v>13.49</v>
      </c>
      <c r="I29" s="9">
        <v>12.49</v>
      </c>
      <c r="J29" s="74">
        <v>9.99</v>
      </c>
      <c r="K29" s="74">
        <v>9.99</v>
      </c>
      <c r="L29" s="74">
        <v>24.99</v>
      </c>
      <c r="M29" s="74">
        <v>9.49</v>
      </c>
      <c r="N29" s="10">
        <v>18.989999999999998</v>
      </c>
      <c r="O29" s="74"/>
    </row>
    <row r="30" spans="1:15" x14ac:dyDescent="0.25">
      <c r="A30" s="8" t="s">
        <v>120</v>
      </c>
      <c r="B30" s="9">
        <v>9.49</v>
      </c>
      <c r="C30" s="114">
        <v>5.79</v>
      </c>
      <c r="D30" s="9">
        <v>19.989999999999998</v>
      </c>
      <c r="E30" s="114">
        <v>13.69</v>
      </c>
      <c r="F30" s="114">
        <v>17.989999999999998</v>
      </c>
      <c r="G30" s="114">
        <v>13.89</v>
      </c>
      <c r="H30" s="114">
        <v>13.49</v>
      </c>
      <c r="I30" s="9">
        <v>12.49</v>
      </c>
      <c r="J30" s="9">
        <v>8.99</v>
      </c>
      <c r="K30" s="115">
        <v>7.99</v>
      </c>
      <c r="L30" s="115">
        <v>19.989999999999998</v>
      </c>
      <c r="M30" s="10">
        <v>9.49</v>
      </c>
      <c r="N30" s="10">
        <v>18.989999999999998</v>
      </c>
      <c r="O30" s="10"/>
    </row>
    <row r="31" spans="1:15" x14ac:dyDescent="0.25">
      <c r="A31" s="75" t="s">
        <v>121</v>
      </c>
      <c r="B31" s="117"/>
      <c r="C31" s="76"/>
      <c r="D31" s="117"/>
      <c r="E31" s="76"/>
      <c r="F31" s="76"/>
      <c r="G31" s="76"/>
      <c r="H31" s="76"/>
      <c r="I31" s="76"/>
      <c r="J31" s="76"/>
      <c r="K31" s="76"/>
      <c r="L31" s="76"/>
      <c r="M31" s="76"/>
      <c r="N31" s="10">
        <v>18.989999999999998</v>
      </c>
      <c r="O31" s="76"/>
    </row>
    <row r="33" spans="1:15" x14ac:dyDescent="0.25">
      <c r="A33" s="77" t="s">
        <v>12</v>
      </c>
      <c r="B33" s="78">
        <v>9.49</v>
      </c>
      <c r="C33" s="79">
        <v>5.79</v>
      </c>
      <c r="D33" s="79">
        <v>19.989999999999998</v>
      </c>
      <c r="E33" s="79">
        <v>13.69</v>
      </c>
      <c r="F33" s="79">
        <v>17.989999999999998</v>
      </c>
      <c r="G33" s="79">
        <v>13.89</v>
      </c>
      <c r="H33" s="79">
        <v>13.49</v>
      </c>
      <c r="I33" s="79">
        <v>12.49</v>
      </c>
      <c r="J33" s="79">
        <v>9.99</v>
      </c>
      <c r="K33" s="79">
        <v>9.99</v>
      </c>
      <c r="L33" s="79">
        <v>24.99</v>
      </c>
      <c r="M33" s="79">
        <v>9.49</v>
      </c>
      <c r="N33" s="79">
        <v>18.989999999999998</v>
      </c>
      <c r="O33" s="79">
        <v>0</v>
      </c>
    </row>
    <row r="34" spans="1:15" x14ac:dyDescent="0.25">
      <c r="I34" t="s">
        <v>140</v>
      </c>
      <c r="J34">
        <v>8.99</v>
      </c>
      <c r="K34">
        <v>7.99</v>
      </c>
      <c r="L34">
        <v>19.989999999999998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c41d484-5e40-4930-b699-f3245646da77">
      <Terms xmlns="http://schemas.microsoft.com/office/infopath/2007/PartnerControls"/>
    </lcf76f155ced4ddcb4097134ff3c332f>
    <TaxCatchAll xmlns="16f20d34-7624-4e7e-9585-e4f9765217a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952CCAF917F4542B44D953DC577C987" ma:contentTypeVersion="16" ma:contentTypeDescription="Crie um novo documento." ma:contentTypeScope="" ma:versionID="49f91e6cac8d8748de6c8e802239a419">
  <xsd:schema xmlns:xsd="http://www.w3.org/2001/XMLSchema" xmlns:xs="http://www.w3.org/2001/XMLSchema" xmlns:p="http://schemas.microsoft.com/office/2006/metadata/properties" xmlns:ns2="fc41d484-5e40-4930-b699-f3245646da77" xmlns:ns3="16f20d34-7624-4e7e-9585-e4f9765217a7" targetNamespace="http://schemas.microsoft.com/office/2006/metadata/properties" ma:root="true" ma:fieldsID="66b2f3a568259d6e18f133deb90ad9f1" ns2:_="" ns3:_="">
    <xsd:import namespace="fc41d484-5e40-4930-b699-f3245646da77"/>
    <xsd:import namespace="16f20d34-7624-4e7e-9585-e4f9765217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41d484-5e40-4930-b699-f3245646da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9e843d6d-9fe7-4b05-9fb0-c6710ad86cb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f20d34-7624-4e7e-9585-e4f9765217a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7ef2b90-0005-4d33-8d63-f871e2656fde}" ma:internalName="TaxCatchAll" ma:showField="CatchAllData" ma:web="16f20d34-7624-4e7e-9585-e4f9765217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9703B89-4E86-42C3-8CFA-2C60C30C5718}">
  <ds:schemaRefs>
    <ds:schemaRef ds:uri="http://schemas.microsoft.com/office/2006/metadata/properties"/>
    <ds:schemaRef ds:uri="http://schemas.microsoft.com/office/infopath/2007/PartnerControls"/>
    <ds:schemaRef ds:uri="fc41d484-5e40-4930-b699-f3245646da77"/>
    <ds:schemaRef ds:uri="16f20d34-7624-4e7e-9585-e4f9765217a7"/>
  </ds:schemaRefs>
</ds:datastoreItem>
</file>

<file path=customXml/itemProps2.xml><?xml version="1.0" encoding="utf-8"?>
<ds:datastoreItem xmlns:ds="http://schemas.openxmlformats.org/officeDocument/2006/customXml" ds:itemID="{D2B945F4-4202-4610-92AC-90C8E22C6A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41d484-5e40-4930-b699-f3245646da77"/>
    <ds:schemaRef ds:uri="16f20d34-7624-4e7e-9585-e4f9765217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3948755-05C8-4167-A3C9-C94CCA2819F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TABELA</vt:lpstr>
      <vt:lpstr>DADOS</vt:lpstr>
      <vt:lpstr>Planilha1</vt:lpstr>
      <vt:lpstr>ST BISCOITINHOS</vt:lpstr>
      <vt:lpstr>ST PAPAPASTA</vt:lpstr>
      <vt:lpstr>ST PALITINHOS</vt:lpstr>
      <vt:lpstr>ST BISCOTTI</vt:lpstr>
      <vt:lpstr>ST CEREAL</vt:lpstr>
      <vt:lpstr>ST CEREAL SABOR POUCH 170</vt:lpstr>
      <vt:lpstr>ST MULTI 170 POUCH</vt:lpstr>
      <vt:lpstr>ST MULTI 500 POUCH</vt:lpstr>
      <vt:lpstr>PREÇOS</vt:lpstr>
      <vt:lpstr>PSC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Ericka Garrett</dc:creator>
  <cp:keywords/>
  <dc:description/>
  <cp:lastModifiedBy>Diogo Döll</cp:lastModifiedBy>
  <cp:revision/>
  <dcterms:created xsi:type="dcterms:W3CDTF">2022-06-23T15:46:56Z</dcterms:created>
  <dcterms:modified xsi:type="dcterms:W3CDTF">2025-12-09T19:19:49Z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0x0101005952CCAF917F4542B44D953DC577C987</vt:lpwstr>
  </property>
  <property fmtid="{D5CDD505-2E9C-101B-9397-08002B2CF9AE}" pid="3" name="MediaServiceImageTags">
    <vt:lpwstr/>
  </property>
</Properties>
</file>