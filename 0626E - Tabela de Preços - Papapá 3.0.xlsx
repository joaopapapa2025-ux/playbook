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ao.vitor\Desktop\"/>
    </mc:Choice>
  </mc:AlternateContent>
  <xr:revisionPtr revIDLastSave="0" documentId="13_ncr:1_{0D31E4C9-1CA0-4363-B781-D83BAD84C92D}" xr6:coauthVersionLast="47" xr6:coauthVersionMax="47" xr10:uidLastSave="{00000000-0000-0000-0000-000000000000}"/>
  <workbookProtection workbookAlgorithmName="SHA-512" workbookHashValue="eoJ1MNkhXJj5sFAXIJrv+fpXcWgu28w5F2RwcOpRNpcwuayKwGzeNmUh+VjGDnmNkM4lANKl3eAxn2lg5MR+8g==" workbookSaltValue="PSgsT7HfgRDWtjuMmV/Y5A==" workbookSpinCount="100000" lockStructure="1"/>
  <bookViews>
    <workbookView xWindow="-108" yWindow="-108" windowWidth="23256" windowHeight="12456" xr2:uid="{00000000-000D-0000-FFFF-FFFF00000000}"/>
  </bookViews>
  <sheets>
    <sheet name="Tabelas" sheetId="1" r:id="rId1"/>
    <sheet name="Cadastro" sheetId="2" r:id="rId2"/>
    <sheet name="Planilha1" sheetId="3" state="hidden" r:id="rId3"/>
    <sheet name="ST BISCOITINHOS" sheetId="4" state="hidden" r:id="rId4"/>
    <sheet name="ST PAPAPASTA" sheetId="5" state="hidden" r:id="rId5"/>
    <sheet name="ST PALITINHOS" sheetId="6" state="hidden" r:id="rId6"/>
    <sheet name="ST BISCOTTI" sheetId="7" state="hidden" r:id="rId7"/>
    <sheet name="ST CEREAL" sheetId="8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PREÇOS" sheetId="12" state="hidden" r:id="rId12"/>
    <sheet name="PSC PAPAPA" sheetId="13" state="hidden" r:id="rId13"/>
    <sheet name="PSC" sheetId="14" state="hidden" r:id="rId14"/>
    <sheet name="ST EXTRUSADOS" sheetId="15" state="hidden" r:id="rId15"/>
    <sheet name="ST RECHEADOS" sheetId="16" state="hidden" r:id="rId16"/>
  </sheets>
  <definedNames>
    <definedName name="_xlnm._FilterDatabase" localSheetId="4" hidden="1">'ST PAPAPASTA'!$A$1:$J$1</definedName>
    <definedName name="ListaUF">PREÇOS!$A$3:$A$29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6" l="1"/>
  <c r="I29" i="16"/>
  <c r="H29" i="16"/>
  <c r="H28" i="16"/>
  <c r="G28" i="16"/>
  <c r="C28" i="16"/>
  <c r="B28" i="16"/>
  <c r="H27" i="16"/>
  <c r="J27" i="16" s="1"/>
  <c r="K27" i="16" s="1"/>
  <c r="J26" i="16"/>
  <c r="I26" i="16"/>
  <c r="H26" i="16"/>
  <c r="J25" i="16"/>
  <c r="I25" i="16"/>
  <c r="H25" i="16"/>
  <c r="J24" i="16"/>
  <c r="I24" i="16"/>
  <c r="H24" i="16"/>
  <c r="J23" i="16"/>
  <c r="I23" i="16"/>
  <c r="H23" i="16"/>
  <c r="J22" i="16"/>
  <c r="I22" i="16"/>
  <c r="H22" i="16"/>
  <c r="J21" i="16"/>
  <c r="I21" i="16"/>
  <c r="H21" i="16"/>
  <c r="H20" i="16"/>
  <c r="I20" i="16" s="1"/>
  <c r="J19" i="16"/>
  <c r="I19" i="16"/>
  <c r="H19" i="16"/>
  <c r="J18" i="16"/>
  <c r="I18" i="16"/>
  <c r="H18" i="16"/>
  <c r="J17" i="16"/>
  <c r="I17" i="16"/>
  <c r="H17" i="16"/>
  <c r="J16" i="16"/>
  <c r="I16" i="16"/>
  <c r="H16" i="16"/>
  <c r="J15" i="16"/>
  <c r="I15" i="16"/>
  <c r="H15" i="16"/>
  <c r="H14" i="16"/>
  <c r="J14" i="16" s="1"/>
  <c r="J13" i="16"/>
  <c r="I13" i="16"/>
  <c r="H13" i="16"/>
  <c r="H12" i="16"/>
  <c r="J12" i="16" s="1"/>
  <c r="J11" i="16"/>
  <c r="I11" i="16"/>
  <c r="H11" i="16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H5" i="16"/>
  <c r="J5" i="16" s="1"/>
  <c r="J4" i="16"/>
  <c r="I4" i="16"/>
  <c r="H4" i="16"/>
  <c r="H3" i="16"/>
  <c r="I3" i="16" s="1"/>
  <c r="J2" i="16"/>
  <c r="I2" i="16"/>
  <c r="H2" i="16"/>
  <c r="J30" i="15"/>
  <c r="I30" i="15"/>
  <c r="H30" i="15"/>
  <c r="J29" i="15"/>
  <c r="I29" i="15"/>
  <c r="H29" i="15"/>
  <c r="H28" i="15"/>
  <c r="G28" i="15"/>
  <c r="F28" i="15"/>
  <c r="I28" i="15" s="1"/>
  <c r="E28" i="15"/>
  <c r="D28" i="15"/>
  <c r="C28" i="15"/>
  <c r="B28" i="15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H20" i="15"/>
  <c r="J20" i="15" s="1"/>
  <c r="H19" i="15"/>
  <c r="J19" i="15" s="1"/>
  <c r="J18" i="15"/>
  <c r="I18" i="15"/>
  <c r="H18" i="15"/>
  <c r="J17" i="15"/>
  <c r="I17" i="15"/>
  <c r="H17" i="15"/>
  <c r="J16" i="15"/>
  <c r="I16" i="15"/>
  <c r="H16" i="15"/>
  <c r="J15" i="15"/>
  <c r="I15" i="15"/>
  <c r="H15" i="15"/>
  <c r="H14" i="15"/>
  <c r="I14" i="15" s="1"/>
  <c r="J13" i="15"/>
  <c r="I13" i="15"/>
  <c r="H13" i="15"/>
  <c r="H12" i="15"/>
  <c r="J12" i="15" s="1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H5" i="15"/>
  <c r="J5" i="15" s="1"/>
  <c r="J4" i="15"/>
  <c r="I4" i="15"/>
  <c r="H4" i="15"/>
  <c r="H3" i="15"/>
  <c r="J3" i="15" s="1"/>
  <c r="J2" i="15"/>
  <c r="I2" i="15"/>
  <c r="H2" i="15"/>
  <c r="J30" i="11"/>
  <c r="I30" i="11"/>
  <c r="H30" i="11"/>
  <c r="J29" i="11"/>
  <c r="I29" i="11"/>
  <c r="H29" i="11"/>
  <c r="H28" i="11"/>
  <c r="G28" i="11"/>
  <c r="F28" i="11"/>
  <c r="E28" i="11"/>
  <c r="D28" i="11"/>
  <c r="C28" i="11"/>
  <c r="B28" i="11"/>
  <c r="H27" i="11"/>
  <c r="J27" i="11" s="1"/>
  <c r="J26" i="11"/>
  <c r="I26" i="11"/>
  <c r="H26" i="11"/>
  <c r="J25" i="11"/>
  <c r="I25" i="11"/>
  <c r="H25" i="11"/>
  <c r="J24" i="11"/>
  <c r="I24" i="11"/>
  <c r="H24" i="11"/>
  <c r="J23" i="11"/>
  <c r="I23" i="11"/>
  <c r="H23" i="11"/>
  <c r="J22" i="11"/>
  <c r="I22" i="11"/>
  <c r="H22" i="11"/>
  <c r="J21" i="11"/>
  <c r="I21" i="11"/>
  <c r="H21" i="11"/>
  <c r="H20" i="11"/>
  <c r="J20" i="11" s="1"/>
  <c r="H19" i="11"/>
  <c r="J19" i="11" s="1"/>
  <c r="J18" i="11"/>
  <c r="I18" i="11"/>
  <c r="H18" i="11"/>
  <c r="J17" i="11"/>
  <c r="I17" i="11"/>
  <c r="H17" i="11"/>
  <c r="J16" i="11"/>
  <c r="I16" i="11"/>
  <c r="H16" i="11"/>
  <c r="J15" i="11"/>
  <c r="I15" i="11"/>
  <c r="H15" i="11"/>
  <c r="H14" i="11"/>
  <c r="J14" i="11" s="1"/>
  <c r="J13" i="11"/>
  <c r="I13" i="11"/>
  <c r="H13" i="11"/>
  <c r="H12" i="11"/>
  <c r="J12" i="11" s="1"/>
  <c r="J11" i="11"/>
  <c r="I11" i="11"/>
  <c r="H11" i="11"/>
  <c r="J10" i="11"/>
  <c r="I10" i="11"/>
  <c r="H10" i="11"/>
  <c r="J9" i="11"/>
  <c r="I9" i="11"/>
  <c r="H9" i="11"/>
  <c r="J8" i="11"/>
  <c r="I8" i="11"/>
  <c r="H8" i="11"/>
  <c r="J7" i="11"/>
  <c r="I7" i="11"/>
  <c r="H7" i="11"/>
  <c r="J6" i="11"/>
  <c r="I6" i="11"/>
  <c r="H6" i="11"/>
  <c r="J5" i="11"/>
  <c r="I5" i="11"/>
  <c r="H5" i="11"/>
  <c r="H4" i="11"/>
  <c r="J4" i="11" s="1"/>
  <c r="H3" i="11"/>
  <c r="J3" i="11" s="1"/>
  <c r="J2" i="11"/>
  <c r="I2" i="11"/>
  <c r="H2" i="11"/>
  <c r="J30" i="10"/>
  <c r="I30" i="10"/>
  <c r="H30" i="10"/>
  <c r="J29" i="10"/>
  <c r="I29" i="10"/>
  <c r="H29" i="10"/>
  <c r="H28" i="10"/>
  <c r="G28" i="10"/>
  <c r="F28" i="10"/>
  <c r="E28" i="10"/>
  <c r="D28" i="10"/>
  <c r="C28" i="10"/>
  <c r="B28" i="10"/>
  <c r="H27" i="10"/>
  <c r="J27" i="10" s="1"/>
  <c r="J26" i="10"/>
  <c r="I26" i="10"/>
  <c r="H26" i="10"/>
  <c r="J25" i="10"/>
  <c r="I25" i="10"/>
  <c r="H25" i="10"/>
  <c r="J24" i="10"/>
  <c r="I24" i="10"/>
  <c r="H24" i="10"/>
  <c r="J23" i="10"/>
  <c r="I23" i="10"/>
  <c r="H23" i="10"/>
  <c r="J22" i="10"/>
  <c r="I22" i="10"/>
  <c r="H22" i="10"/>
  <c r="J21" i="10"/>
  <c r="I21" i="10"/>
  <c r="H21" i="10"/>
  <c r="H20" i="10"/>
  <c r="J20" i="10" s="1"/>
  <c r="H19" i="10"/>
  <c r="J19" i="10" s="1"/>
  <c r="J18" i="10"/>
  <c r="I18" i="10"/>
  <c r="H18" i="10"/>
  <c r="J17" i="10"/>
  <c r="I17" i="10"/>
  <c r="H17" i="10"/>
  <c r="J16" i="10"/>
  <c r="I16" i="10"/>
  <c r="H16" i="10"/>
  <c r="J15" i="10"/>
  <c r="I15" i="10"/>
  <c r="H15" i="10"/>
  <c r="H14" i="10"/>
  <c r="J14" i="10" s="1"/>
  <c r="J13" i="10"/>
  <c r="I13" i="10"/>
  <c r="H13" i="10"/>
  <c r="H12" i="10"/>
  <c r="J12" i="10" s="1"/>
  <c r="J11" i="10"/>
  <c r="I11" i="10"/>
  <c r="H11" i="10"/>
  <c r="J10" i="10"/>
  <c r="I10" i="10"/>
  <c r="H10" i="10"/>
  <c r="J9" i="10"/>
  <c r="I9" i="10"/>
  <c r="H9" i="10"/>
  <c r="J8" i="10"/>
  <c r="I8" i="10"/>
  <c r="H8" i="10"/>
  <c r="J7" i="10"/>
  <c r="I7" i="10"/>
  <c r="H7" i="10"/>
  <c r="J6" i="10"/>
  <c r="I6" i="10"/>
  <c r="H6" i="10"/>
  <c r="J5" i="10"/>
  <c r="I5" i="10"/>
  <c r="H5" i="10"/>
  <c r="H4" i="10"/>
  <c r="J4" i="10" s="1"/>
  <c r="H3" i="10"/>
  <c r="J3" i="10" s="1"/>
  <c r="J2" i="10"/>
  <c r="I2" i="10"/>
  <c r="H2" i="10"/>
  <c r="J30" i="9"/>
  <c r="I30" i="9"/>
  <c r="H30" i="9"/>
  <c r="J29" i="9"/>
  <c r="I29" i="9"/>
  <c r="H29" i="9"/>
  <c r="H28" i="9"/>
  <c r="G28" i="9"/>
  <c r="F28" i="9"/>
  <c r="E28" i="9"/>
  <c r="D28" i="9"/>
  <c r="C28" i="9"/>
  <c r="B28" i="9"/>
  <c r="H27" i="9"/>
  <c r="I27" i="9" s="1"/>
  <c r="J26" i="9"/>
  <c r="I26" i="9"/>
  <c r="H26" i="9"/>
  <c r="J25" i="9"/>
  <c r="I25" i="9"/>
  <c r="H25" i="9"/>
  <c r="J24" i="9"/>
  <c r="I24" i="9"/>
  <c r="H24" i="9"/>
  <c r="J23" i="9"/>
  <c r="I23" i="9"/>
  <c r="H23" i="9"/>
  <c r="J22" i="9"/>
  <c r="I22" i="9"/>
  <c r="H22" i="9"/>
  <c r="J21" i="9"/>
  <c r="I21" i="9"/>
  <c r="H21" i="9"/>
  <c r="H20" i="9"/>
  <c r="I20" i="9" s="1"/>
  <c r="H19" i="9"/>
  <c r="J19" i="9" s="1"/>
  <c r="J18" i="9"/>
  <c r="I18" i="9"/>
  <c r="H18" i="9"/>
  <c r="J17" i="9"/>
  <c r="I17" i="9"/>
  <c r="H17" i="9"/>
  <c r="J16" i="9"/>
  <c r="I16" i="9"/>
  <c r="H16" i="9"/>
  <c r="J15" i="9"/>
  <c r="I15" i="9"/>
  <c r="H15" i="9"/>
  <c r="H14" i="9"/>
  <c r="J14" i="9" s="1"/>
  <c r="J13" i="9"/>
  <c r="I13" i="9"/>
  <c r="H13" i="9"/>
  <c r="H12" i="9"/>
  <c r="J12" i="9" s="1"/>
  <c r="J11" i="9"/>
  <c r="I11" i="9"/>
  <c r="H11" i="9"/>
  <c r="J10" i="9"/>
  <c r="I10" i="9"/>
  <c r="H10" i="9"/>
  <c r="J9" i="9"/>
  <c r="I9" i="9"/>
  <c r="H9" i="9"/>
  <c r="J8" i="9"/>
  <c r="I8" i="9"/>
  <c r="H8" i="9"/>
  <c r="J7" i="9"/>
  <c r="I7" i="9"/>
  <c r="H7" i="9"/>
  <c r="J6" i="9"/>
  <c r="I6" i="9"/>
  <c r="H6" i="9"/>
  <c r="J5" i="9"/>
  <c r="I5" i="9"/>
  <c r="H5" i="9"/>
  <c r="H4" i="9"/>
  <c r="J4" i="9" s="1"/>
  <c r="H3" i="9"/>
  <c r="J3" i="9" s="1"/>
  <c r="J2" i="9"/>
  <c r="I2" i="9"/>
  <c r="H2" i="9"/>
  <c r="J30" i="8"/>
  <c r="I30" i="8"/>
  <c r="H30" i="8"/>
  <c r="J29" i="8"/>
  <c r="I29" i="8"/>
  <c r="H29" i="8"/>
  <c r="H28" i="8"/>
  <c r="G28" i="8"/>
  <c r="F28" i="8"/>
  <c r="E28" i="8"/>
  <c r="D28" i="8"/>
  <c r="C28" i="8"/>
  <c r="B28" i="8"/>
  <c r="H27" i="8"/>
  <c r="I27" i="8" s="1"/>
  <c r="J26" i="8"/>
  <c r="I26" i="8"/>
  <c r="H26" i="8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H20" i="8"/>
  <c r="J20" i="8" s="1"/>
  <c r="H19" i="8"/>
  <c r="J19" i="8" s="1"/>
  <c r="J18" i="8"/>
  <c r="I18" i="8"/>
  <c r="H18" i="8"/>
  <c r="J17" i="8"/>
  <c r="I17" i="8"/>
  <c r="H17" i="8"/>
  <c r="J16" i="8"/>
  <c r="I16" i="8"/>
  <c r="H16" i="8"/>
  <c r="J15" i="8"/>
  <c r="I15" i="8"/>
  <c r="H15" i="8"/>
  <c r="H14" i="8"/>
  <c r="I14" i="8" s="1"/>
  <c r="J13" i="8"/>
  <c r="I13" i="8"/>
  <c r="H13" i="8"/>
  <c r="H12" i="8"/>
  <c r="J12" i="8" s="1"/>
  <c r="J11" i="8"/>
  <c r="I11" i="8"/>
  <c r="H11" i="8"/>
  <c r="J10" i="8"/>
  <c r="I10" i="8"/>
  <c r="H10" i="8"/>
  <c r="J9" i="8"/>
  <c r="I9" i="8"/>
  <c r="H9" i="8"/>
  <c r="J8" i="8"/>
  <c r="I8" i="8"/>
  <c r="H8" i="8"/>
  <c r="J7" i="8"/>
  <c r="I7" i="8"/>
  <c r="H7" i="8"/>
  <c r="J6" i="8"/>
  <c r="I6" i="8"/>
  <c r="H6" i="8"/>
  <c r="J5" i="8"/>
  <c r="I5" i="8"/>
  <c r="H5" i="8"/>
  <c r="H4" i="8"/>
  <c r="J4" i="8" s="1"/>
  <c r="H3" i="8"/>
  <c r="J3" i="8" s="1"/>
  <c r="J2" i="8"/>
  <c r="I2" i="8"/>
  <c r="H2" i="8"/>
  <c r="J29" i="7"/>
  <c r="I29" i="7"/>
  <c r="H29" i="7"/>
  <c r="H28" i="7"/>
  <c r="G28" i="7"/>
  <c r="E28" i="7"/>
  <c r="C28" i="7"/>
  <c r="B28" i="7"/>
  <c r="H27" i="7"/>
  <c r="J27" i="7" s="1"/>
  <c r="K27" i="7" s="1"/>
  <c r="J26" i="7"/>
  <c r="I26" i="7"/>
  <c r="H26" i="7"/>
  <c r="J25" i="7"/>
  <c r="I25" i="7"/>
  <c r="H25" i="7"/>
  <c r="J24" i="7"/>
  <c r="I24" i="7"/>
  <c r="H24" i="7"/>
  <c r="J23" i="7"/>
  <c r="I23" i="7"/>
  <c r="H23" i="7"/>
  <c r="J22" i="7"/>
  <c r="I22" i="7"/>
  <c r="H22" i="7"/>
  <c r="J21" i="7"/>
  <c r="I21" i="7"/>
  <c r="H21" i="7"/>
  <c r="H20" i="7"/>
  <c r="J20" i="7" s="1"/>
  <c r="J19" i="7"/>
  <c r="I19" i="7"/>
  <c r="H19" i="7"/>
  <c r="J18" i="7"/>
  <c r="I18" i="7"/>
  <c r="H18" i="7"/>
  <c r="J17" i="7"/>
  <c r="I17" i="7"/>
  <c r="H17" i="7"/>
  <c r="J16" i="7"/>
  <c r="I16" i="7"/>
  <c r="H16" i="7"/>
  <c r="J15" i="7"/>
  <c r="I15" i="7"/>
  <c r="H15" i="7"/>
  <c r="H14" i="7"/>
  <c r="I14" i="7" s="1"/>
  <c r="J13" i="7"/>
  <c r="I13" i="7"/>
  <c r="H13" i="7"/>
  <c r="H12" i="7"/>
  <c r="J12" i="7" s="1"/>
  <c r="J11" i="7"/>
  <c r="I11" i="7"/>
  <c r="H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H5" i="7"/>
  <c r="I5" i="7" s="1"/>
  <c r="J4" i="7"/>
  <c r="I4" i="7"/>
  <c r="H4" i="7"/>
  <c r="H3" i="7"/>
  <c r="J3" i="7" s="1"/>
  <c r="J2" i="7"/>
  <c r="I2" i="7"/>
  <c r="H2" i="7"/>
  <c r="J30" i="6"/>
  <c r="I30" i="6"/>
  <c r="H30" i="6"/>
  <c r="J29" i="6"/>
  <c r="I29" i="6"/>
  <c r="H29" i="6"/>
  <c r="H28" i="6"/>
  <c r="G28" i="6"/>
  <c r="F28" i="6"/>
  <c r="I28" i="6" s="1"/>
  <c r="E28" i="6"/>
  <c r="D28" i="6"/>
  <c r="C28" i="6"/>
  <c r="B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I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J14" i="6" s="1"/>
  <c r="J13" i="6"/>
  <c r="I13" i="6"/>
  <c r="H13" i="6"/>
  <c r="H12" i="6"/>
  <c r="I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I5" i="6" s="1"/>
  <c r="J4" i="6"/>
  <c r="I4" i="6"/>
  <c r="H4" i="6"/>
  <c r="H3" i="6"/>
  <c r="J3" i="6" s="1"/>
  <c r="J2" i="6"/>
  <c r="I2" i="6"/>
  <c r="H2" i="6"/>
  <c r="J30" i="5"/>
  <c r="I30" i="5"/>
  <c r="H30" i="5"/>
  <c r="J29" i="5"/>
  <c r="I29" i="5"/>
  <c r="H29" i="5"/>
  <c r="H28" i="5"/>
  <c r="G28" i="5"/>
  <c r="F28" i="5"/>
  <c r="I28" i="5" s="1"/>
  <c r="E28" i="5"/>
  <c r="D28" i="5"/>
  <c r="C28" i="5"/>
  <c r="B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H14" i="5"/>
  <c r="J14" i="5" s="1"/>
  <c r="J13" i="5"/>
  <c r="I13" i="5"/>
  <c r="H13" i="5"/>
  <c r="H12" i="5"/>
  <c r="I12" i="5" s="1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H5" i="5"/>
  <c r="J5" i="5" s="1"/>
  <c r="J4" i="5"/>
  <c r="I4" i="5"/>
  <c r="H4" i="5"/>
  <c r="H3" i="5"/>
  <c r="I3" i="5" s="1"/>
  <c r="J2" i="5"/>
  <c r="I2" i="5"/>
  <c r="H2" i="5"/>
  <c r="J30" i="4"/>
  <c r="I30" i="4"/>
  <c r="H30" i="4"/>
  <c r="J29" i="4"/>
  <c r="I29" i="4"/>
  <c r="H29" i="4"/>
  <c r="H28" i="4"/>
  <c r="G28" i="4"/>
  <c r="F28" i="4"/>
  <c r="E28" i="4"/>
  <c r="D28" i="4"/>
  <c r="C28" i="4"/>
  <c r="B28" i="4"/>
  <c r="H27" i="4"/>
  <c r="J27" i="4" s="1"/>
  <c r="K27" i="4" s="1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H20" i="4"/>
  <c r="J20" i="4" s="1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H12" i="4"/>
  <c r="J12" i="4" s="1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H5" i="4"/>
  <c r="I5" i="4" s="1"/>
  <c r="J4" i="4"/>
  <c r="I4" i="4"/>
  <c r="H4" i="4"/>
  <c r="H3" i="4"/>
  <c r="J3" i="4" s="1"/>
  <c r="J2" i="4"/>
  <c r="I2" i="4"/>
  <c r="H2" i="4"/>
  <c r="S81" i="2"/>
  <c r="S76" i="2"/>
  <c r="R76" i="2"/>
  <c r="P76" i="2"/>
  <c r="S73" i="2" s="1"/>
  <c r="O76" i="2"/>
  <c r="M76" i="2"/>
  <c r="R73" i="2" s="1"/>
  <c r="L76" i="2"/>
  <c r="O73" i="2" s="1"/>
  <c r="K76" i="2"/>
  <c r="G76" i="2"/>
  <c r="S75" i="2"/>
  <c r="R75" i="2"/>
  <c r="P75" i="2"/>
  <c r="S72" i="2" s="1"/>
  <c r="O75" i="2"/>
  <c r="M75" i="2"/>
  <c r="R72" i="2" s="1"/>
  <c r="L75" i="2"/>
  <c r="O72" i="2" s="1"/>
  <c r="K75" i="2"/>
  <c r="G75" i="2"/>
  <c r="S74" i="2"/>
  <c r="R74" i="2"/>
  <c r="P74" i="2"/>
  <c r="S71" i="2" s="1"/>
  <c r="O74" i="2"/>
  <c r="M74" i="2"/>
  <c r="R71" i="2" s="1"/>
  <c r="L74" i="2"/>
  <c r="K74" i="2"/>
  <c r="G74" i="2"/>
  <c r="L73" i="2"/>
  <c r="O70" i="2" s="1"/>
  <c r="K73" i="2"/>
  <c r="G73" i="2"/>
  <c r="L72" i="2"/>
  <c r="O69" i="2" s="1"/>
  <c r="K72" i="2"/>
  <c r="G72" i="2"/>
  <c r="L71" i="2"/>
  <c r="K71" i="2"/>
  <c r="G71" i="2"/>
  <c r="L70" i="2"/>
  <c r="O67" i="2" s="1"/>
  <c r="K70" i="2"/>
  <c r="G70" i="2"/>
  <c r="L69" i="2"/>
  <c r="O66" i="2" s="1"/>
  <c r="K69" i="2"/>
  <c r="G69" i="2"/>
  <c r="L68" i="2"/>
  <c r="K68" i="2"/>
  <c r="G68" i="2"/>
  <c r="L67" i="2"/>
  <c r="K67" i="2"/>
  <c r="G67" i="2"/>
  <c r="L66" i="2"/>
  <c r="K66" i="2"/>
  <c r="G66" i="2"/>
  <c r="L65" i="2"/>
  <c r="K65" i="2"/>
  <c r="G65" i="2"/>
  <c r="L63" i="2"/>
  <c r="M60" i="2" s="1"/>
  <c r="K63" i="2"/>
  <c r="G63" i="2"/>
  <c r="S61" i="2"/>
  <c r="R61" i="2"/>
  <c r="P61" i="2"/>
  <c r="S58" i="2" s="1"/>
  <c r="M61" i="2"/>
  <c r="R58" i="2" s="1"/>
  <c r="L61" i="2"/>
  <c r="P58" i="2" s="1"/>
  <c r="S55" i="2" s="1"/>
  <c r="K61" i="2"/>
  <c r="G61" i="2"/>
  <c r="L60" i="2"/>
  <c r="K60" i="2"/>
  <c r="G60" i="2"/>
  <c r="S59" i="2"/>
  <c r="R59" i="2"/>
  <c r="P59" i="2"/>
  <c r="S56" i="2" s="1"/>
  <c r="M59" i="2"/>
  <c r="R56" i="2" s="1"/>
  <c r="L59" i="2"/>
  <c r="M56" i="2" s="1"/>
  <c r="R53" i="2" s="1"/>
  <c r="K59" i="2"/>
  <c r="G59" i="2"/>
  <c r="L58" i="2"/>
  <c r="P55" i="2" s="1"/>
  <c r="S52" i="2" s="1"/>
  <c r="K58" i="2"/>
  <c r="G58" i="2"/>
  <c r="L56" i="2"/>
  <c r="K56" i="2"/>
  <c r="G56" i="2"/>
  <c r="L55" i="2"/>
  <c r="M52" i="2" s="1"/>
  <c r="R49" i="2" s="1"/>
  <c r="K55" i="2"/>
  <c r="G55" i="2"/>
  <c r="L53" i="2"/>
  <c r="K53" i="2"/>
  <c r="G53" i="2"/>
  <c r="L52" i="2"/>
  <c r="K52" i="2"/>
  <c r="G52" i="2"/>
  <c r="S51" i="2"/>
  <c r="R51" i="2"/>
  <c r="P51" i="2"/>
  <c r="S48" i="2" s="1"/>
  <c r="M51" i="2"/>
  <c r="R48" i="2" s="1"/>
  <c r="L51" i="2"/>
  <c r="M48" i="2" s="1"/>
  <c r="K51" i="2"/>
  <c r="G51" i="2"/>
  <c r="L49" i="2"/>
  <c r="P46" i="2" s="1"/>
  <c r="S43" i="2" s="1"/>
  <c r="K49" i="2"/>
  <c r="L48" i="2"/>
  <c r="K48" i="2"/>
  <c r="S47" i="2"/>
  <c r="R47" i="2"/>
  <c r="P47" i="2"/>
  <c r="S44" i="2" s="1"/>
  <c r="M47" i="2"/>
  <c r="R44" i="2" s="1"/>
  <c r="L47" i="2"/>
  <c r="P44" i="2" s="1"/>
  <c r="S41" i="2" s="1"/>
  <c r="K47" i="2"/>
  <c r="L46" i="2"/>
  <c r="M43" i="2" s="1"/>
  <c r="R40" i="2" s="1"/>
  <c r="K46" i="2"/>
  <c r="L44" i="2"/>
  <c r="K44" i="2"/>
  <c r="G44" i="2"/>
  <c r="L43" i="2"/>
  <c r="M40" i="2" s="1"/>
  <c r="R37" i="2" s="1"/>
  <c r="K43" i="2"/>
  <c r="G43" i="2"/>
  <c r="S42" i="2"/>
  <c r="R42" i="2"/>
  <c r="P42" i="2"/>
  <c r="M42" i="2"/>
  <c r="L42" i="2"/>
  <c r="K42" i="2"/>
  <c r="G42" i="2"/>
  <c r="L41" i="2"/>
  <c r="M38" i="2" s="1"/>
  <c r="R35" i="2" s="1"/>
  <c r="K41" i="2"/>
  <c r="G41" i="2"/>
  <c r="L40" i="2"/>
  <c r="K40" i="2"/>
  <c r="G40" i="2"/>
  <c r="L38" i="2"/>
  <c r="M35" i="2" s="1"/>
  <c r="R32" i="2" s="1"/>
  <c r="K38" i="2"/>
  <c r="G38" i="2"/>
  <c r="L37" i="2"/>
  <c r="K37" i="2"/>
  <c r="G37" i="2"/>
  <c r="S36" i="2"/>
  <c r="R36" i="2"/>
  <c r="P36" i="2"/>
  <c r="S33" i="2" s="1"/>
  <c r="M36" i="2"/>
  <c r="R33" i="2" s="1"/>
  <c r="L36" i="2"/>
  <c r="K36" i="2"/>
  <c r="G36" i="2"/>
  <c r="L35" i="2"/>
  <c r="M32" i="2" s="1"/>
  <c r="R29" i="2" s="1"/>
  <c r="K35" i="2"/>
  <c r="G35" i="2"/>
  <c r="L33" i="2"/>
  <c r="K33" i="2"/>
  <c r="G33" i="2"/>
  <c r="L32" i="2"/>
  <c r="M29" i="2" s="1"/>
  <c r="R26" i="2" s="1"/>
  <c r="K32" i="2"/>
  <c r="G32" i="2"/>
  <c r="S31" i="2"/>
  <c r="R31" i="2"/>
  <c r="P31" i="2"/>
  <c r="S28" i="2" s="1"/>
  <c r="M31" i="2"/>
  <c r="R28" i="2" s="1"/>
  <c r="L31" i="2"/>
  <c r="M28" i="2" s="1"/>
  <c r="R25" i="2" s="1"/>
  <c r="K31" i="2"/>
  <c r="G31" i="2"/>
  <c r="L29" i="2"/>
  <c r="M26" i="2" s="1"/>
  <c r="R23" i="2" s="1"/>
  <c r="K29" i="2"/>
  <c r="G29" i="2"/>
  <c r="L28" i="2"/>
  <c r="K28" i="2"/>
  <c r="G28" i="2"/>
  <c r="L26" i="2"/>
  <c r="M23" i="2" s="1"/>
  <c r="K26" i="2"/>
  <c r="G26" i="2"/>
  <c r="L25" i="2"/>
  <c r="M22" i="2" s="1"/>
  <c r="R19" i="2" s="1"/>
  <c r="K25" i="2"/>
  <c r="G25" i="2"/>
  <c r="L23" i="2"/>
  <c r="K23" i="2"/>
  <c r="G23" i="2"/>
  <c r="L22" i="2"/>
  <c r="K22" i="2"/>
  <c r="G22" i="2"/>
  <c r="S21" i="2"/>
  <c r="R21" i="2"/>
  <c r="P21" i="2"/>
  <c r="S18" i="2" s="1"/>
  <c r="M21" i="2"/>
  <c r="R18" i="2" s="1"/>
  <c r="L21" i="2"/>
  <c r="M18" i="2" s="1"/>
  <c r="R15" i="2" s="1"/>
  <c r="K21" i="2"/>
  <c r="G21" i="2"/>
  <c r="L19" i="2"/>
  <c r="P16" i="2" s="1"/>
  <c r="K19" i="2"/>
  <c r="G19" i="2"/>
  <c r="L18" i="2"/>
  <c r="M15" i="2" s="1"/>
  <c r="R12" i="2" s="1"/>
  <c r="K18" i="2"/>
  <c r="G18" i="2"/>
  <c r="S17" i="2"/>
  <c r="R17" i="2"/>
  <c r="P17" i="2"/>
  <c r="S14" i="2" s="1"/>
  <c r="M17" i="2"/>
  <c r="R14" i="2" s="1"/>
  <c r="L17" i="2"/>
  <c r="P14" i="2" s="1"/>
  <c r="S11" i="2" s="1"/>
  <c r="K17" i="2"/>
  <c r="G17" i="2"/>
  <c r="L16" i="2"/>
  <c r="K16" i="2"/>
  <c r="G16" i="2"/>
  <c r="L15" i="2"/>
  <c r="M12" i="2" s="1"/>
  <c r="R9" i="2" s="1"/>
  <c r="K15" i="2"/>
  <c r="G15" i="2"/>
  <c r="L14" i="2"/>
  <c r="M11" i="2" s="1"/>
  <c r="R8" i="2" s="1"/>
  <c r="K14" i="2"/>
  <c r="G14" i="2"/>
  <c r="L12" i="2"/>
  <c r="M9" i="2" s="1"/>
  <c r="K12" i="2"/>
  <c r="G12" i="2"/>
  <c r="L11" i="2"/>
  <c r="M8" i="2" s="1"/>
  <c r="K11" i="2"/>
  <c r="G11" i="2"/>
  <c r="L9" i="2"/>
  <c r="K9" i="2"/>
  <c r="G9" i="2"/>
  <c r="L8" i="2"/>
  <c r="K8" i="2"/>
  <c r="G8" i="2"/>
  <c r="O78" i="1"/>
  <c r="H78" i="1"/>
  <c r="K78" i="1" s="1"/>
  <c r="G78" i="1"/>
  <c r="F78" i="1"/>
  <c r="O77" i="1"/>
  <c r="H77" i="1"/>
  <c r="I77" i="1" s="1"/>
  <c r="M77" i="1" s="1"/>
  <c r="G77" i="1"/>
  <c r="F77" i="1"/>
  <c r="O76" i="1"/>
  <c r="H76" i="1"/>
  <c r="G76" i="1"/>
  <c r="F76" i="1"/>
  <c r="O75" i="1"/>
  <c r="H75" i="1"/>
  <c r="K75" i="1" s="1"/>
  <c r="L75" i="1" s="1"/>
  <c r="N75" i="1" s="1"/>
  <c r="G75" i="1"/>
  <c r="F75" i="1"/>
  <c r="O74" i="1"/>
  <c r="H74" i="1"/>
  <c r="K74" i="1" s="1"/>
  <c r="G74" i="1"/>
  <c r="F74" i="1"/>
  <c r="O73" i="1"/>
  <c r="H73" i="1"/>
  <c r="I73" i="1" s="1"/>
  <c r="M73" i="1" s="1"/>
  <c r="G73" i="1"/>
  <c r="F73" i="1"/>
  <c r="O72" i="1"/>
  <c r="H72" i="1"/>
  <c r="G72" i="1"/>
  <c r="F72" i="1"/>
  <c r="O71" i="1"/>
  <c r="H71" i="1"/>
  <c r="K71" i="1" s="1"/>
  <c r="L71" i="1" s="1"/>
  <c r="N71" i="1" s="1"/>
  <c r="G71" i="1"/>
  <c r="F71" i="1"/>
  <c r="O70" i="1"/>
  <c r="H70" i="1"/>
  <c r="K70" i="1" s="1"/>
  <c r="G70" i="1"/>
  <c r="F70" i="1"/>
  <c r="O69" i="1"/>
  <c r="H69" i="1"/>
  <c r="I69" i="1" s="1"/>
  <c r="M69" i="1" s="1"/>
  <c r="G69" i="1"/>
  <c r="F69" i="1"/>
  <c r="O68" i="1"/>
  <c r="H68" i="1"/>
  <c r="G68" i="1"/>
  <c r="F68" i="1"/>
  <c r="O67" i="1"/>
  <c r="H67" i="1"/>
  <c r="I67" i="1" s="1"/>
  <c r="M67" i="1" s="1"/>
  <c r="G67" i="1"/>
  <c r="F67" i="1"/>
  <c r="O65" i="1"/>
  <c r="H65" i="1"/>
  <c r="L65" i="1" s="1"/>
  <c r="N65" i="1" s="1"/>
  <c r="G65" i="1"/>
  <c r="F65" i="1"/>
  <c r="O63" i="1"/>
  <c r="H63" i="1"/>
  <c r="L63" i="1" s="1"/>
  <c r="N63" i="1" s="1"/>
  <c r="G63" i="1"/>
  <c r="F63" i="1"/>
  <c r="O62" i="1"/>
  <c r="H62" i="1"/>
  <c r="I62" i="1" s="1"/>
  <c r="M62" i="1" s="1"/>
  <c r="G62" i="1"/>
  <c r="F62" i="1"/>
  <c r="O61" i="1"/>
  <c r="H61" i="1"/>
  <c r="L61" i="1" s="1"/>
  <c r="N61" i="1" s="1"/>
  <c r="G61" i="1"/>
  <c r="F61" i="1"/>
  <c r="O60" i="1"/>
  <c r="H60" i="1"/>
  <c r="I60" i="1" s="1"/>
  <c r="M60" i="1" s="1"/>
  <c r="G60" i="1"/>
  <c r="F60" i="1"/>
  <c r="O58" i="1"/>
  <c r="H58" i="1"/>
  <c r="I58" i="1" s="1"/>
  <c r="M58" i="1" s="1"/>
  <c r="G58" i="1"/>
  <c r="F58" i="1"/>
  <c r="O57" i="1"/>
  <c r="H57" i="1"/>
  <c r="I57" i="1" s="1"/>
  <c r="M57" i="1" s="1"/>
  <c r="G57" i="1"/>
  <c r="F57" i="1"/>
  <c r="O55" i="1"/>
  <c r="H55" i="1"/>
  <c r="I55" i="1" s="1"/>
  <c r="M55" i="1" s="1"/>
  <c r="G55" i="1"/>
  <c r="F55" i="1"/>
  <c r="O54" i="1"/>
  <c r="H54" i="1"/>
  <c r="I54" i="1" s="1"/>
  <c r="M54" i="1" s="1"/>
  <c r="G54" i="1"/>
  <c r="F54" i="1"/>
  <c r="O53" i="1"/>
  <c r="H53" i="1"/>
  <c r="I53" i="1" s="1"/>
  <c r="M53" i="1" s="1"/>
  <c r="G53" i="1"/>
  <c r="F53" i="1"/>
  <c r="H51" i="1"/>
  <c r="L51" i="1" s="1"/>
  <c r="N51" i="1" s="1"/>
  <c r="G51" i="1"/>
  <c r="F51" i="1"/>
  <c r="H50" i="1"/>
  <c r="L50" i="1" s="1"/>
  <c r="N50" i="1" s="1"/>
  <c r="G50" i="1"/>
  <c r="F50" i="1"/>
  <c r="H49" i="1"/>
  <c r="I49" i="1" s="1"/>
  <c r="M49" i="1" s="1"/>
  <c r="G49" i="1"/>
  <c r="F49" i="1"/>
  <c r="H48" i="1"/>
  <c r="I48" i="1" s="1"/>
  <c r="M48" i="1" s="1"/>
  <c r="G48" i="1"/>
  <c r="F48" i="1"/>
  <c r="O46" i="1"/>
  <c r="H46" i="1"/>
  <c r="G46" i="1"/>
  <c r="F46" i="1"/>
  <c r="O45" i="1"/>
  <c r="H45" i="1"/>
  <c r="G45" i="1"/>
  <c r="F45" i="1"/>
  <c r="O44" i="1"/>
  <c r="H44" i="1"/>
  <c r="G44" i="1"/>
  <c r="F44" i="1"/>
  <c r="O43" i="1"/>
  <c r="H43" i="1"/>
  <c r="G43" i="1"/>
  <c r="F43" i="1"/>
  <c r="O42" i="1"/>
  <c r="H42" i="1"/>
  <c r="G42" i="1"/>
  <c r="F42" i="1"/>
  <c r="O40" i="1"/>
  <c r="H40" i="1"/>
  <c r="I40" i="1" s="1"/>
  <c r="M40" i="1" s="1"/>
  <c r="G40" i="1"/>
  <c r="F40" i="1"/>
  <c r="O39" i="1"/>
  <c r="H39" i="1"/>
  <c r="G39" i="1"/>
  <c r="F39" i="1"/>
  <c r="O38" i="1"/>
  <c r="H38" i="1"/>
  <c r="G38" i="1"/>
  <c r="F38" i="1"/>
  <c r="O37" i="1"/>
  <c r="H37" i="1"/>
  <c r="G37" i="1"/>
  <c r="F37" i="1"/>
  <c r="O35" i="1"/>
  <c r="H35" i="1"/>
  <c r="I35" i="1" s="1"/>
  <c r="M35" i="1" s="1"/>
  <c r="G35" i="1"/>
  <c r="F35" i="1"/>
  <c r="O34" i="1"/>
  <c r="H34" i="1"/>
  <c r="I34" i="1" s="1"/>
  <c r="M34" i="1" s="1"/>
  <c r="G34" i="1"/>
  <c r="F34" i="1"/>
  <c r="O33" i="1"/>
  <c r="H33" i="1"/>
  <c r="L33" i="1" s="1"/>
  <c r="N33" i="1" s="1"/>
  <c r="G33" i="1"/>
  <c r="F33" i="1"/>
  <c r="O31" i="1"/>
  <c r="H31" i="1"/>
  <c r="G31" i="1"/>
  <c r="F31" i="1"/>
  <c r="O30" i="1"/>
  <c r="H30" i="1"/>
  <c r="G30" i="1"/>
  <c r="F30" i="1"/>
  <c r="O28" i="1"/>
  <c r="H28" i="1"/>
  <c r="G28" i="1"/>
  <c r="F28" i="1"/>
  <c r="O27" i="1"/>
  <c r="H27" i="1"/>
  <c r="G27" i="1"/>
  <c r="F27" i="1"/>
  <c r="O25" i="1"/>
  <c r="H25" i="1"/>
  <c r="I25" i="1" s="1"/>
  <c r="M25" i="1" s="1"/>
  <c r="G25" i="1"/>
  <c r="F25" i="1"/>
  <c r="O24" i="1"/>
  <c r="H24" i="1"/>
  <c r="G24" i="1"/>
  <c r="F24" i="1"/>
  <c r="O23" i="1"/>
  <c r="H23" i="1"/>
  <c r="G23" i="1"/>
  <c r="F23" i="1"/>
  <c r="O21" i="1"/>
  <c r="H21" i="1"/>
  <c r="L21" i="1" s="1"/>
  <c r="N21" i="1" s="1"/>
  <c r="G21" i="1"/>
  <c r="F21" i="1"/>
  <c r="O20" i="1"/>
  <c r="H20" i="1"/>
  <c r="L20" i="1" s="1"/>
  <c r="N20" i="1" s="1"/>
  <c r="G20" i="1"/>
  <c r="F20" i="1"/>
  <c r="O19" i="1"/>
  <c r="H19" i="1"/>
  <c r="I19" i="1" s="1"/>
  <c r="M19" i="1" s="1"/>
  <c r="G19" i="1"/>
  <c r="F19" i="1"/>
  <c r="O18" i="1"/>
  <c r="H18" i="1"/>
  <c r="I18" i="1" s="1"/>
  <c r="M18" i="1" s="1"/>
  <c r="G18" i="1"/>
  <c r="F18" i="1"/>
  <c r="O17" i="1"/>
  <c r="H17" i="1"/>
  <c r="L17" i="1" s="1"/>
  <c r="N17" i="1" s="1"/>
  <c r="G17" i="1"/>
  <c r="F17" i="1"/>
  <c r="O16" i="1"/>
  <c r="H16" i="1"/>
  <c r="I16" i="1" s="1"/>
  <c r="M16" i="1" s="1"/>
  <c r="G16" i="1"/>
  <c r="F16" i="1"/>
  <c r="O14" i="1"/>
  <c r="H14" i="1"/>
  <c r="I14" i="1" s="1"/>
  <c r="M14" i="1" s="1"/>
  <c r="G14" i="1"/>
  <c r="F14" i="1"/>
  <c r="O13" i="1"/>
  <c r="H13" i="1"/>
  <c r="L13" i="1" s="1"/>
  <c r="N13" i="1" s="1"/>
  <c r="G13" i="1"/>
  <c r="F13" i="1"/>
  <c r="O11" i="1"/>
  <c r="H11" i="1"/>
  <c r="I11" i="1" s="1"/>
  <c r="M11" i="1" s="1"/>
  <c r="G11" i="1"/>
  <c r="F11" i="1"/>
  <c r="O10" i="1"/>
  <c r="H10" i="1"/>
  <c r="I10" i="1" s="1"/>
  <c r="M10" i="1" s="1"/>
  <c r="G10" i="1"/>
  <c r="F10" i="1"/>
  <c r="J27" i="1" l="1"/>
  <c r="L27" i="1" s="1"/>
  <c r="N27" i="1" s="1"/>
  <c r="J3" i="16"/>
  <c r="I12" i="16"/>
  <c r="J28" i="15"/>
  <c r="I20" i="10"/>
  <c r="P29" i="2"/>
  <c r="S26" i="2" s="1"/>
  <c r="I4" i="8"/>
  <c r="J30" i="1"/>
  <c r="L30" i="1" s="1"/>
  <c r="N30" i="1" s="1"/>
  <c r="N29" i="2"/>
  <c r="P26" i="2" s="1"/>
  <c r="S23" i="2" s="1"/>
  <c r="M44" i="2"/>
  <c r="R41" i="2" s="1"/>
  <c r="I12" i="11"/>
  <c r="P9" i="2"/>
  <c r="L18" i="1"/>
  <c r="N18" i="1" s="1"/>
  <c r="I3" i="10"/>
  <c r="I28" i="9"/>
  <c r="I28" i="16"/>
  <c r="I75" i="1"/>
  <c r="M75" i="1" s="1"/>
  <c r="I3" i="8"/>
  <c r="K77" i="1"/>
  <c r="L77" i="1" s="1"/>
  <c r="N77" i="1" s="1"/>
  <c r="I3" i="9"/>
  <c r="P63" i="2"/>
  <c r="S60" i="2" s="1"/>
  <c r="J27" i="9"/>
  <c r="I5" i="15"/>
  <c r="K69" i="1"/>
  <c r="L69" i="1" s="1"/>
  <c r="N69" i="1" s="1"/>
  <c r="I28" i="4"/>
  <c r="M70" i="2"/>
  <c r="R67" i="2" s="1"/>
  <c r="I19" i="9"/>
  <c r="N36" i="2" s="1"/>
  <c r="P33" i="2" s="1"/>
  <c r="N28" i="2"/>
  <c r="P25" i="2" s="1"/>
  <c r="S22" i="2" s="1"/>
  <c r="M55" i="2"/>
  <c r="R52" i="2" s="1"/>
  <c r="J20" i="9"/>
  <c r="J20" i="16"/>
  <c r="I19" i="6"/>
  <c r="J14" i="8"/>
  <c r="I20" i="8"/>
  <c r="L16" i="1"/>
  <c r="N16" i="1" s="1"/>
  <c r="I20" i="4"/>
  <c r="I19" i="8"/>
  <c r="I4" i="10"/>
  <c r="J14" i="15"/>
  <c r="I14" i="16"/>
  <c r="I63" i="1"/>
  <c r="M63" i="1" s="1"/>
  <c r="I74" i="1"/>
  <c r="M74" i="1" s="1"/>
  <c r="I3" i="4"/>
  <c r="I12" i="4"/>
  <c r="J28" i="5"/>
  <c r="I14" i="9"/>
  <c r="I14" i="11"/>
  <c r="J27" i="8"/>
  <c r="L10" i="1"/>
  <c r="N10" i="1" s="1"/>
  <c r="I20" i="1"/>
  <c r="M20" i="1" s="1"/>
  <c r="L49" i="1"/>
  <c r="N49" i="1" s="1"/>
  <c r="P60" i="2"/>
  <c r="P70" i="2"/>
  <c r="S67" i="2" s="1"/>
  <c r="J5" i="7"/>
  <c r="J14" i="7"/>
  <c r="I27" i="16"/>
  <c r="J57" i="1" s="1"/>
  <c r="L57" i="1" s="1"/>
  <c r="N57" i="1" s="1"/>
  <c r="L34" i="1"/>
  <c r="N34" i="1" s="1"/>
  <c r="L60" i="1"/>
  <c r="N60" i="1" s="1"/>
  <c r="K67" i="1"/>
  <c r="L67" i="1" s="1"/>
  <c r="N67" i="1" s="1"/>
  <c r="M46" i="2"/>
  <c r="R43" i="2" s="1"/>
  <c r="I14" i="5"/>
  <c r="J31" i="1" s="1"/>
  <c r="L31" i="1" s="1"/>
  <c r="N31" i="1" s="1"/>
  <c r="J5" i="6"/>
  <c r="I3" i="15"/>
  <c r="I12" i="10"/>
  <c r="I78" i="1"/>
  <c r="M78" i="1" s="1"/>
  <c r="K73" i="1"/>
  <c r="L73" i="1" s="1"/>
  <c r="N73" i="1" s="1"/>
  <c r="I20" i="7"/>
  <c r="I4" i="9"/>
  <c r="I12" i="9"/>
  <c r="I71" i="1"/>
  <c r="M71" i="1" s="1"/>
  <c r="P15" i="2"/>
  <c r="S12" i="2" s="1"/>
  <c r="I4" i="11"/>
  <c r="L14" i="1"/>
  <c r="N14" i="1" s="1"/>
  <c r="I21" i="1"/>
  <c r="M21" i="1" s="1"/>
  <c r="I70" i="1"/>
  <c r="M70" i="1" s="1"/>
  <c r="L19" i="1"/>
  <c r="N19" i="1" s="1"/>
  <c r="I45" i="1"/>
  <c r="M45" i="1" s="1"/>
  <c r="L62" i="1"/>
  <c r="N62" i="1" s="1"/>
  <c r="N43" i="2"/>
  <c r="P40" i="2" s="1"/>
  <c r="S37" i="2" s="1"/>
  <c r="P73" i="2"/>
  <c r="S70" i="2" s="1"/>
  <c r="J5" i="4"/>
  <c r="I3" i="6"/>
  <c r="J28" i="6"/>
  <c r="N40" i="2"/>
  <c r="P37" i="2" s="1"/>
  <c r="I31" i="1"/>
  <c r="M31" i="1" s="1"/>
  <c r="J45" i="1"/>
  <c r="L45" i="1" s="1"/>
  <c r="N45" i="1" s="1"/>
  <c r="L48" i="1"/>
  <c r="N48" i="1" s="1"/>
  <c r="J12" i="6"/>
  <c r="I12" i="7"/>
  <c r="L35" i="1"/>
  <c r="N35" i="1" s="1"/>
  <c r="L11" i="1"/>
  <c r="N11" i="1" s="1"/>
  <c r="I17" i="1"/>
  <c r="M17" i="1" s="1"/>
  <c r="I27" i="4"/>
  <c r="J28" i="1" s="1"/>
  <c r="L28" i="1" s="1"/>
  <c r="N28" i="1" s="1"/>
  <c r="I19" i="10"/>
  <c r="I27" i="10"/>
  <c r="I13" i="1"/>
  <c r="M13" i="1" s="1"/>
  <c r="P12" i="2"/>
  <c r="S9" i="2" s="1"/>
  <c r="P71" i="2"/>
  <c r="S68" i="2" s="1"/>
  <c r="J28" i="9"/>
  <c r="M16" i="2"/>
  <c r="J28" i="16"/>
  <c r="I28" i="7"/>
  <c r="J28" i="4"/>
  <c r="J3" i="5"/>
  <c r="J12" i="5"/>
  <c r="J20" i="6"/>
  <c r="I12" i="8"/>
  <c r="I28" i="10"/>
  <c r="I20" i="11"/>
  <c r="I19" i="15"/>
  <c r="N52" i="2" s="1"/>
  <c r="P49" i="2" s="1"/>
  <c r="S46" i="2" s="1"/>
  <c r="L70" i="1"/>
  <c r="N70" i="1" s="1"/>
  <c r="L74" i="1"/>
  <c r="N74" i="1" s="1"/>
  <c r="L78" i="1"/>
  <c r="N78" i="1" s="1"/>
  <c r="N56" i="2"/>
  <c r="P53" i="2" s="1"/>
  <c r="M67" i="2"/>
  <c r="P67" i="2"/>
  <c r="J28" i="8"/>
  <c r="I28" i="11"/>
  <c r="M73" i="2"/>
  <c r="R70" i="2" s="1"/>
  <c r="J28" i="7"/>
  <c r="J28" i="10"/>
  <c r="J28" i="11"/>
  <c r="P11" i="2"/>
  <c r="S8" i="2" s="1"/>
  <c r="M19" i="2"/>
  <c r="R16" i="2" s="1"/>
  <c r="I23" i="1"/>
  <c r="M23" i="1" s="1"/>
  <c r="I28" i="1"/>
  <c r="M28" i="1" s="1"/>
  <c r="I38" i="1"/>
  <c r="M38" i="1" s="1"/>
  <c r="I43" i="1"/>
  <c r="M43" i="1" s="1"/>
  <c r="M14" i="2"/>
  <c r="R11" i="2" s="1"/>
  <c r="P28" i="2"/>
  <c r="S25" i="2" s="1"/>
  <c r="N42" i="2"/>
  <c r="N55" i="2"/>
  <c r="P52" i="2" s="1"/>
  <c r="S49" i="2" s="1"/>
  <c r="P66" i="2"/>
  <c r="S63" i="2" s="1"/>
  <c r="P69" i="2"/>
  <c r="S66" i="2" s="1"/>
  <c r="P72" i="2"/>
  <c r="S69" i="2" s="1"/>
  <c r="I28" i="8"/>
  <c r="I44" i="1"/>
  <c r="M44" i="1" s="1"/>
  <c r="M65" i="2"/>
  <c r="M68" i="2"/>
  <c r="R65" i="2" s="1"/>
  <c r="M71" i="2"/>
  <c r="R68" i="2" s="1"/>
  <c r="I61" i="1"/>
  <c r="M61" i="1" s="1"/>
  <c r="P43" i="2"/>
  <c r="S40" i="2" s="1"/>
  <c r="I50" i="1"/>
  <c r="M50" i="1" s="1"/>
  <c r="I72" i="1"/>
  <c r="M72" i="1" s="1"/>
  <c r="I76" i="1"/>
  <c r="M76" i="1" s="1"/>
  <c r="I27" i="1"/>
  <c r="M27" i="1" s="1"/>
  <c r="I33" i="1"/>
  <c r="M33" i="1" s="1"/>
  <c r="I37" i="1"/>
  <c r="M37" i="1" s="1"/>
  <c r="I42" i="1"/>
  <c r="M42" i="1" s="1"/>
  <c r="I46" i="1"/>
  <c r="M46" i="1" s="1"/>
  <c r="K68" i="1"/>
  <c r="L68" i="1" s="1"/>
  <c r="N68" i="1" s="1"/>
  <c r="K72" i="1"/>
  <c r="L72" i="1" s="1"/>
  <c r="N72" i="1" s="1"/>
  <c r="K76" i="1"/>
  <c r="L76" i="1" s="1"/>
  <c r="N76" i="1" s="1"/>
  <c r="N26" i="2"/>
  <c r="P23" i="2" s="1"/>
  <c r="M37" i="2"/>
  <c r="M41" i="2"/>
  <c r="R38" i="2" s="1"/>
  <c r="M53" i="2"/>
  <c r="M58" i="2"/>
  <c r="R55" i="2" s="1"/>
  <c r="O65" i="2"/>
  <c r="O68" i="2"/>
  <c r="P65" i="2" s="1"/>
  <c r="O71" i="2"/>
  <c r="P68" i="2" s="1"/>
  <c r="S65" i="2" s="1"/>
  <c r="I68" i="1"/>
  <c r="M68" i="1" s="1"/>
  <c r="M33" i="2"/>
  <c r="N41" i="2"/>
  <c r="P38" i="2" s="1"/>
  <c r="S35" i="2" s="1"/>
  <c r="N44" i="2"/>
  <c r="P41" i="2" s="1"/>
  <c r="S38" i="2" s="1"/>
  <c r="M49" i="2"/>
  <c r="R46" i="2" s="1"/>
  <c r="I39" i="1"/>
  <c r="M39" i="1" s="1"/>
  <c r="P56" i="2"/>
  <c r="S53" i="2" s="1"/>
  <c r="I65" i="1"/>
  <c r="M65" i="1" s="1"/>
  <c r="P8" i="2"/>
  <c r="M25" i="2"/>
  <c r="R22" i="2" s="1"/>
  <c r="I14" i="10"/>
  <c r="I3" i="11"/>
  <c r="I19" i="11"/>
  <c r="I27" i="11"/>
  <c r="I12" i="15"/>
  <c r="I20" i="15"/>
  <c r="I5" i="16"/>
  <c r="I24" i="1"/>
  <c r="M24" i="1" s="1"/>
  <c r="I30" i="1"/>
  <c r="M30" i="1" s="1"/>
  <c r="I51" i="1"/>
  <c r="M51" i="1" s="1"/>
  <c r="N25" i="2"/>
  <c r="P22" i="2" s="1"/>
  <c r="S19" i="2" s="1"/>
  <c r="M63" i="2"/>
  <c r="R60" i="2" s="1"/>
  <c r="M66" i="2"/>
  <c r="R63" i="2" s="1"/>
  <c r="M69" i="2"/>
  <c r="R66" i="2" s="1"/>
  <c r="M72" i="2"/>
  <c r="R69" i="2" s="1"/>
  <c r="I5" i="5"/>
  <c r="I14" i="6"/>
  <c r="I3" i="7"/>
  <c r="I27" i="7"/>
  <c r="J42" i="1" s="1"/>
  <c r="L42" i="1" s="1"/>
  <c r="N42" i="1" s="1"/>
  <c r="J23" i="1" l="1"/>
  <c r="L23" i="1" s="1"/>
  <c r="N23" i="1" s="1"/>
  <c r="J40" i="1"/>
  <c r="L40" i="1" s="1"/>
  <c r="N40" i="1" s="1"/>
  <c r="J39" i="1"/>
  <c r="L39" i="1" s="1"/>
  <c r="N39" i="1" s="1"/>
  <c r="J46" i="1"/>
  <c r="L46" i="1" s="1"/>
  <c r="N46" i="1" s="1"/>
  <c r="J43" i="1"/>
  <c r="L43" i="1" s="1"/>
  <c r="N43" i="1" s="1"/>
  <c r="J44" i="1"/>
  <c r="L44" i="1" s="1"/>
  <c r="N44" i="1" s="1"/>
  <c r="J58" i="1"/>
  <c r="L58" i="1" s="1"/>
  <c r="N58" i="1" s="1"/>
  <c r="N22" i="2"/>
  <c r="P19" i="2" s="1"/>
  <c r="S16" i="2" s="1"/>
  <c r="N23" i="2"/>
  <c r="J24" i="1"/>
  <c r="L24" i="1" s="1"/>
  <c r="N24" i="1" s="1"/>
  <c r="N21" i="2"/>
  <c r="P18" i="2" s="1"/>
  <c r="S15" i="2" s="1"/>
  <c r="J25" i="1"/>
  <c r="L25" i="1" s="1"/>
  <c r="N25" i="1" s="1"/>
  <c r="N35" i="2"/>
  <c r="P32" i="2" s="1"/>
  <c r="S29" i="2" s="1"/>
  <c r="J37" i="1"/>
  <c r="L37" i="1" s="1"/>
  <c r="N37" i="1" s="1"/>
  <c r="J38" i="1"/>
  <c r="L38" i="1" s="1"/>
  <c r="N38" i="1" s="1"/>
  <c r="N37" i="2"/>
  <c r="N51" i="2"/>
  <c r="P48" i="2" s="1"/>
  <c r="J55" i="1"/>
  <c r="L55" i="1" s="1"/>
  <c r="N55" i="1" s="1"/>
  <c r="J53" i="1"/>
  <c r="L53" i="1" s="1"/>
  <c r="N53" i="1" s="1"/>
  <c r="J54" i="1"/>
  <c r="L54" i="1" s="1"/>
  <c r="N54" i="1" s="1"/>
  <c r="N80" i="1"/>
  <c r="N53" i="2"/>
  <c r="S79" i="2"/>
  <c r="N38" i="2"/>
  <c r="P35" i="2" s="1"/>
  <c r="S32" i="2" s="1"/>
  <c r="S83" i="2" l="1"/>
  <c r="N84" i="1"/>
  <c r="N8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  <comment ref="C20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Renato Pin:
Com 2% FCP</t>
        </r>
      </text>
    </comment>
    <comment ref="C26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  <comment ref="C20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Renato Pin:
Com 2% FCP</t>
        </r>
      </text>
    </comment>
    <comment ref="C26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  <comment ref="C20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Renato Pin:
Com 2% FCP</t>
        </r>
      </text>
    </comment>
    <comment ref="C26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  <comment ref="C20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Renato Pin:
Com 2% FCP</t>
        </r>
      </text>
    </comment>
    <comment ref="C26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</commentList>
</comments>
</file>

<file path=xl/sharedStrings.xml><?xml version="1.0" encoding="utf-8"?>
<sst xmlns="http://schemas.openxmlformats.org/spreadsheetml/2006/main" count="928" uniqueCount="189">
  <si>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</si>
  <si>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</si>
  <si>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</si>
  <si>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</si>
  <si>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UF</t>
  </si>
  <si>
    <t>PR</t>
  </si>
  <si>
    <t>NÃO</t>
  </si>
  <si>
    <t>ESPECIAL</t>
  </si>
  <si>
    <t>Descrição</t>
  </si>
  <si>
    <t>Código</t>
  </si>
  <si>
    <t>TOTAL Caixas</t>
  </si>
  <si>
    <t>TOTAL Itens</t>
  </si>
  <si>
    <t>Crédito ICMS (%)</t>
  </si>
  <si>
    <t>Valor Unit.</t>
  </si>
  <si>
    <t>Valor Caixa</t>
  </si>
  <si>
    <t>SUBSTITUIÇÃO TRIBUTÁRIA UN</t>
  </si>
  <si>
    <t>IPI</t>
  </si>
  <si>
    <t>Valor Caixa + ST</t>
  </si>
  <si>
    <t>Valor TOTAL</t>
  </si>
  <si>
    <t>Valor TOTAL + ST (*)</t>
  </si>
  <si>
    <t>Preço Sugerido</t>
  </si>
  <si>
    <t>Papinha Papapa Carne Arroz Legumes 120g</t>
  </si>
  <si>
    <t>Papinha Papapa Frango Grão Vegetais 120g</t>
  </si>
  <si>
    <t>Papinha Papapa Iogurte Frutas Amarelas e Banana 100g</t>
  </si>
  <si>
    <t>Papinha Papapa Iogurte Frutas Vermelhas e Banana 100g</t>
  </si>
  <si>
    <t>Papinha Papapá Org Maçã Ameixa 100g</t>
  </si>
  <si>
    <t>Papinha Papapá Org Banana Mirtilo Quinoa 100g</t>
  </si>
  <si>
    <t>Papinha Papapá Org Manga 100g</t>
  </si>
  <si>
    <t>Papinha Papapá Org Pera Espinafre Abobrinha 100g</t>
  </si>
  <si>
    <t>Papinha Papapá Org Maçã B. Doce Cenoura 100g</t>
  </si>
  <si>
    <t>Papinha Papapá Org Morango Maçã 100g</t>
  </si>
  <si>
    <t>Biscoito inf Papapá org. Beterraba 20g</t>
  </si>
  <si>
    <t>Biscoito inf Papapá org. Cenoura 20g</t>
  </si>
  <si>
    <t>Biscoito inf Papapá org. Tomate/Manjericão 20g</t>
  </si>
  <si>
    <t>Biscoito Inf Papapá dent. Maçã e Abóbora 36g</t>
  </si>
  <si>
    <t>Biscoito Inf Papapá dent Vegetais 36g</t>
  </si>
  <si>
    <t>Macarrao Inf Papapá m. Elbow Quinoa 200g</t>
  </si>
  <si>
    <t>Macarrao Inf Papapá m. Fusilli Vegetais 200g</t>
  </si>
  <si>
    <t>Sopinha  Papapá org Lentinha Carne Legumes 180g</t>
  </si>
  <si>
    <t>Risotinho Papapá org Arroz quinoa frango 180g</t>
  </si>
  <si>
    <t>Caseirinho Papapá org Arroz feijão carne leg. 180g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</si>
  <si>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</si>
  <si>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</si>
  <si>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</si>
  <si>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</si>
  <si>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Biscoito Infantil Papapá Biscotti com Laranja e Cenoura 60g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</si>
  <si>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</si>
  <si>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</si>
  <si>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</si>
  <si>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</si>
  <si>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</si>
  <si>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Sopinha Papapá Carne Macarrao Legumes 240g (2x 120g)</t>
  </si>
  <si>
    <t>Sopinha Papapá Carne Mandioq Leg 240g (2x 120g)</t>
  </si>
  <si>
    <t>Sopinha Papapá Feijão Carne Leg 240g (2x 120g)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</si>
  <si>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</si>
  <si>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</si>
  <si>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</si>
  <si>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</si>
  <si>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</si>
  <si>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</si>
  <si>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</si>
  <si>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</si>
  <si>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</si>
  <si>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</si>
  <si>
    <t>Kit De Talheres Infantil - Azul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</si>
  <si>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</si>
  <si>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</si>
  <si>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</si>
  <si>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</si>
  <si>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</si>
  <si>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</si>
  <si>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</si>
  <si>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</si>
  <si>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</si>
  <si>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</si>
  <si>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</si>
  <si>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(*) quando inside ST ou IPI o respectivo</t>
  </si>
  <si>
    <t>valor do imposto é adicionado nestas colunas</t>
  </si>
  <si>
    <t>VALOR TOTAL PRODUTOS (R$):</t>
  </si>
  <si>
    <t>VALOR ST (R$):</t>
  </si>
  <si>
    <t>VALOR TOTAL PEDIDO (R$):</t>
  </si>
  <si>
    <t>E-mail XML:</t>
  </si>
  <si>
    <t>Embalagem</t>
  </si>
  <si>
    <t xml:space="preserve">Validade </t>
  </si>
  <si>
    <t>PSC</t>
  </si>
  <si>
    <t>NCM</t>
  </si>
  <si>
    <t>Ean 13</t>
  </si>
  <si>
    <t>Dun 14</t>
  </si>
  <si>
    <t>SUBSTITUIÇÃO TRIBUTÁRIA*</t>
  </si>
  <si>
    <t>IPI*</t>
  </si>
  <si>
    <t>Valor Caixa + ST + IPI</t>
  </si>
  <si>
    <t>12 x 120g</t>
  </si>
  <si>
    <t>12 meses</t>
  </si>
  <si>
    <t>2104.20.00</t>
  </si>
  <si>
    <t>16 x 100g</t>
  </si>
  <si>
    <t>15 meses</t>
  </si>
  <si>
    <t>12 x 100g</t>
  </si>
  <si>
    <t>16 meses</t>
  </si>
  <si>
    <t>7898994908746</t>
  </si>
  <si>
    <t>16 x 20g</t>
  </si>
  <si>
    <t>9 meses</t>
  </si>
  <si>
    <t>1904.10.00</t>
  </si>
  <si>
    <t>12 x 36g</t>
  </si>
  <si>
    <t>1905.90.20</t>
  </si>
  <si>
    <t>12 x 200g</t>
  </si>
  <si>
    <t>14 meses</t>
  </si>
  <si>
    <t>19.02.19.00</t>
  </si>
  <si>
    <t>6 x 180g</t>
  </si>
  <si>
    <t>12 x 170g</t>
  </si>
  <si>
    <t>19.01.10.30</t>
  </si>
  <si>
    <t>12 x 500g</t>
  </si>
  <si>
    <t>12 x 60g</t>
  </si>
  <si>
    <t>10 meses</t>
  </si>
  <si>
    <t>6 x 240g</t>
  </si>
  <si>
    <t xml:space="preserve">12 meses </t>
  </si>
  <si>
    <t>18 x 40g</t>
  </si>
  <si>
    <t>8x30g</t>
  </si>
  <si>
    <t xml:space="preserve">27  x 200 ml </t>
  </si>
  <si>
    <t>8 meses</t>
  </si>
  <si>
    <t>2202.99.00</t>
  </si>
  <si>
    <t>6 meses</t>
  </si>
  <si>
    <t xml:space="preserve">1un </t>
  </si>
  <si>
    <t>Indeterminado</t>
  </si>
  <si>
    <t>3924.10.00</t>
  </si>
  <si>
    <t>(*) quando inside ST ou IPI o respectivo valor do imposto é adicionado nestas colunas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</si>
  <si>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</si>
  <si>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</si>
  <si>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</si>
  <si>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</si>
  <si>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</si>
  <si>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</si>
  <si>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</si>
  <si>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</si>
  <si>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</si>
  <si>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</si>
  <si>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</si>
  <si>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</si>
  <si>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</si>
  <si>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</si>
  <si>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</si>
  <si>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</si>
  <si>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</si>
  <si>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</si>
  <si>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</si>
  <si>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</si>
  <si>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</si>
  <si>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</si>
  <si>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</si>
  <si>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</si>
  <si>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</si>
  <si>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</si>
  <si>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</si>
  <si>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</si>
  <si>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</si>
  <si>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</si>
  <si>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</si>
  <si>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</si>
  <si>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</si>
  <si>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</si>
  <si>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</si>
  <si>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</si>
  <si>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</si>
  <si>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</si>
  <si>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</si>
  <si>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comunicado enviado 1/26 - suspensão da ST para palitinhos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</si>
  <si>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</si>
  <si>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</si>
  <si>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</si>
  <si>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</si>
  <si>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</si>
  <si>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</si>
  <si>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</si>
  <si>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</si>
  <si>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</si>
  <si>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</si>
  <si>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</si>
  <si>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</si>
  <si>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</si>
  <si>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</si>
  <si>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</si>
  <si>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</si>
  <si>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</si>
  <si>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</si>
  <si>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</si>
  <si>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</si>
  <si>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</si>
  <si>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icms 7%</t>
  </si>
  <si>
    <t>CONSUMIDOR</t>
  </si>
  <si>
    <t>0626E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</si>
</sst>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\R\$\ 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name val="Century Gothic"/>
      <family val="2"/>
    </font>
    <font>
      <b/>
      <sz val="8"/>
      <color rgb="FFFF0000"/>
      <name val="Calibri"/>
      <family val="2"/>
    </font>
    <font>
      <sz val="8"/>
      <color rgb="FFFF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7FFD"/>
        <bgColor indexed="64"/>
      </patternFill>
    </fill>
    <fill>
      <patternFill patternType="solid">
        <fgColor rgb="FFDC7FFD"/>
        <bgColor rgb="FF000000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44" fontId="1" fillId="0" borderId="0"/>
    <xf numFmtId="9" fontId="1" fillId="0" borderId="0"/>
    <xf numFmtId="0" fontId="6" fillId="0" borderId="0"/>
    <xf numFmtId="9" fontId="6" fillId="0" borderId="0"/>
    <xf numFmtId="0" fontId="9" fillId="5" borderId="0"/>
    <xf numFmtId="0" fontId="1" fillId="6" borderId="0"/>
    <xf numFmtId="0" fontId="1" fillId="7" borderId="0"/>
    <xf numFmtId="43" fontId="1" fillId="0" borderId="0"/>
  </cellStyleXfs>
  <cellXfs count="211">
    <xf numFmtId="0" fontId="0" fillId="0" borderId="0" xfId="0"/>
    <xf numFmtId="0" fontId="2" fillId="0" borderId="8" xfId="0" applyFont="1" applyBorder="1" applyAlignment="1">
      <alignment horizontal="center" vertical="center"/>
    </xf>
    <xf numFmtId="10" fontId="2" fillId="0" borderId="8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8" xfId="2" applyNumberFormat="1" applyFont="1" applyBorder="1" applyAlignment="1">
      <alignment horizontal="center" vertical="center"/>
    </xf>
    <xf numFmtId="44" fontId="0" fillId="0" borderId="0" xfId="0" applyNumberFormat="1"/>
    <xf numFmtId="44" fontId="1" fillId="0" borderId="0" xfId="1"/>
    <xf numFmtId="0" fontId="10" fillId="9" borderId="0" xfId="0" applyFont="1" applyFill="1" applyAlignment="1">
      <alignment horizontal="center" vertical="center"/>
    </xf>
    <xf numFmtId="44" fontId="10" fillId="0" borderId="0" xfId="1" applyFont="1"/>
    <xf numFmtId="44" fontId="10" fillId="0" borderId="0" xfId="0" applyNumberFormat="1" applyFont="1"/>
    <xf numFmtId="0" fontId="11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44" fontId="10" fillId="11" borderId="0" xfId="1" applyFont="1" applyFill="1"/>
    <xf numFmtId="44" fontId="4" fillId="0" borderId="0" xfId="1" applyFont="1"/>
    <xf numFmtId="0" fontId="4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1" fontId="13" fillId="7" borderId="11" xfId="7" applyNumberFormat="1" applyFont="1" applyBorder="1" applyAlignment="1">
      <alignment horizontal="center" vertical="center"/>
    </xf>
    <xf numFmtId="0" fontId="13" fillId="7" borderId="4" xfId="7" applyFont="1" applyBorder="1" applyAlignment="1">
      <alignment horizontal="center"/>
    </xf>
    <xf numFmtId="1" fontId="13" fillId="7" borderId="4" xfId="7" applyNumberFormat="1" applyFont="1" applyBorder="1" applyAlignment="1">
      <alignment horizontal="center" vertical="center"/>
    </xf>
    <xf numFmtId="9" fontId="13" fillId="7" borderId="4" xfId="7" applyNumberFormat="1" applyFont="1" applyBorder="1" applyAlignment="1">
      <alignment horizontal="center"/>
    </xf>
    <xf numFmtId="0" fontId="12" fillId="4" borderId="4" xfId="0" applyFont="1" applyFill="1" applyBorder="1" applyAlignment="1" applyProtection="1">
      <alignment horizontal="center"/>
      <protection locked="0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2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8" fillId="3" borderId="0" xfId="0" applyFont="1" applyFill="1"/>
    <xf numFmtId="0" fontId="5" fillId="3" borderId="0" xfId="0" applyFont="1" applyFill="1"/>
    <xf numFmtId="0" fontId="4" fillId="0" borderId="0" xfId="0" applyFont="1" applyAlignment="1">
      <alignment horizontal="center" vertical="center" wrapText="1"/>
    </xf>
    <xf numFmtId="1" fontId="13" fillId="8" borderId="4" xfId="0" applyNumberFormat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/>
    </xf>
    <xf numFmtId="9" fontId="13" fillId="8" borderId="4" xfId="0" applyNumberFormat="1" applyFont="1" applyFill="1" applyBorder="1" applyAlignment="1">
      <alignment horizontal="center"/>
    </xf>
    <xf numFmtId="0" fontId="13" fillId="0" borderId="12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2" fillId="8" borderId="0" xfId="0" applyFont="1" applyFill="1" applyAlignment="1">
      <alignment horizontal="left" vertical="center"/>
    </xf>
    <xf numFmtId="0" fontId="12" fillId="0" borderId="0" xfId="0" applyFont="1"/>
    <xf numFmtId="1" fontId="13" fillId="8" borderId="0" xfId="0" applyNumberFormat="1" applyFont="1" applyFill="1" applyAlignment="1">
      <alignment horizontal="center" vertical="center"/>
    </xf>
    <xf numFmtId="0" fontId="13" fillId="8" borderId="0" xfId="0" applyFont="1" applyFill="1" applyAlignment="1">
      <alignment horizontal="center"/>
    </xf>
    <xf numFmtId="9" fontId="13" fillId="8" borderId="0" xfId="0" applyNumberFormat="1" applyFont="1" applyFill="1" applyAlignment="1">
      <alignment horizontal="center"/>
    </xf>
    <xf numFmtId="0" fontId="3" fillId="0" borderId="6" xfId="0" applyFont="1" applyBorder="1"/>
    <xf numFmtId="3" fontId="3" fillId="0" borderId="0" xfId="0" applyNumberFormat="1" applyFont="1"/>
    <xf numFmtId="43" fontId="0" fillId="0" borderId="0" xfId="8" applyFont="1"/>
    <xf numFmtId="44" fontId="1" fillId="12" borderId="0" xfId="1" applyFill="1"/>
    <xf numFmtId="43" fontId="0" fillId="12" borderId="0" xfId="8" applyFont="1" applyFill="1"/>
    <xf numFmtId="44" fontId="0" fillId="12" borderId="0" xfId="1" applyFont="1" applyFill="1"/>
    <xf numFmtId="10" fontId="1" fillId="13" borderId="0" xfId="2" applyNumberFormat="1" applyFill="1" applyAlignment="1">
      <alignment horizontal="center" vertical="center"/>
    </xf>
    <xf numFmtId="164" fontId="1" fillId="13" borderId="0" xfId="2" applyNumberFormat="1" applyFill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0" fillId="0" borderId="0" xfId="0" applyFont="1"/>
    <xf numFmtId="0" fontId="17" fillId="0" borderId="8" xfId="0" applyFont="1" applyBorder="1" applyAlignment="1">
      <alignment horizontal="center" vertical="center"/>
    </xf>
    <xf numFmtId="0" fontId="18" fillId="13" borderId="8" xfId="0" applyFont="1" applyFill="1" applyBorder="1" applyAlignment="1">
      <alignment horizontal="center" vertical="center"/>
    </xf>
    <xf numFmtId="44" fontId="19" fillId="10" borderId="0" xfId="1" applyFont="1" applyFill="1"/>
    <xf numFmtId="44" fontId="19" fillId="10" borderId="0" xfId="0" applyNumberFormat="1" applyFont="1" applyFill="1"/>
    <xf numFmtId="0" fontId="0" fillId="14" borderId="0" xfId="0" applyFill="1" applyAlignment="1">
      <alignment horizontal="center" vertical="center"/>
    </xf>
    <xf numFmtId="44" fontId="0" fillId="14" borderId="0" xfId="0" applyNumberFormat="1" applyFill="1"/>
    <xf numFmtId="0" fontId="9" fillId="15" borderId="4" xfId="5" applyFill="1" applyBorder="1" applyAlignment="1">
      <alignment horizontal="center" vertical="center"/>
    </xf>
    <xf numFmtId="8" fontId="1" fillId="16" borderId="4" xfId="6" applyNumberFormat="1" applyFill="1" applyBorder="1"/>
    <xf numFmtId="44" fontId="1" fillId="16" borderId="4" xfId="6" applyNumberFormat="1" applyFill="1" applyBorder="1"/>
    <xf numFmtId="0" fontId="4" fillId="0" borderId="0" xfId="0" applyFont="1" applyAlignment="1">
      <alignment horizontal="left" vertical="center" wrapText="1"/>
    </xf>
    <xf numFmtId="0" fontId="13" fillId="7" borderId="11" xfId="7" applyFont="1" applyBorder="1" applyAlignment="1">
      <alignment horizontal="center"/>
    </xf>
    <xf numFmtId="9" fontId="13" fillId="7" borderId="11" xfId="7" applyNumberFormat="1" applyFont="1" applyBorder="1" applyAlignment="1">
      <alignment horizontal="center"/>
    </xf>
    <xf numFmtId="0" fontId="12" fillId="4" borderId="11" xfId="0" applyFont="1" applyFill="1" applyBorder="1" applyAlignment="1" applyProtection="1">
      <alignment horizontal="center"/>
      <protection locked="0"/>
    </xf>
    <xf numFmtId="0" fontId="10" fillId="18" borderId="0" xfId="0" applyFont="1" applyFill="1" applyAlignment="1">
      <alignment horizontal="center" vertical="center"/>
    </xf>
    <xf numFmtId="44" fontId="10" fillId="17" borderId="0" xfId="1" applyFont="1" applyFill="1"/>
    <xf numFmtId="44" fontId="19" fillId="18" borderId="0" xfId="1" applyFont="1" applyFill="1"/>
    <xf numFmtId="44" fontId="19" fillId="18" borderId="0" xfId="0" applyNumberFormat="1" applyFont="1" applyFill="1"/>
    <xf numFmtId="44" fontId="0" fillId="19" borderId="0" xfId="1" applyFont="1" applyFill="1"/>
    <xf numFmtId="44" fontId="1" fillId="19" borderId="0" xfId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ill="1" applyAlignment="1">
      <alignment horizontal="center" vertical="center"/>
    </xf>
    <xf numFmtId="10" fontId="1" fillId="20" borderId="0" xfId="2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9" fontId="1" fillId="13" borderId="0" xfId="2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ill="1" applyAlignment="1">
      <alignment horizontal="center" vertical="center"/>
    </xf>
    <xf numFmtId="10" fontId="1" fillId="21" borderId="0" xfId="2" applyNumberFormat="1" applyFill="1" applyAlignment="1">
      <alignment horizontal="center" vertical="center"/>
    </xf>
    <xf numFmtId="164" fontId="1" fillId="20" borderId="0" xfId="2" applyNumberFormat="1" applyFill="1" applyAlignment="1">
      <alignment horizontal="center" vertical="center"/>
    </xf>
    <xf numFmtId="0" fontId="10" fillId="14" borderId="0" xfId="0" applyFont="1" applyFill="1"/>
    <xf numFmtId="0" fontId="7" fillId="2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23" borderId="8" xfId="0" applyFont="1" applyFill="1" applyBorder="1" applyAlignment="1">
      <alignment horizontal="center" vertical="center" wrapText="1"/>
    </xf>
    <xf numFmtId="44" fontId="11" fillId="24" borderId="0" xfId="0" applyNumberFormat="1" applyFont="1" applyFill="1"/>
    <xf numFmtId="0" fontId="14" fillId="15" borderId="0" xfId="0" applyFont="1" applyFill="1" applyAlignment="1">
      <alignment horizontal="center"/>
    </xf>
    <xf numFmtId="0" fontId="7" fillId="0" borderId="8" xfId="0" applyFont="1" applyBorder="1" applyAlignment="1">
      <alignment horizontal="center" vertical="center"/>
    </xf>
    <xf numFmtId="44" fontId="19" fillId="0" borderId="0" xfId="1" applyFont="1"/>
    <xf numFmtId="44" fontId="21" fillId="0" borderId="0" xfId="1" applyFont="1"/>
    <xf numFmtId="0" fontId="10" fillId="25" borderId="0" xfId="0" applyFont="1" applyFill="1" applyAlignment="1">
      <alignment horizontal="center" vertical="center"/>
    </xf>
    <xf numFmtId="44" fontId="0" fillId="21" borderId="0" xfId="0" applyNumberFormat="1" applyFill="1"/>
    <xf numFmtId="44" fontId="22" fillId="24" borderId="0" xfId="0" applyNumberFormat="1" applyFont="1" applyFill="1"/>
    <xf numFmtId="0" fontId="0" fillId="14" borderId="0" xfId="0" applyFill="1"/>
    <xf numFmtId="0" fontId="14" fillId="14" borderId="0" xfId="0" applyFont="1" applyFill="1"/>
    <xf numFmtId="1" fontId="13" fillId="7" borderId="3" xfId="7" applyNumberFormat="1" applyFont="1" applyBorder="1" applyAlignment="1">
      <alignment horizontal="center" vertical="center"/>
    </xf>
    <xf numFmtId="1" fontId="13" fillId="7" borderId="1" xfId="7" applyNumberFormat="1" applyFont="1" applyBorder="1" applyAlignment="1">
      <alignment horizontal="center" vertical="center"/>
    </xf>
    <xf numFmtId="0" fontId="12" fillId="4" borderId="0" xfId="0" applyFont="1" applyFill="1" applyAlignment="1" applyProtection="1">
      <alignment horizontal="center"/>
      <protection locked="0"/>
    </xf>
    <xf numFmtId="1" fontId="13" fillId="0" borderId="4" xfId="7" applyNumberFormat="1" applyFont="1" applyFill="1" applyBorder="1" applyAlignment="1">
      <alignment horizontal="center" vertical="center"/>
    </xf>
    <xf numFmtId="0" fontId="13" fillId="0" borderId="4" xfId="7" applyFont="1" applyFill="1" applyBorder="1" applyAlignment="1">
      <alignment horizontal="center"/>
    </xf>
    <xf numFmtId="9" fontId="13" fillId="0" borderId="4" xfId="7" applyNumberFormat="1" applyFont="1" applyFill="1" applyBorder="1" applyAlignment="1">
      <alignment horizontal="center"/>
    </xf>
    <xf numFmtId="0" fontId="12" fillId="0" borderId="3" xfId="7" applyFont="1" applyFill="1" applyBorder="1" applyAlignment="1">
      <alignment vertical="center"/>
    </xf>
    <xf numFmtId="0" fontId="12" fillId="0" borderId="2" xfId="7" applyFont="1" applyFill="1" applyBorder="1" applyAlignment="1">
      <alignment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9" fontId="13" fillId="0" borderId="4" xfId="0" applyNumberFormat="1" applyFont="1" applyBorder="1" applyAlignment="1">
      <alignment horizontal="center"/>
    </xf>
    <xf numFmtId="0" fontId="12" fillId="7" borderId="3" xfId="7" applyFont="1" applyBorder="1" applyAlignment="1">
      <alignment vertical="center"/>
    </xf>
    <xf numFmtId="0" fontId="12" fillId="7" borderId="2" xfId="7" applyFont="1" applyBorder="1" applyAlignment="1">
      <alignment vertical="center"/>
    </xf>
    <xf numFmtId="1" fontId="13" fillId="26" borderId="4" xfId="0" applyNumberFormat="1" applyFont="1" applyFill="1" applyBorder="1" applyAlignment="1">
      <alignment horizontal="center" vertical="center"/>
    </xf>
    <xf numFmtId="0" fontId="13" fillId="26" borderId="4" xfId="0" applyFont="1" applyFill="1" applyBorder="1" applyAlignment="1">
      <alignment horizontal="center"/>
    </xf>
    <xf numFmtId="9" fontId="13" fillId="26" borderId="4" xfId="0" applyNumberFormat="1" applyFont="1" applyFill="1" applyBorder="1" applyAlignment="1">
      <alignment horizontal="center"/>
    </xf>
    <xf numFmtId="0" fontId="24" fillId="0" borderId="8" xfId="0" applyFont="1" applyBorder="1" applyAlignment="1">
      <alignment horizontal="center" vertical="center"/>
    </xf>
    <xf numFmtId="0" fontId="24" fillId="13" borderId="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4" fillId="8" borderId="0" xfId="0" applyFont="1" applyFill="1" applyAlignment="1" applyProtection="1">
      <alignment vertical="center"/>
      <protection locked="0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 applyProtection="1">
      <alignment horizontal="center" vertical="center"/>
      <protection locked="0"/>
    </xf>
    <xf numFmtId="0" fontId="3" fillId="8" borderId="0" xfId="0" applyFont="1" applyFill="1" applyAlignment="1" applyProtection="1">
      <alignment vertical="center"/>
      <protection locked="0"/>
    </xf>
    <xf numFmtId="0" fontId="4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wrapText="1"/>
    </xf>
    <xf numFmtId="0" fontId="12" fillId="8" borderId="0" xfId="0" applyFont="1" applyFill="1" applyAlignment="1" applyProtection="1">
      <alignment horizontal="center"/>
      <protection locked="0"/>
    </xf>
    <xf numFmtId="1" fontId="13" fillId="8" borderId="4" xfId="1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1" fontId="13" fillId="0" borderId="12" xfId="0" applyNumberFormat="1" applyFont="1" applyBorder="1" applyAlignment="1">
      <alignment wrapText="1"/>
    </xf>
    <xf numFmtId="1" fontId="13" fillId="0" borderId="1" xfId="0" applyNumberFormat="1" applyFont="1" applyBorder="1" applyAlignment="1">
      <alignment wrapText="1"/>
    </xf>
    <xf numFmtId="1" fontId="13" fillId="8" borderId="0" xfId="1" applyNumberFormat="1" applyFont="1" applyFill="1" applyAlignment="1">
      <alignment horizontal="center"/>
    </xf>
    <xf numFmtId="1" fontId="0" fillId="0" borderId="0" xfId="0" applyNumberFormat="1"/>
    <xf numFmtId="1" fontId="13" fillId="8" borderId="0" xfId="1" applyNumberFormat="1" applyFont="1" applyFill="1" applyAlignment="1">
      <alignment horizontal="center" vertical="center"/>
    </xf>
    <xf numFmtId="1" fontId="13" fillId="8" borderId="4" xfId="7" applyNumberFormat="1" applyFont="1" applyFill="1" applyBorder="1" applyAlignment="1">
      <alignment horizontal="center" vertical="center"/>
    </xf>
    <xf numFmtId="0" fontId="4" fillId="27" borderId="4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vertical="center"/>
    </xf>
    <xf numFmtId="165" fontId="12" fillId="7" borderId="11" xfId="7" applyNumberFormat="1" applyFont="1" applyBorder="1" applyAlignment="1">
      <alignment horizontal="center" vertical="center"/>
    </xf>
    <xf numFmtId="165" fontId="12" fillId="7" borderId="11" xfId="7" applyNumberFormat="1" applyFont="1" applyBorder="1" applyAlignment="1">
      <alignment horizontal="center"/>
    </xf>
    <xf numFmtId="165" fontId="20" fillId="7" borderId="11" xfId="7" applyNumberFormat="1" applyFont="1" applyBorder="1" applyAlignment="1">
      <alignment horizontal="center" vertical="center"/>
    </xf>
    <xf numFmtId="165" fontId="13" fillId="7" borderId="11" xfId="7" applyNumberFormat="1" applyFont="1" applyBorder="1" applyAlignment="1">
      <alignment horizontal="center"/>
    </xf>
    <xf numFmtId="165" fontId="13" fillId="7" borderId="9" xfId="7" applyNumberFormat="1" applyFont="1" applyBorder="1" applyAlignment="1">
      <alignment horizontal="center"/>
    </xf>
    <xf numFmtId="165" fontId="12" fillId="8" borderId="4" xfId="1" applyNumberFormat="1" applyFont="1" applyFill="1" applyBorder="1" applyAlignment="1">
      <alignment horizontal="center" vertical="center"/>
    </xf>
    <xf numFmtId="165" fontId="12" fillId="8" borderId="4" xfId="1" applyNumberFormat="1" applyFont="1" applyFill="1" applyBorder="1" applyAlignment="1">
      <alignment horizontal="center"/>
    </xf>
    <xf numFmtId="165" fontId="20" fillId="8" borderId="4" xfId="0" applyNumberFormat="1" applyFont="1" applyFill="1" applyBorder="1" applyAlignment="1">
      <alignment horizontal="center" vertical="center"/>
    </xf>
    <xf numFmtId="165" fontId="13" fillId="8" borderId="4" xfId="1" applyNumberFormat="1" applyFont="1" applyFill="1" applyBorder="1" applyAlignment="1">
      <alignment horizontal="center"/>
    </xf>
    <xf numFmtId="165" fontId="13" fillId="8" borderId="3" xfId="1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 wrapText="1"/>
    </xf>
    <xf numFmtId="165" fontId="12" fillId="7" borderId="4" xfId="7" applyNumberFormat="1" applyFont="1" applyBorder="1" applyAlignment="1">
      <alignment horizontal="center" vertical="center"/>
    </xf>
    <xf numFmtId="165" fontId="12" fillId="7" borderId="4" xfId="7" applyNumberFormat="1" applyFont="1" applyBorder="1" applyAlignment="1">
      <alignment horizontal="center"/>
    </xf>
    <xf numFmtId="165" fontId="13" fillId="7" borderId="4" xfId="7" applyNumberFormat="1" applyFont="1" applyBorder="1" applyAlignment="1">
      <alignment horizontal="center" vertical="center"/>
    </xf>
    <xf numFmtId="165" fontId="13" fillId="7" borderId="4" xfId="7" applyNumberFormat="1" applyFont="1" applyBorder="1" applyAlignment="1">
      <alignment horizontal="center"/>
    </xf>
    <xf numFmtId="165" fontId="13" fillId="7" borderId="3" xfId="7" applyNumberFormat="1" applyFont="1" applyBorder="1" applyAlignment="1">
      <alignment horizontal="center"/>
    </xf>
    <xf numFmtId="165" fontId="13" fillId="8" borderId="4" xfId="0" applyNumberFormat="1" applyFont="1" applyFill="1" applyBorder="1" applyAlignment="1">
      <alignment horizontal="center" vertical="center"/>
    </xf>
    <xf numFmtId="165" fontId="13" fillId="0" borderId="12" xfId="0" applyNumberFormat="1" applyFont="1" applyBorder="1" applyAlignment="1">
      <alignment wrapText="1"/>
    </xf>
    <xf numFmtId="165" fontId="13" fillId="0" borderId="1" xfId="0" applyNumberFormat="1" applyFont="1" applyBorder="1" applyAlignment="1">
      <alignment wrapText="1"/>
    </xf>
    <xf numFmtId="165" fontId="13" fillId="0" borderId="4" xfId="7" applyNumberFormat="1" applyFont="1" applyFill="1" applyBorder="1" applyAlignment="1">
      <alignment horizontal="center" vertical="center"/>
    </xf>
    <xf numFmtId="165" fontId="12" fillId="8" borderId="0" xfId="1" applyNumberFormat="1" applyFont="1" applyFill="1" applyAlignment="1">
      <alignment horizontal="center" vertical="center"/>
    </xf>
    <xf numFmtId="165" fontId="12" fillId="8" borderId="0" xfId="1" applyNumberFormat="1" applyFont="1" applyFill="1" applyAlignment="1">
      <alignment horizontal="center"/>
    </xf>
    <xf numFmtId="165" fontId="13" fillId="8" borderId="0" xfId="0" applyNumberFormat="1" applyFont="1" applyFill="1" applyAlignment="1">
      <alignment horizontal="center" vertical="center"/>
    </xf>
    <xf numFmtId="165" fontId="13" fillId="8" borderId="0" xfId="1" applyNumberFormat="1" applyFont="1" applyFill="1" applyAlignment="1">
      <alignment horizontal="center"/>
    </xf>
    <xf numFmtId="165" fontId="0" fillId="0" borderId="0" xfId="0" applyNumberFormat="1"/>
    <xf numFmtId="165" fontId="12" fillId="8" borderId="4" xfId="7" applyNumberFormat="1" applyFont="1" applyFill="1" applyBorder="1" applyAlignment="1">
      <alignment horizontal="center" vertical="center"/>
    </xf>
    <xf numFmtId="165" fontId="12" fillId="0" borderId="4" xfId="7" applyNumberFormat="1" applyFont="1" applyFill="1" applyBorder="1" applyAlignment="1">
      <alignment horizontal="center" vertical="center"/>
    </xf>
    <xf numFmtId="165" fontId="12" fillId="0" borderId="4" xfId="7" applyNumberFormat="1" applyFont="1" applyFill="1" applyBorder="1" applyAlignment="1">
      <alignment horizontal="center"/>
    </xf>
    <xf numFmtId="165" fontId="13" fillId="0" borderId="4" xfId="7" applyNumberFormat="1" applyFont="1" applyFill="1" applyBorder="1" applyAlignment="1">
      <alignment horizontal="center"/>
    </xf>
    <xf numFmtId="165" fontId="13" fillId="0" borderId="3" xfId="7" applyNumberFormat="1" applyFont="1" applyFill="1" applyBorder="1" applyAlignment="1">
      <alignment horizontal="center"/>
    </xf>
    <xf numFmtId="165" fontId="12" fillId="0" borderId="4" xfId="1" applyNumberFormat="1" applyFont="1" applyBorder="1" applyAlignment="1">
      <alignment horizontal="center" vertical="center"/>
    </xf>
    <xf numFmtId="165" fontId="12" fillId="8" borderId="4" xfId="7" applyNumberFormat="1" applyFont="1" applyFill="1" applyBorder="1" applyAlignment="1">
      <alignment horizontal="center"/>
    </xf>
    <xf numFmtId="165" fontId="13" fillId="0" borderId="4" xfId="0" applyNumberFormat="1" applyFont="1" applyBorder="1" applyAlignment="1">
      <alignment horizontal="center" vertical="center"/>
    </xf>
    <xf numFmtId="165" fontId="13" fillId="8" borderId="4" xfId="7" applyNumberFormat="1" applyFont="1" applyFill="1" applyBorder="1" applyAlignment="1">
      <alignment horizontal="center"/>
    </xf>
    <xf numFmtId="165" fontId="13" fillId="0" borderId="3" xfId="1" applyNumberFormat="1" applyFont="1" applyBorder="1" applyAlignment="1">
      <alignment horizontal="center"/>
    </xf>
    <xf numFmtId="165" fontId="13" fillId="0" borderId="4" xfId="1" applyNumberFormat="1" applyFont="1" applyBorder="1" applyAlignment="1">
      <alignment horizontal="center"/>
    </xf>
    <xf numFmtId="165" fontId="12" fillId="26" borderId="4" xfId="1" applyNumberFormat="1" applyFont="1" applyFill="1" applyBorder="1" applyAlignment="1">
      <alignment horizontal="center" vertical="center"/>
    </xf>
    <xf numFmtId="165" fontId="13" fillId="26" borderId="4" xfId="0" applyNumberFormat="1" applyFont="1" applyFill="1" applyBorder="1" applyAlignment="1">
      <alignment horizontal="center" vertical="center"/>
    </xf>
    <xf numFmtId="165" fontId="13" fillId="26" borderId="3" xfId="1" applyNumberFormat="1" applyFont="1" applyFill="1" applyBorder="1" applyAlignment="1">
      <alignment horizontal="center"/>
    </xf>
    <xf numFmtId="165" fontId="13" fillId="26" borderId="4" xfId="1" applyNumberFormat="1" applyFont="1" applyFill="1" applyBorder="1" applyAlignment="1">
      <alignment horizontal="center"/>
    </xf>
    <xf numFmtId="165" fontId="23" fillId="0" borderId="0" xfId="0" applyNumberFormat="1" applyFont="1"/>
    <xf numFmtId="165" fontId="4" fillId="0" borderId="5" xfId="0" applyNumberFormat="1" applyFont="1" applyBorder="1"/>
    <xf numFmtId="165" fontId="3" fillId="0" borderId="6" xfId="0" applyNumberFormat="1" applyFont="1" applyBorder="1"/>
    <xf numFmtId="165" fontId="4" fillId="0" borderId="7" xfId="1" applyNumberFormat="1" applyFont="1" applyBorder="1"/>
    <xf numFmtId="165" fontId="3" fillId="0" borderId="0" xfId="0" applyNumberFormat="1" applyFont="1"/>
    <xf numFmtId="165" fontId="4" fillId="0" borderId="0" xfId="1" applyNumberFormat="1" applyFont="1"/>
    <xf numFmtId="165" fontId="4" fillId="0" borderId="0" xfId="0" applyNumberFormat="1" applyFont="1"/>
    <xf numFmtId="0" fontId="2" fillId="0" borderId="13" xfId="0" applyFont="1" applyBorder="1" applyAlignment="1">
      <alignment horizontal="center" vertical="center"/>
    </xf>
    <xf numFmtId="164" fontId="2" fillId="0" borderId="13" xfId="2" applyNumberFormat="1" applyFont="1" applyBorder="1" applyAlignment="1">
      <alignment horizontal="center" vertical="center"/>
    </xf>
    <xf numFmtId="10" fontId="2" fillId="0" borderId="13" xfId="2" applyNumberFormat="1" applyFont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164" fontId="1" fillId="18" borderId="0" xfId="2" applyNumberFormat="1" applyFill="1" applyAlignment="1">
      <alignment horizontal="center" vertical="center"/>
    </xf>
    <xf numFmtId="10" fontId="1" fillId="18" borderId="0" xfId="2" applyNumberFormat="1" applyFill="1" applyAlignment="1">
      <alignment horizontal="center" vertical="center"/>
    </xf>
    <xf numFmtId="9" fontId="1" fillId="18" borderId="0" xfId="2" applyFill="1" applyAlignment="1">
      <alignment horizontal="center" vertical="center"/>
    </xf>
    <xf numFmtId="44" fontId="0" fillId="17" borderId="0" xfId="1" applyFont="1" applyFill="1"/>
    <xf numFmtId="164" fontId="0" fillId="0" borderId="0" xfId="2" applyNumberFormat="1" applyFont="1"/>
    <xf numFmtId="44" fontId="1" fillId="17" borderId="0" xfId="1" applyFill="1"/>
    <xf numFmtId="0" fontId="25" fillId="0" borderId="0" xfId="0" applyFont="1"/>
    <xf numFmtId="0" fontId="26" fillId="0" borderId="0" xfId="0" applyFont="1"/>
    <xf numFmtId="44" fontId="27" fillId="28" borderId="16" xfId="1" applyFont="1" applyFill="1" applyBorder="1"/>
    <xf numFmtId="0" fontId="0" fillId="28" borderId="17" xfId="0" applyFill="1" applyBorder="1"/>
    <xf numFmtId="44" fontId="27" fillId="28" borderId="6" xfId="1" applyFont="1" applyFill="1" applyBorder="1"/>
    <xf numFmtId="0" fontId="0" fillId="28" borderId="7" xfId="0" applyFill="1" applyBorder="1"/>
    <xf numFmtId="0" fontId="28" fillId="29" borderId="0" xfId="0" applyFont="1" applyFill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12" fillId="8" borderId="4" xfId="0" applyFont="1" applyFill="1" applyBorder="1" applyAlignment="1">
      <alignment horizontal="left" vertical="center"/>
    </xf>
    <xf numFmtId="0" fontId="0" fillId="0" borderId="2" xfId="0" applyBorder="1"/>
    <xf numFmtId="0" fontId="12" fillId="7" borderId="4" xfId="7" applyFont="1" applyBorder="1" applyAlignment="1">
      <alignment horizontal="left" vertical="center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12" fillId="7" borderId="11" xfId="7" applyFont="1" applyBorder="1" applyAlignment="1">
      <alignment horizontal="left" vertical="center"/>
    </xf>
    <xf numFmtId="0" fontId="0" fillId="0" borderId="10" xfId="0" applyBorder="1"/>
    <xf numFmtId="0" fontId="27" fillId="28" borderId="5" xfId="0" applyFont="1" applyFill="1" applyBorder="1" applyAlignment="1">
      <alignment horizontal="center"/>
    </xf>
    <xf numFmtId="0" fontId="27" fillId="28" borderId="6" xfId="0" applyFont="1" applyFill="1" applyBorder="1" applyAlignment="1">
      <alignment horizontal="center"/>
    </xf>
    <xf numFmtId="0" fontId="27" fillId="28" borderId="15" xfId="0" applyFont="1" applyFill="1" applyBorder="1" applyAlignment="1">
      <alignment horizontal="center"/>
    </xf>
    <xf numFmtId="0" fontId="27" fillId="28" borderId="16" xfId="0" applyFont="1" applyFill="1" applyBorder="1" applyAlignment="1">
      <alignment horizontal="center"/>
    </xf>
    <xf numFmtId="0" fontId="12" fillId="0" borderId="4" xfId="7" applyFont="1" applyFill="1" applyBorder="1" applyAlignment="1">
      <alignment horizontal="left" vertical="center"/>
    </xf>
    <xf numFmtId="0" fontId="4" fillId="4" borderId="14" xfId="0" applyFont="1" applyFill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00000000-0005-0000-0000-000003000000}"/>
    <cellStyle name="Porcentagem" xfId="2" builtinId="5"/>
    <cellStyle name="Porcentagem 2" xfId="4" xr:uid="{00000000-0005-0000-0000-000004000000}"/>
    <cellStyle name="Vírgula" xfId="8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1653545</xdr:colOff>
      <xdr:row>3</xdr:row>
      <xdr:rowOff>135255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0"/>
          <a:ext cx="1543055" cy="67437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O88"/>
  <sheetViews>
    <sheetView showGridLines="0" tabSelected="1" zoomScale="91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B8" sqref="B8"/>
    </sheetView>
  </sheetViews>
  <sheetFormatPr defaultRowHeight="14.4" x14ac:dyDescent="0.3"/>
  <cols>
    <col min="1" max="1" width="2.33203125" customWidth="1"/>
    <col min="2" max="2" width="26.5546875" customWidth="1"/>
    <col min="3" max="3" width="33.44140625" customWidth="1"/>
    <col min="4" max="4" width="19" customWidth="1"/>
    <col min="5" max="6" width="9.5546875" customWidth="1"/>
    <col min="7" max="8" width="15" customWidth="1"/>
    <col min="9" max="9" width="13.5546875" customWidth="1"/>
    <col min="10" max="11" width="16.33203125" customWidth="1"/>
    <col min="12" max="12" width="14.33203125" customWidth="1"/>
    <col min="13" max="13" width="14.33203125" bestFit="1" customWidth="1"/>
    <col min="14" max="14" width="17.6640625" bestFit="1" customWidth="1"/>
    <col min="15" max="15" width="14.33203125" customWidth="1"/>
    <col min="18" max="18" width="19.33203125" customWidth="1"/>
  </cols>
  <sheetData>
    <row r="1" spans="1:15" x14ac:dyDescent="0.3">
      <c r="A1" s="23"/>
      <c r="B1" s="23"/>
      <c r="C1" s="25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3">
      <c r="A2" s="23"/>
      <c r="B2" s="23"/>
      <c r="C2" s="25" t="s">
        <v>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3">
      <c r="A3" s="23"/>
      <c r="B3" s="23"/>
      <c r="C3" s="25" t="s">
        <v>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x14ac:dyDescent="0.3">
      <c r="A4" s="23"/>
      <c r="B4" s="23"/>
      <c r="C4" s="25" t="s">
        <v>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5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1:15" ht="22.5" customHeight="1" x14ac:dyDescent="0.3">
      <c r="A6" s="23"/>
      <c r="B6" s="115"/>
      <c r="C6" s="114"/>
      <c r="D6" s="114"/>
      <c r="E6" s="115"/>
      <c r="F6" s="115"/>
      <c r="G6" s="114"/>
      <c r="H6" s="115"/>
      <c r="I6" s="114"/>
      <c r="J6" s="114"/>
      <c r="K6" s="114"/>
      <c r="L6" s="129" t="s">
        <v>4</v>
      </c>
      <c r="M6" s="200" t="s">
        <v>157</v>
      </c>
      <c r="N6" s="201"/>
      <c r="O6" s="114"/>
    </row>
    <row r="7" spans="1:15" x14ac:dyDescent="0.3">
      <c r="A7" s="23"/>
      <c r="B7" s="115"/>
      <c r="C7" s="114"/>
      <c r="D7" s="114"/>
      <c r="E7" s="115"/>
      <c r="F7" s="115"/>
      <c r="G7" s="116"/>
      <c r="H7" s="119"/>
      <c r="I7" s="114"/>
      <c r="J7" s="114"/>
      <c r="K7" s="114"/>
      <c r="L7" s="114"/>
      <c r="M7" s="114"/>
      <c r="N7" s="117"/>
      <c r="O7" s="118"/>
    </row>
    <row r="8" spans="1:15" s="24" customFormat="1" ht="17.399999999999999" customHeight="1" x14ac:dyDescent="0.3">
      <c r="A8" s="27"/>
      <c r="B8" s="28" t="s">
        <v>188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30.6" customHeight="1" thickBot="1" x14ac:dyDescent="0.35">
      <c r="A9" s="23"/>
      <c r="B9" s="61" t="s">
        <v>8</v>
      </c>
      <c r="C9" s="61"/>
      <c r="D9" s="30" t="s">
        <v>9</v>
      </c>
      <c r="E9" s="30" t="s">
        <v>10</v>
      </c>
      <c r="F9" s="30" t="s">
        <v>11</v>
      </c>
      <c r="G9" s="30" t="s">
        <v>12</v>
      </c>
      <c r="H9" s="30" t="s">
        <v>13</v>
      </c>
      <c r="I9" s="30" t="s">
        <v>14</v>
      </c>
      <c r="J9" s="30" t="s">
        <v>15</v>
      </c>
      <c r="K9" s="30" t="s">
        <v>16</v>
      </c>
      <c r="L9" s="30" t="s">
        <v>17</v>
      </c>
      <c r="M9" s="30" t="s">
        <v>18</v>
      </c>
      <c r="N9" s="30" t="s">
        <v>19</v>
      </c>
      <c r="O9" s="194" t="s">
        <v>20</v>
      </c>
    </row>
    <row r="10" spans="1:15" ht="15" customHeight="1" thickTop="1" x14ac:dyDescent="0.3">
      <c r="A10" s="23"/>
      <c r="B10" s="202" t="s">
        <v>21</v>
      </c>
      <c r="C10" s="203"/>
      <c r="D10" s="62">
        <v>5313</v>
      </c>
      <c r="E10" s="64"/>
      <c r="F10" s="18">
        <f>E10*12</f>
        <v>0</v>
      </c>
      <c r="G10" s="63">
        <f>VLOOKUP($M$6,'ST BISCOITINHOS'!A:B,2,FALSE)</f>
        <v>0.04</v>
      </c>
      <c r="H10" s="131">
        <f>VLOOKUP($M$6,PREÇOS!$A$2:$L$31,9,FALSE)</f>
        <v>8.9</v>
      </c>
      <c r="I10" s="132">
        <f>H10*12</f>
        <v>106.80000000000001</v>
      </c>
      <c r="J10" s="133">
        <v>0</v>
      </c>
      <c r="K10" s="133">
        <v>0</v>
      </c>
      <c r="L10" s="134">
        <f>(H10+J10+K10)*12</f>
        <v>106.80000000000001</v>
      </c>
      <c r="M10" s="135">
        <f>E10*I10</f>
        <v>0</v>
      </c>
      <c r="N10" s="134">
        <f>E10*L10</f>
        <v>0</v>
      </c>
      <c r="O10" s="131">
        <f>VLOOKUP($M$6,PSC!$A$2:$L$31,9,FALSE)</f>
        <v>13.49</v>
      </c>
    </row>
    <row r="11" spans="1:15" x14ac:dyDescent="0.3">
      <c r="A11" s="23"/>
      <c r="B11" s="197" t="s">
        <v>22</v>
      </c>
      <c r="C11" s="198"/>
      <c r="D11" s="31">
        <v>5320</v>
      </c>
      <c r="E11" s="22"/>
      <c r="F11" s="121">
        <f>E11*12</f>
        <v>0</v>
      </c>
      <c r="G11" s="33">
        <f>VLOOKUP($M$6,'ST BISCOITINHOS'!A:B,2,FALSE)</f>
        <v>0.04</v>
      </c>
      <c r="H11" s="136">
        <f>VLOOKUP($M$6,PREÇOS!$A$2:$L$31,9,FALSE)</f>
        <v>8.9</v>
      </c>
      <c r="I11" s="137">
        <f>H11*12</f>
        <v>106.80000000000001</v>
      </c>
      <c r="J11" s="138">
        <v>0</v>
      </c>
      <c r="K11" s="138">
        <v>0</v>
      </c>
      <c r="L11" s="139">
        <f>(H11+J11+K11)*12</f>
        <v>106.80000000000001</v>
      </c>
      <c r="M11" s="140">
        <f>E11*I11</f>
        <v>0</v>
      </c>
      <c r="N11" s="139">
        <f>E11*L11</f>
        <v>0</v>
      </c>
      <c r="O11" s="136">
        <f>VLOOKUP($M$6,PSC!$A$2:$L$31,9,FALSE)</f>
        <v>13.49</v>
      </c>
    </row>
    <row r="12" spans="1:15" x14ac:dyDescent="0.3">
      <c r="A12" s="23"/>
      <c r="B12" s="61"/>
      <c r="C12" s="61"/>
      <c r="D12" s="30"/>
      <c r="E12" s="30"/>
      <c r="F12" s="122"/>
      <c r="G12" s="30"/>
      <c r="H12" s="141"/>
      <c r="I12" s="141"/>
      <c r="J12" s="141"/>
      <c r="K12" s="141"/>
      <c r="L12" s="141"/>
      <c r="M12" s="141"/>
      <c r="N12" s="141"/>
      <c r="O12" s="141"/>
    </row>
    <row r="13" spans="1:15" x14ac:dyDescent="0.3">
      <c r="A13" s="23"/>
      <c r="B13" s="199" t="s">
        <v>23</v>
      </c>
      <c r="C13" s="198"/>
      <c r="D13" s="20">
        <v>5566</v>
      </c>
      <c r="E13" s="22"/>
      <c r="F13" s="20">
        <f>E13*16</f>
        <v>0</v>
      </c>
      <c r="G13" s="21">
        <f>VLOOKUP($M$6,'ST BISCOITINHOS'!A:B,2,FALSE)</f>
        <v>0.04</v>
      </c>
      <c r="H13" s="142">
        <f>VLOOKUP($M$6,PREÇOS!$A$2:$M$31,13,FALSE)</f>
        <v>6.24</v>
      </c>
      <c r="I13" s="143">
        <f>H13*16</f>
        <v>99.84</v>
      </c>
      <c r="J13" s="144">
        <v>0</v>
      </c>
      <c r="K13" s="144">
        <v>0</v>
      </c>
      <c r="L13" s="145">
        <f>(H13+J13+K13)*16</f>
        <v>99.84</v>
      </c>
      <c r="M13" s="146">
        <f>E13*I13</f>
        <v>0</v>
      </c>
      <c r="N13" s="145">
        <f>E13*L13</f>
        <v>0</v>
      </c>
      <c r="O13" s="142">
        <f>VLOOKUP($M$6,PSC!$A$2:$M$31,13,FALSE)</f>
        <v>9.49</v>
      </c>
    </row>
    <row r="14" spans="1:15" x14ac:dyDescent="0.3">
      <c r="A14" s="23"/>
      <c r="B14" s="197" t="s">
        <v>24</v>
      </c>
      <c r="C14" s="198"/>
      <c r="D14" s="31">
        <v>5573</v>
      </c>
      <c r="E14" s="22"/>
      <c r="F14" s="121">
        <f>E14*16</f>
        <v>0</v>
      </c>
      <c r="G14" s="33">
        <f>VLOOKUP($M$6,'ST BISCOITINHOS'!A:B,2,FALSE)</f>
        <v>0.04</v>
      </c>
      <c r="H14" s="136">
        <f>VLOOKUP($M$6,PREÇOS!$A$2:$M$31,13,FALSE)</f>
        <v>6.24</v>
      </c>
      <c r="I14" s="137">
        <f>H14*16</f>
        <v>99.84</v>
      </c>
      <c r="J14" s="147">
        <v>0</v>
      </c>
      <c r="K14" s="147">
        <v>0</v>
      </c>
      <c r="L14" s="139">
        <f>(H14+J14+K14)*16</f>
        <v>99.84</v>
      </c>
      <c r="M14" s="140">
        <f>E14*I14</f>
        <v>0</v>
      </c>
      <c r="N14" s="139">
        <f>E14*L14</f>
        <v>0</v>
      </c>
      <c r="O14" s="136">
        <f>VLOOKUP($M$6,PSC!$A$2:$M$31,13,FALSE)</f>
        <v>9.49</v>
      </c>
    </row>
    <row r="15" spans="1:15" x14ac:dyDescent="0.3">
      <c r="A15" s="23"/>
      <c r="B15" s="61"/>
      <c r="C15" s="61"/>
      <c r="D15" s="30"/>
      <c r="E15" s="30"/>
      <c r="F15" s="122"/>
      <c r="G15" s="30"/>
      <c r="H15" s="141"/>
      <c r="I15" s="141"/>
      <c r="J15" s="141"/>
      <c r="K15" s="141"/>
      <c r="L15" s="141"/>
      <c r="M15" s="141"/>
      <c r="N15" s="141"/>
      <c r="O15" s="141"/>
    </row>
    <row r="16" spans="1:15" x14ac:dyDescent="0.3">
      <c r="A16" s="23"/>
      <c r="B16" s="199" t="s">
        <v>25</v>
      </c>
      <c r="C16" s="198"/>
      <c r="D16" s="20">
        <v>17898994908729</v>
      </c>
      <c r="E16" s="22"/>
      <c r="F16" s="20">
        <f t="shared" ref="F16:F21" si="0">E16*12</f>
        <v>0</v>
      </c>
      <c r="G16" s="21">
        <f>VLOOKUP($M$6,'ST BISCOITINHOS'!A:B,2,FALSE)</f>
        <v>0.04</v>
      </c>
      <c r="H16" s="142">
        <f>VLOOKUP($M$6,PREÇOS!$A$2:$L$31,2,FALSE)</f>
        <v>6.24</v>
      </c>
      <c r="I16" s="143">
        <f t="shared" ref="I16:I21" si="1">H16*12</f>
        <v>74.88</v>
      </c>
      <c r="J16" s="144">
        <v>0</v>
      </c>
      <c r="K16" s="144">
        <v>0</v>
      </c>
      <c r="L16" s="145">
        <f t="shared" ref="L16:L21" si="2">(H16+J16+K16)*12</f>
        <v>74.88</v>
      </c>
      <c r="M16" s="146">
        <f t="shared" ref="M16:M21" si="3">E16*I16</f>
        <v>0</v>
      </c>
      <c r="N16" s="145">
        <f t="shared" ref="N16:N21" si="4">E16*L16</f>
        <v>0</v>
      </c>
      <c r="O16" s="142">
        <f>VLOOKUP($M$6,PSC!$A$2:$L$31,2,FALSE)</f>
        <v>9.49</v>
      </c>
    </row>
    <row r="17" spans="1:15" x14ac:dyDescent="0.3">
      <c r="A17" s="23"/>
      <c r="B17" s="197" t="s">
        <v>26</v>
      </c>
      <c r="C17" s="198"/>
      <c r="D17" s="31">
        <v>17898994908736</v>
      </c>
      <c r="E17" s="22"/>
      <c r="F17" s="121">
        <f t="shared" si="0"/>
        <v>0</v>
      </c>
      <c r="G17" s="33">
        <f>VLOOKUP($M$6,'ST BISCOITINHOS'!A:B,2,FALSE)</f>
        <v>0.04</v>
      </c>
      <c r="H17" s="136">
        <f>VLOOKUP($M$6,PREÇOS!$A$2:$L$31,2,FALSE)</f>
        <v>6.24</v>
      </c>
      <c r="I17" s="137">
        <f t="shared" si="1"/>
        <v>74.88</v>
      </c>
      <c r="J17" s="147">
        <v>0</v>
      </c>
      <c r="K17" s="147">
        <v>0</v>
      </c>
      <c r="L17" s="139">
        <f t="shared" si="2"/>
        <v>74.88</v>
      </c>
      <c r="M17" s="140">
        <f t="shared" si="3"/>
        <v>0</v>
      </c>
      <c r="N17" s="139">
        <f t="shared" si="4"/>
        <v>0</v>
      </c>
      <c r="O17" s="136">
        <f>VLOOKUP($M$6,PSC!$A$2:$L$31,2,FALSE)</f>
        <v>9.49</v>
      </c>
    </row>
    <row r="18" spans="1:15" x14ac:dyDescent="0.3">
      <c r="A18" s="23"/>
      <c r="B18" s="199" t="s">
        <v>27</v>
      </c>
      <c r="C18" s="198"/>
      <c r="D18" s="20">
        <v>17898994908712</v>
      </c>
      <c r="E18" s="22"/>
      <c r="F18" s="20">
        <f t="shared" si="0"/>
        <v>0</v>
      </c>
      <c r="G18" s="21">
        <f>VLOOKUP($M$6,'ST BISCOITINHOS'!A:B,2,FALSE)</f>
        <v>0.04</v>
      </c>
      <c r="H18" s="142">
        <f>VLOOKUP($M$6,PREÇOS!$A$2:$L$31,2,FALSE)</f>
        <v>6.24</v>
      </c>
      <c r="I18" s="143">
        <f t="shared" si="1"/>
        <v>74.88</v>
      </c>
      <c r="J18" s="144">
        <v>0</v>
      </c>
      <c r="K18" s="144">
        <v>0</v>
      </c>
      <c r="L18" s="145">
        <f t="shared" si="2"/>
        <v>74.88</v>
      </c>
      <c r="M18" s="146">
        <f t="shared" si="3"/>
        <v>0</v>
      </c>
      <c r="N18" s="145">
        <f t="shared" si="4"/>
        <v>0</v>
      </c>
      <c r="O18" s="142">
        <f>VLOOKUP($M$6,PSC!$A$2:$L$31,2,FALSE)</f>
        <v>9.49</v>
      </c>
    </row>
    <row r="19" spans="1:15" x14ac:dyDescent="0.3">
      <c r="A19" s="23"/>
      <c r="B19" s="197" t="s">
        <v>28</v>
      </c>
      <c r="C19" s="198"/>
      <c r="D19" s="31">
        <v>17898994908750</v>
      </c>
      <c r="E19" s="22"/>
      <c r="F19" s="121">
        <f t="shared" si="0"/>
        <v>0</v>
      </c>
      <c r="G19" s="33">
        <f>VLOOKUP($M$6,'ST BISCOITINHOS'!A:B,2,FALSE)</f>
        <v>0.04</v>
      </c>
      <c r="H19" s="136">
        <f>VLOOKUP($M$6,PREÇOS!$A$2:$L$31,2,FALSE)</f>
        <v>6.24</v>
      </c>
      <c r="I19" s="137">
        <f t="shared" si="1"/>
        <v>74.88</v>
      </c>
      <c r="J19" s="147">
        <v>0</v>
      </c>
      <c r="K19" s="147">
        <v>0</v>
      </c>
      <c r="L19" s="139">
        <f t="shared" si="2"/>
        <v>74.88</v>
      </c>
      <c r="M19" s="140">
        <f t="shared" si="3"/>
        <v>0</v>
      </c>
      <c r="N19" s="139">
        <f t="shared" si="4"/>
        <v>0</v>
      </c>
      <c r="O19" s="136">
        <f>VLOOKUP($M$6,PSC!$A$2:$L$31,2,FALSE)</f>
        <v>9.49</v>
      </c>
    </row>
    <row r="20" spans="1:15" x14ac:dyDescent="0.3">
      <c r="A20" s="23"/>
      <c r="B20" s="199" t="s">
        <v>29</v>
      </c>
      <c r="C20" s="198"/>
      <c r="D20" s="20">
        <v>27898994908757</v>
      </c>
      <c r="E20" s="22"/>
      <c r="F20" s="20">
        <f t="shared" si="0"/>
        <v>0</v>
      </c>
      <c r="G20" s="21">
        <f>VLOOKUP($M$6,'ST BISCOITINHOS'!A:B,2,FALSE)</f>
        <v>0.04</v>
      </c>
      <c r="H20" s="142">
        <f>VLOOKUP($M$6,PREÇOS!$A$2:$L$31,2,FALSE)</f>
        <v>6.24</v>
      </c>
      <c r="I20" s="143">
        <f t="shared" si="1"/>
        <v>74.88</v>
      </c>
      <c r="J20" s="144">
        <v>0</v>
      </c>
      <c r="K20" s="144">
        <v>0</v>
      </c>
      <c r="L20" s="145">
        <f t="shared" si="2"/>
        <v>74.88</v>
      </c>
      <c r="M20" s="146">
        <f t="shared" si="3"/>
        <v>0</v>
      </c>
      <c r="N20" s="145">
        <f t="shared" si="4"/>
        <v>0</v>
      </c>
      <c r="O20" s="142">
        <f>VLOOKUP($M$6,PSC!$A$2:$L$31,2,FALSE)</f>
        <v>9.49</v>
      </c>
    </row>
    <row r="21" spans="1:15" x14ac:dyDescent="0.3">
      <c r="A21" s="23"/>
      <c r="B21" s="197" t="s">
        <v>30</v>
      </c>
      <c r="C21" s="198"/>
      <c r="D21" s="31">
        <v>5306</v>
      </c>
      <c r="E21" s="22"/>
      <c r="F21" s="121">
        <f t="shared" si="0"/>
        <v>0</v>
      </c>
      <c r="G21" s="33">
        <f>VLOOKUP($M$6,'ST BISCOITINHOS'!A:B,2,FALSE)</f>
        <v>0.04</v>
      </c>
      <c r="H21" s="136">
        <f>VLOOKUP($M$6,PREÇOS!$A$2:$L$31,2,FALSE)</f>
        <v>6.24</v>
      </c>
      <c r="I21" s="137">
        <f t="shared" si="1"/>
        <v>74.88</v>
      </c>
      <c r="J21" s="147">
        <v>0</v>
      </c>
      <c r="K21" s="147">
        <v>0</v>
      </c>
      <c r="L21" s="139">
        <f t="shared" si="2"/>
        <v>74.88</v>
      </c>
      <c r="M21" s="140">
        <f t="shared" si="3"/>
        <v>0</v>
      </c>
      <c r="N21" s="139">
        <f t="shared" si="4"/>
        <v>0</v>
      </c>
      <c r="O21" s="136">
        <f>VLOOKUP($M$6,PSC!$A$2:$L$31,2,FALSE)</f>
        <v>9.49</v>
      </c>
    </row>
    <row r="22" spans="1:15" x14ac:dyDescent="0.3">
      <c r="A22" s="23"/>
      <c r="B22" s="34"/>
      <c r="C22" s="34"/>
      <c r="D22" s="34"/>
      <c r="E22" s="34"/>
      <c r="F22" s="123"/>
      <c r="G22" s="34"/>
      <c r="H22" s="148"/>
      <c r="I22" s="148"/>
      <c r="J22" s="148"/>
      <c r="K22" s="148"/>
      <c r="L22" s="148"/>
      <c r="M22" s="148"/>
      <c r="N22" s="148"/>
      <c r="O22" s="148"/>
    </row>
    <row r="23" spans="1:15" x14ac:dyDescent="0.3">
      <c r="A23" s="23"/>
      <c r="B23" s="199" t="s">
        <v>31</v>
      </c>
      <c r="C23" s="198"/>
      <c r="D23" s="20">
        <v>5085</v>
      </c>
      <c r="E23" s="22"/>
      <c r="F23" s="20">
        <f>E23*16</f>
        <v>0</v>
      </c>
      <c r="G23" s="21">
        <f>VLOOKUP($M$6,'ST PALITINHOS'!A:B,2,FALSE)</f>
        <v>0.12</v>
      </c>
      <c r="H23" s="142">
        <f>VLOOKUP($M$6,PREÇOS!$A$2:$L$31,3,FALSE)</f>
        <v>3.9312</v>
      </c>
      <c r="I23" s="143">
        <f>H23*16</f>
        <v>62.8992</v>
      </c>
      <c r="J23" s="144">
        <f>IF($G$7="SIM",VLOOKUP($M$6,'ST PALITINHOS'!$A$1:$J$31,10,FALSE),VLOOKUP($M$6,'ST PALITINHOS'!$A$1:$J$31,9,FALSE))</f>
        <v>0</v>
      </c>
      <c r="K23" s="144">
        <v>0</v>
      </c>
      <c r="L23" s="145">
        <f>(H23+J23+K23)*16</f>
        <v>62.8992</v>
      </c>
      <c r="M23" s="146">
        <f>E23*I23</f>
        <v>0</v>
      </c>
      <c r="N23" s="145">
        <f>E23*L23</f>
        <v>0</v>
      </c>
      <c r="O23" s="142">
        <f>VLOOKUP($M$6,PSC!$A$2:$L$31,3,FALSE)</f>
        <v>5.99</v>
      </c>
    </row>
    <row r="24" spans="1:15" x14ac:dyDescent="0.3">
      <c r="A24" s="23"/>
      <c r="B24" s="197" t="s">
        <v>32</v>
      </c>
      <c r="C24" s="198"/>
      <c r="D24" s="31">
        <v>5078</v>
      </c>
      <c r="E24" s="22"/>
      <c r="F24" s="121">
        <f>E24*16</f>
        <v>0</v>
      </c>
      <c r="G24" s="33">
        <f>VLOOKUP($M$6,'ST PALITINHOS'!A:B,2,FALSE)</f>
        <v>0.12</v>
      </c>
      <c r="H24" s="136">
        <f>VLOOKUP($M$6,PREÇOS!$A$2:$L$31,3,FALSE)</f>
        <v>3.9312</v>
      </c>
      <c r="I24" s="137">
        <f>H24*16</f>
        <v>62.8992</v>
      </c>
      <c r="J24" s="147">
        <f>IF($G$7="SIM",VLOOKUP($M$6,'ST PALITINHOS'!$A$1:$J$31,10,FALSE),VLOOKUP($M$6,'ST PALITINHOS'!$A$1:$J$31,9,FALSE))</f>
        <v>0</v>
      </c>
      <c r="K24" s="147">
        <v>0</v>
      </c>
      <c r="L24" s="139">
        <f>(H24+J24+K24)*16</f>
        <v>62.8992</v>
      </c>
      <c r="M24" s="140">
        <f>E24*I24</f>
        <v>0</v>
      </c>
      <c r="N24" s="139">
        <f>E24*L24</f>
        <v>0</v>
      </c>
      <c r="O24" s="136">
        <f>VLOOKUP($M$6,PSC!$A$2:$L$31,3,FALSE)</f>
        <v>5.99</v>
      </c>
    </row>
    <row r="25" spans="1:15" x14ac:dyDescent="0.3">
      <c r="A25" s="23"/>
      <c r="B25" s="199" t="s">
        <v>33</v>
      </c>
      <c r="C25" s="198"/>
      <c r="D25" s="20">
        <v>5061</v>
      </c>
      <c r="E25" s="22"/>
      <c r="F25" s="20">
        <f>E25*16</f>
        <v>0</v>
      </c>
      <c r="G25" s="21">
        <f>VLOOKUP($M$6,'ST PALITINHOS'!A:B,2,FALSE)</f>
        <v>0.12</v>
      </c>
      <c r="H25" s="142">
        <f>VLOOKUP($M$6,PREÇOS!$A$2:$L$31,3,FALSE)</f>
        <v>3.9312</v>
      </c>
      <c r="I25" s="143">
        <f>H25*16</f>
        <v>62.8992</v>
      </c>
      <c r="J25" s="144">
        <f>IF($G$7="SIM",VLOOKUP($M$6,'ST PALITINHOS'!$A$1:$J$31,10,FALSE),VLOOKUP($M$6,'ST PALITINHOS'!$A$1:$J$31,9,FALSE))</f>
        <v>0</v>
      </c>
      <c r="K25" s="144">
        <v>0</v>
      </c>
      <c r="L25" s="145">
        <f>(H25+J25+K25)*16</f>
        <v>62.8992</v>
      </c>
      <c r="M25" s="146">
        <f>E25*I25</f>
        <v>0</v>
      </c>
      <c r="N25" s="145">
        <f>E25*L25</f>
        <v>0</v>
      </c>
      <c r="O25" s="142">
        <f>VLOOKUP($M$6,PSC!$A$2:$L$31,3,FALSE)</f>
        <v>5.99</v>
      </c>
    </row>
    <row r="26" spans="1:15" x14ac:dyDescent="0.3">
      <c r="A26" s="23"/>
      <c r="B26" s="35"/>
      <c r="C26" s="35"/>
      <c r="D26" s="35"/>
      <c r="E26" s="35"/>
      <c r="F26" s="124"/>
      <c r="G26" s="35"/>
      <c r="H26" s="149"/>
      <c r="I26" s="149"/>
      <c r="J26" s="149"/>
      <c r="K26" s="149"/>
      <c r="L26" s="149"/>
      <c r="M26" s="149"/>
      <c r="N26" s="149"/>
      <c r="O26" s="149"/>
    </row>
    <row r="27" spans="1:15" x14ac:dyDescent="0.3">
      <c r="A27" s="23"/>
      <c r="B27" s="199" t="s">
        <v>34</v>
      </c>
      <c r="C27" s="198"/>
      <c r="D27" s="20">
        <v>8774</v>
      </c>
      <c r="E27" s="22"/>
      <c r="F27" s="20">
        <f>E27*12</f>
        <v>0</v>
      </c>
      <c r="G27" s="21">
        <f>VLOOKUP($M$6,'ST BISCOITINHOS'!A:B,2,FALSE)</f>
        <v>0.04</v>
      </c>
      <c r="H27" s="142">
        <f>VLOOKUP($M$6,PREÇOS!$A$2:$L$31,4,FALSE)</f>
        <v>13.348800000000001</v>
      </c>
      <c r="I27" s="143">
        <f>H27*12</f>
        <v>160.18560000000002</v>
      </c>
      <c r="J27" s="144">
        <f>IF($G$7="SIM",VLOOKUP($M$6,'ST BISCOITINHOS'!$A$1:$J$31,10,FALSE),VLOOKUP($M$6,'ST BISCOITINHOS'!$A$1:$J$31,9,FALSE))</f>
        <v>0</v>
      </c>
      <c r="K27" s="144">
        <v>0</v>
      </c>
      <c r="L27" s="145">
        <f>(H27+J27+K27)*12</f>
        <v>160.18560000000002</v>
      </c>
      <c r="M27" s="146">
        <f>E27*I27</f>
        <v>0</v>
      </c>
      <c r="N27" s="145">
        <f>E27*L27</f>
        <v>0</v>
      </c>
      <c r="O27" s="142">
        <f>VLOOKUP($M$6,PSC!$A$2:$L$31,4,FALSE)</f>
        <v>19.989999999999998</v>
      </c>
    </row>
    <row r="28" spans="1:15" x14ac:dyDescent="0.3">
      <c r="A28" s="23"/>
      <c r="B28" s="197" t="s">
        <v>35</v>
      </c>
      <c r="C28" s="198"/>
      <c r="D28" s="31">
        <v>8767</v>
      </c>
      <c r="E28" s="22"/>
      <c r="F28" s="121">
        <f>E28*12</f>
        <v>0</v>
      </c>
      <c r="G28" s="33">
        <f>VLOOKUP($M$6,'ST BISCOITINHOS'!A:B,2,FALSE)</f>
        <v>0.04</v>
      </c>
      <c r="H28" s="136">
        <f>VLOOKUP($M$6,PREÇOS!$A$2:$L$31,4,FALSE)</f>
        <v>13.348800000000001</v>
      </c>
      <c r="I28" s="137">
        <f>H28*12</f>
        <v>160.18560000000002</v>
      </c>
      <c r="J28" s="147">
        <f>IF($G$7="SIM",VLOOKUP($M$6,'ST BISCOITINHOS'!$A$1:$J$31,10,FALSE),VLOOKUP($M$6,'ST BISCOITINHOS'!$A$1:$J$31,9,FALSE))</f>
        <v>0</v>
      </c>
      <c r="K28" s="147">
        <v>0</v>
      </c>
      <c r="L28" s="139">
        <f>(H28+J28+K28)*12</f>
        <v>160.18560000000002</v>
      </c>
      <c r="M28" s="140">
        <f>E28*I28</f>
        <v>0</v>
      </c>
      <c r="N28" s="139">
        <f>E28*L28</f>
        <v>0</v>
      </c>
      <c r="O28" s="136">
        <f>VLOOKUP($M$6,PSC!$A$2:$L$31,4,FALSE)</f>
        <v>19.989999999999998</v>
      </c>
    </row>
    <row r="29" spans="1:15" x14ac:dyDescent="0.3">
      <c r="A29" s="23"/>
      <c r="B29" s="35"/>
      <c r="C29" s="35"/>
      <c r="D29" s="35"/>
      <c r="E29" s="35"/>
      <c r="F29" s="124"/>
      <c r="G29" s="35"/>
      <c r="H29" s="149"/>
      <c r="I29" s="149"/>
      <c r="J29" s="149"/>
      <c r="K29" s="149"/>
      <c r="L29" s="149"/>
      <c r="M29" s="149"/>
      <c r="N29" s="149"/>
      <c r="O29" s="149"/>
    </row>
    <row r="30" spans="1:15" x14ac:dyDescent="0.3">
      <c r="A30" s="23"/>
      <c r="B30" s="199" t="s">
        <v>36</v>
      </c>
      <c r="C30" s="198"/>
      <c r="D30" s="20">
        <v>5290</v>
      </c>
      <c r="E30" s="22"/>
      <c r="F30" s="20">
        <f>E30*12</f>
        <v>0</v>
      </c>
      <c r="G30" s="21">
        <f>VLOOKUP($M$6,'ST PAPAPASTA'!A:B,2,FALSE)</f>
        <v>0.12</v>
      </c>
      <c r="H30" s="142">
        <f>VLOOKUP($M$6,PREÇOS!$A$2:$L$31,5,FALSE)</f>
        <v>8.6189999999999998</v>
      </c>
      <c r="I30" s="143">
        <f>H30*12</f>
        <v>103.428</v>
      </c>
      <c r="J30" s="144">
        <f>IF($G$7="SIM",VLOOKUP($M$6,'ST PAPAPASTA'!$A$1:$J$31,10,FALSE),VLOOKUP($M$6,'ST PAPAPASTA'!$A$1:$J$31,9,FALSE))</f>
        <v>0</v>
      </c>
      <c r="K30" s="144">
        <v>0</v>
      </c>
      <c r="L30" s="145">
        <f>(H30+J30+K30)*12</f>
        <v>103.428</v>
      </c>
      <c r="M30" s="146">
        <f>E30*I30</f>
        <v>0</v>
      </c>
      <c r="N30" s="145">
        <f>E30*L30</f>
        <v>0</v>
      </c>
      <c r="O30" s="142">
        <f>VLOOKUP($M$6,PSC!$A$2:$L$31,5,FALSE)</f>
        <v>12.49</v>
      </c>
    </row>
    <row r="31" spans="1:15" x14ac:dyDescent="0.3">
      <c r="A31" s="23"/>
      <c r="B31" s="197" t="s">
        <v>37</v>
      </c>
      <c r="C31" s="198"/>
      <c r="D31" s="31">
        <v>5283</v>
      </c>
      <c r="E31" s="22"/>
      <c r="F31" s="121">
        <f>E31*12</f>
        <v>0</v>
      </c>
      <c r="G31" s="33">
        <f>VLOOKUP($M$6,'ST PAPAPASTA'!A:B,2,FALSE)</f>
        <v>0.12</v>
      </c>
      <c r="H31" s="136">
        <f>VLOOKUP($M$6,PREÇOS!$A$2:$L$31,5,FALSE)</f>
        <v>8.6189999999999998</v>
      </c>
      <c r="I31" s="137">
        <f>H31*12</f>
        <v>103.428</v>
      </c>
      <c r="J31" s="147">
        <f>IF($G$7="SIM",VLOOKUP($M$6,'ST PAPAPASTA'!$A$1:$J$31,10,FALSE),VLOOKUP($M$6,'ST PAPAPASTA'!$A$1:$J$31,9,FALSE))</f>
        <v>0</v>
      </c>
      <c r="K31" s="147">
        <v>0</v>
      </c>
      <c r="L31" s="139">
        <f>(H31+J31+K31)*12</f>
        <v>103.428</v>
      </c>
      <c r="M31" s="140">
        <f>E31*I31</f>
        <v>0</v>
      </c>
      <c r="N31" s="139">
        <f>E31*L31</f>
        <v>0</v>
      </c>
      <c r="O31" s="136">
        <f>VLOOKUP($M$6,PSC!$A$2:$L$31,5,FALSE)</f>
        <v>12.49</v>
      </c>
    </row>
    <row r="32" spans="1:15" x14ac:dyDescent="0.3">
      <c r="A32" s="23"/>
      <c r="B32" s="35"/>
      <c r="C32" s="35"/>
      <c r="D32" s="35"/>
      <c r="E32" s="35"/>
      <c r="F32" s="124"/>
      <c r="G32" s="35"/>
      <c r="H32" s="149"/>
      <c r="I32" s="149"/>
      <c r="J32" s="149"/>
      <c r="K32" s="149"/>
      <c r="L32" s="149"/>
      <c r="M32" s="149"/>
      <c r="N32" s="149"/>
      <c r="O32" s="149"/>
    </row>
    <row r="33" spans="2:15" x14ac:dyDescent="0.3">
      <c r="B33" s="199" t="s">
        <v>38</v>
      </c>
      <c r="C33" s="198"/>
      <c r="D33" s="20">
        <v>5276</v>
      </c>
      <c r="E33" s="22"/>
      <c r="F33" s="20">
        <f>E33*6</f>
        <v>0</v>
      </c>
      <c r="G33" s="21">
        <f>VLOOKUP($M$6,'ST PAPAPASTA'!A:B,2,FALSE)</f>
        <v>0.12</v>
      </c>
      <c r="H33" s="142">
        <f>VLOOKUP($M$6,PREÇOS!$A$2:$L$31,6,FALSE)</f>
        <v>12.39</v>
      </c>
      <c r="I33" s="143">
        <f>H33*6</f>
        <v>74.34</v>
      </c>
      <c r="J33" s="144">
        <v>0</v>
      </c>
      <c r="K33" s="144">
        <v>0</v>
      </c>
      <c r="L33" s="145">
        <f>(H33+J33+K33)*6</f>
        <v>74.34</v>
      </c>
      <c r="M33" s="146">
        <f>E33*I33</f>
        <v>0</v>
      </c>
      <c r="N33" s="145">
        <f>E33*L33</f>
        <v>0</v>
      </c>
      <c r="O33" s="142">
        <f>VLOOKUP($M$6,PSC!$A$2:$L$31,6,FALSE)</f>
        <v>18.989999999999998</v>
      </c>
    </row>
    <row r="34" spans="2:15" x14ac:dyDescent="0.3">
      <c r="B34" s="197" t="s">
        <v>39</v>
      </c>
      <c r="C34" s="198"/>
      <c r="D34" s="31">
        <v>5269</v>
      </c>
      <c r="E34" s="22"/>
      <c r="F34" s="121">
        <f>E34*6</f>
        <v>0</v>
      </c>
      <c r="G34" s="33">
        <f>VLOOKUP($M$6,'ST PAPAPASTA'!A:B,2,FALSE)</f>
        <v>0.12</v>
      </c>
      <c r="H34" s="136">
        <f>VLOOKUP($M$6,PREÇOS!$A$2:$L$31,6,FALSE)</f>
        <v>12.39</v>
      </c>
      <c r="I34" s="137">
        <f>H34*6</f>
        <v>74.34</v>
      </c>
      <c r="J34" s="147">
        <v>0</v>
      </c>
      <c r="K34" s="147">
        <v>0</v>
      </c>
      <c r="L34" s="139">
        <f>(H34+J34+K34)*6</f>
        <v>74.34</v>
      </c>
      <c r="M34" s="140">
        <f>E34*I34</f>
        <v>0</v>
      </c>
      <c r="N34" s="139">
        <f>E34*L34</f>
        <v>0</v>
      </c>
      <c r="O34" s="136">
        <f>VLOOKUP($M$6,PSC!$A$2:$L$31,6,FALSE)</f>
        <v>18.989999999999998</v>
      </c>
    </row>
    <row r="35" spans="2:15" x14ac:dyDescent="0.3">
      <c r="B35" s="199" t="s">
        <v>40</v>
      </c>
      <c r="C35" s="198"/>
      <c r="D35" s="20">
        <v>5252</v>
      </c>
      <c r="E35" s="22"/>
      <c r="F35" s="20">
        <f>E35*6</f>
        <v>0</v>
      </c>
      <c r="G35" s="21">
        <f>VLOOKUP($M$6,'ST PAPAPASTA'!A:B,2,FALSE)</f>
        <v>0.12</v>
      </c>
      <c r="H35" s="142">
        <f>VLOOKUP($M$6,PREÇOS!$A$2:$L$31,6,FALSE)</f>
        <v>12.39</v>
      </c>
      <c r="I35" s="143">
        <f>H35*6</f>
        <v>74.34</v>
      </c>
      <c r="J35" s="144">
        <v>0</v>
      </c>
      <c r="K35" s="144">
        <v>0</v>
      </c>
      <c r="L35" s="145">
        <f>(H35+J35+K35)*6</f>
        <v>74.34</v>
      </c>
      <c r="M35" s="146">
        <f>E35*I35</f>
        <v>0</v>
      </c>
      <c r="N35" s="145">
        <f>E35*L35</f>
        <v>0</v>
      </c>
      <c r="O35" s="142">
        <f>VLOOKUP($M$6,PSC!$A$2:$L$31,6,FALSE)</f>
        <v>18.989999999999998</v>
      </c>
    </row>
    <row r="36" spans="2:15" x14ac:dyDescent="0.3">
      <c r="B36" s="35"/>
      <c r="C36" s="35"/>
      <c r="D36" s="35"/>
      <c r="E36" s="35"/>
      <c r="F36" s="124"/>
      <c r="G36" s="35"/>
      <c r="H36" s="149"/>
      <c r="I36" s="149"/>
      <c r="J36" s="149"/>
      <c r="K36" s="149"/>
      <c r="L36" s="149"/>
      <c r="M36" s="149"/>
      <c r="N36" s="149"/>
      <c r="O36" s="149"/>
    </row>
    <row r="37" spans="2:15" x14ac:dyDescent="0.3">
      <c r="B37" s="197" t="s">
        <v>41</v>
      </c>
      <c r="C37" s="198"/>
      <c r="D37" s="31">
        <v>5402</v>
      </c>
      <c r="E37" s="22"/>
      <c r="F37" s="121">
        <f>E37*12</f>
        <v>0</v>
      </c>
      <c r="G37" s="33">
        <f>VLOOKUP($M$6,'ST CEREAL SABOR POUCH 170'!A:B,2,FALSE)</f>
        <v>0.12</v>
      </c>
      <c r="H37" s="136">
        <f>VLOOKUP($M$6,PREÇOS!$A$2:$L$31,10,FALSE)</f>
        <v>6.7650000000000006</v>
      </c>
      <c r="I37" s="137">
        <f>H37*12</f>
        <v>81.180000000000007</v>
      </c>
      <c r="J37" s="150">
        <f>IF($G$7="SIM",VLOOKUP($M$6,'ST CEREAL SABOR POUCH 170'!$A$1:$J$31,10,FALSE),VLOOKUP($M$6,'ST CEREAL SABOR POUCH 170'!$A$1:$J$31,9,FALSE))</f>
        <v>0</v>
      </c>
      <c r="K37" s="150">
        <v>0</v>
      </c>
      <c r="L37" s="139">
        <f>(H37+J37+K37)*12</f>
        <v>81.180000000000007</v>
      </c>
      <c r="M37" s="140">
        <f>E37*I37</f>
        <v>0</v>
      </c>
      <c r="N37" s="139">
        <f>E37*L37</f>
        <v>0</v>
      </c>
      <c r="O37" s="136">
        <f>VLOOKUP($M$6,PSC!$A$2:$L$31,10,FALSE)</f>
        <v>9.99</v>
      </c>
    </row>
    <row r="38" spans="2:15" x14ac:dyDescent="0.3">
      <c r="B38" s="199" t="s">
        <v>42</v>
      </c>
      <c r="C38" s="198"/>
      <c r="D38" s="20">
        <v>5419</v>
      </c>
      <c r="E38" s="22"/>
      <c r="F38" s="20">
        <f>E38*12</f>
        <v>0</v>
      </c>
      <c r="G38" s="21">
        <f>VLOOKUP($M$6,'ST CEREAL SABOR POUCH 170'!A:B,2,FALSE)</f>
        <v>0.12</v>
      </c>
      <c r="H38" s="142">
        <f>VLOOKUP($M$6,PREÇOS!$A$2:$L$31,10,FALSE)</f>
        <v>6.7650000000000006</v>
      </c>
      <c r="I38" s="143">
        <f>H38*12</f>
        <v>81.180000000000007</v>
      </c>
      <c r="J38" s="144">
        <f>IF($G$7="SIM",VLOOKUP($M$6,'ST CEREAL SABOR POUCH 170'!$A$1:$J$31,10,FALSE),VLOOKUP($M$6,'ST CEREAL SABOR POUCH 170'!$A$1:$J$31,9,FALSE))</f>
        <v>0</v>
      </c>
      <c r="K38" s="144">
        <v>0</v>
      </c>
      <c r="L38" s="145">
        <f>(H38+J38+K38)*12</f>
        <v>81.180000000000007</v>
      </c>
      <c r="M38" s="146">
        <f>E38*I38</f>
        <v>0</v>
      </c>
      <c r="N38" s="145">
        <f>E38*L38</f>
        <v>0</v>
      </c>
      <c r="O38" s="142">
        <f>VLOOKUP($M$6,PSC!$A$2:$L$31,10,FALSE)</f>
        <v>9.99</v>
      </c>
    </row>
    <row r="39" spans="2:15" x14ac:dyDescent="0.3">
      <c r="B39" s="197" t="s">
        <v>43</v>
      </c>
      <c r="C39" s="198"/>
      <c r="D39" s="31">
        <v>5429</v>
      </c>
      <c r="E39" s="22"/>
      <c r="F39" s="121">
        <f>E39*12</f>
        <v>0</v>
      </c>
      <c r="G39" s="33">
        <f>VLOOKUP($M$6,'ST MULTI 170 POUCH'!A:B,2,FALSE)</f>
        <v>0.12</v>
      </c>
      <c r="H39" s="136">
        <f>VLOOKUP($M$6,PREÇOS!$A$2:$L$31,11,FALSE)</f>
        <v>6.7650000000000006</v>
      </c>
      <c r="I39" s="137">
        <f>H39*12</f>
        <v>81.180000000000007</v>
      </c>
      <c r="J39" s="150">
        <f>IF($G$7="SIM",VLOOKUP($M$6,'ST MULTI 170 POUCH'!$A$1:$J$31,10,FALSE),VLOOKUP($M$6,'ST MULTI 170 POUCH'!$A$1:$J$31,9,FALSE))</f>
        <v>0</v>
      </c>
      <c r="K39" s="150">
        <v>0</v>
      </c>
      <c r="L39" s="139">
        <f>(H39+J39+K39)*12</f>
        <v>81.180000000000007</v>
      </c>
      <c r="M39" s="140">
        <f>E39*I39</f>
        <v>0</v>
      </c>
      <c r="N39" s="139">
        <f>E39*L39</f>
        <v>0</v>
      </c>
      <c r="O39" s="136">
        <f>VLOOKUP($M$6,PSC!$A$2:$L$31,11,FALSE)</f>
        <v>9.99</v>
      </c>
    </row>
    <row r="40" spans="2:15" x14ac:dyDescent="0.3">
      <c r="B40" s="199" t="s">
        <v>44</v>
      </c>
      <c r="C40" s="198"/>
      <c r="D40" s="20">
        <v>5399</v>
      </c>
      <c r="E40" s="22"/>
      <c r="F40" s="20">
        <f>E40*12</f>
        <v>0</v>
      </c>
      <c r="G40" s="21">
        <f>VLOOKUP($M$6,'ST MULTI 500 POUCH'!A:B,2,FALSE)</f>
        <v>0.12</v>
      </c>
      <c r="H40" s="142">
        <f>VLOOKUP($M$6,PREÇOS!$A$2:$L$31,12,FALSE)</f>
        <v>16.1892</v>
      </c>
      <c r="I40" s="143">
        <f>H40*12</f>
        <v>194.2704</v>
      </c>
      <c r="J40" s="144">
        <f>IF($G$7="SIM",VLOOKUP($M$6,'ST MULTI 500 POUCH'!$A$1:$J$31,10,FALSE),VLOOKUP($M$6,'ST MULTI 500 POUCH'!$A$1:$J$31,9,FALSE))</f>
        <v>0</v>
      </c>
      <c r="K40" s="144">
        <v>0</v>
      </c>
      <c r="L40" s="145">
        <f>(H40+J40+K40)*12</f>
        <v>194.2704</v>
      </c>
      <c r="M40" s="146">
        <f>E40*I40</f>
        <v>0</v>
      </c>
      <c r="N40" s="145">
        <f>E40*L40</f>
        <v>0</v>
      </c>
      <c r="O40" s="142">
        <f>VLOOKUP($M$6,PSC!$A$2:$L$31,12,FALSE)</f>
        <v>23.99</v>
      </c>
    </row>
    <row r="41" spans="2:15" x14ac:dyDescent="0.3">
      <c r="B41" s="36"/>
      <c r="C41" s="37"/>
      <c r="D41" s="38"/>
      <c r="F41" s="125"/>
      <c r="G41" s="40"/>
      <c r="H41" s="151"/>
      <c r="I41" s="152"/>
      <c r="J41" s="153"/>
      <c r="K41" s="153"/>
      <c r="L41" s="154"/>
      <c r="M41" s="154"/>
      <c r="N41" s="154"/>
      <c r="O41" s="152"/>
    </row>
    <row r="42" spans="2:15" x14ac:dyDescent="0.3">
      <c r="B42" s="199" t="s">
        <v>45</v>
      </c>
      <c r="C42" s="198"/>
      <c r="D42" s="20">
        <v>5375</v>
      </c>
      <c r="E42" s="22"/>
      <c r="F42" s="20">
        <f>E42*12</f>
        <v>0</v>
      </c>
      <c r="G42" s="21">
        <f>VLOOKUP($M$6,'ST BISCOTTI'!A:B,2,FALSE)</f>
        <v>0.12</v>
      </c>
      <c r="H42" s="142">
        <f>VLOOKUP($M$6,PREÇOS!$A$2:$L$31,8,FALSE)</f>
        <v>8.9880000000000013</v>
      </c>
      <c r="I42" s="143">
        <f>H42*12</f>
        <v>107.85600000000002</v>
      </c>
      <c r="J42" s="144">
        <f>IF($G$7="SIM",VLOOKUP($M$6,'ST BISCOTTI'!$A$1:$J$31,10,FALSE),VLOOKUP($M$6,'ST BISCOTTI'!$A$1:$J$31,9,FALSE))</f>
        <v>0</v>
      </c>
      <c r="K42" s="144">
        <v>0</v>
      </c>
      <c r="L42" s="145">
        <f>(H42+J42+K42)*12</f>
        <v>107.85600000000002</v>
      </c>
      <c r="M42" s="146">
        <f>E42*I42</f>
        <v>0</v>
      </c>
      <c r="N42" s="145">
        <f>E42*L42</f>
        <v>0</v>
      </c>
      <c r="O42" s="142">
        <f>VLOOKUP($M$6,PSC!$A$2:$L$31,8,FALSE)</f>
        <v>13.49</v>
      </c>
    </row>
    <row r="43" spans="2:15" x14ac:dyDescent="0.3">
      <c r="B43" s="197" t="s">
        <v>46</v>
      </c>
      <c r="C43" s="198"/>
      <c r="D43" s="31">
        <v>5351</v>
      </c>
      <c r="E43" s="22"/>
      <c r="F43" s="121">
        <f>E43*12</f>
        <v>0</v>
      </c>
      <c r="G43" s="33">
        <f>VLOOKUP($M$6,'ST BISCOTTI'!A:B,2,FALSE)</f>
        <v>0.12</v>
      </c>
      <c r="H43" s="136">
        <f>VLOOKUP($M$6,PREÇOS!$A$2:$L$31,8,FALSE)</f>
        <v>8.9880000000000013</v>
      </c>
      <c r="I43" s="137">
        <f>H43*12</f>
        <v>107.85600000000002</v>
      </c>
      <c r="J43" s="147">
        <f>IF($G$7="SIM",VLOOKUP($M$6,'ST BISCOTTI'!$A$1:$J$31,10,FALSE),VLOOKUP($M$6,'ST BISCOTTI'!$A$1:$J$31,9,FALSE))</f>
        <v>0</v>
      </c>
      <c r="K43" s="147">
        <v>0</v>
      </c>
      <c r="L43" s="139">
        <f>(H43+J43+K43)*12</f>
        <v>107.85600000000002</v>
      </c>
      <c r="M43" s="140">
        <f>E43*I43</f>
        <v>0</v>
      </c>
      <c r="N43" s="139">
        <f>E43*L43</f>
        <v>0</v>
      </c>
      <c r="O43" s="136">
        <f>VLOOKUP($M$6,PSC!$A$2:$L$31,8,FALSE)</f>
        <v>13.49</v>
      </c>
    </row>
    <row r="44" spans="2:15" x14ac:dyDescent="0.3">
      <c r="B44" s="199" t="s">
        <v>47</v>
      </c>
      <c r="C44" s="198"/>
      <c r="D44" s="20">
        <v>5368</v>
      </c>
      <c r="E44" s="22"/>
      <c r="F44" s="20">
        <f>E44*12</f>
        <v>0</v>
      </c>
      <c r="G44" s="21">
        <f>VLOOKUP($M$6,'ST BISCOTTI'!A:B,2,FALSE)</f>
        <v>0.12</v>
      </c>
      <c r="H44" s="142">
        <f>VLOOKUP($M$6,PREÇOS!$A$2:$L$31,8,FALSE)</f>
        <v>8.9880000000000013</v>
      </c>
      <c r="I44" s="143">
        <f>H44*12</f>
        <v>107.85600000000002</v>
      </c>
      <c r="J44" s="144">
        <f>IF($G$7="SIM",VLOOKUP($M$6,'ST BISCOTTI'!$A$1:$J$31,10,FALSE),VLOOKUP($M$6,'ST BISCOTTI'!$A$1:$J$31,9,FALSE))</f>
        <v>0</v>
      </c>
      <c r="K44" s="144">
        <v>0</v>
      </c>
      <c r="L44" s="145">
        <f>(H44+J44+K44)*12</f>
        <v>107.85600000000002</v>
      </c>
      <c r="M44" s="146">
        <f>E44*I44</f>
        <v>0</v>
      </c>
      <c r="N44" s="145">
        <f>E44*L44</f>
        <v>0</v>
      </c>
      <c r="O44" s="142">
        <f>VLOOKUP($M$6,PSC!$A$2:$L$31,8,FALSE)</f>
        <v>13.49</v>
      </c>
    </row>
    <row r="45" spans="2:15" x14ac:dyDescent="0.3">
      <c r="B45" s="197" t="s">
        <v>48</v>
      </c>
      <c r="C45" s="198"/>
      <c r="D45" s="31">
        <v>5597</v>
      </c>
      <c r="E45" s="22"/>
      <c r="F45" s="121">
        <f>E45*12</f>
        <v>0</v>
      </c>
      <c r="G45" s="33">
        <f>VLOOKUP($M$6,'ST BISCOTTI'!A:B,2,FALSE)</f>
        <v>0.12</v>
      </c>
      <c r="H45" s="136">
        <f>VLOOKUP($M$6,PREÇOS!$A$2:$L$31,8,FALSE)</f>
        <v>8.9880000000000013</v>
      </c>
      <c r="I45" s="137">
        <f>H45*12</f>
        <v>107.85600000000002</v>
      </c>
      <c r="J45" s="147">
        <f>IF($G$7="SIM",VLOOKUP($M$6,'ST BISCOTTI'!$A$1:$J$31,10,FALSE),VLOOKUP($M$6,'ST BISCOTTI'!$A$1:$J$31,9,FALSE))</f>
        <v>0</v>
      </c>
      <c r="K45" s="147">
        <v>0</v>
      </c>
      <c r="L45" s="139">
        <f>(H45+J45+K45)*12</f>
        <v>107.85600000000002</v>
      </c>
      <c r="M45" s="140">
        <f>E45*I45</f>
        <v>0</v>
      </c>
      <c r="N45" s="139">
        <f>E45*L45</f>
        <v>0</v>
      </c>
      <c r="O45" s="136">
        <f>VLOOKUP($M$6,PSC!$A$2:$L$31,8,FALSE)</f>
        <v>13.49</v>
      </c>
    </row>
    <row r="46" spans="2:15" x14ac:dyDescent="0.3">
      <c r="B46" s="199" t="s">
        <v>49</v>
      </c>
      <c r="C46" s="198"/>
      <c r="D46" s="95">
        <v>5580</v>
      </c>
      <c r="E46" s="22"/>
      <c r="F46" s="20">
        <f>E46*12</f>
        <v>0</v>
      </c>
      <c r="G46" s="21">
        <f>VLOOKUP($M$6,'ST BISCOTTI'!A:B,2,FALSE)</f>
        <v>0.12</v>
      </c>
      <c r="H46" s="142">
        <f>VLOOKUP($M$6,PREÇOS!$A$2:$L$31,8,FALSE)</f>
        <v>8.9880000000000013</v>
      </c>
      <c r="I46" s="143">
        <f>H46*12</f>
        <v>107.85600000000002</v>
      </c>
      <c r="J46" s="144">
        <f>IF($G$7="SIM",VLOOKUP($M$6,'ST BISCOTTI'!$A$1:$J$31,10,FALSE),VLOOKUP($M$6,'ST BISCOTTI'!$A$1:$J$31,9,FALSE))</f>
        <v>0</v>
      </c>
      <c r="K46" s="144">
        <v>0</v>
      </c>
      <c r="L46" s="145">
        <f>(H46+J46+K46)*12</f>
        <v>107.85600000000002</v>
      </c>
      <c r="M46" s="146">
        <f>E46*I46</f>
        <v>0</v>
      </c>
      <c r="N46" s="145">
        <f>E46*L46</f>
        <v>0</v>
      </c>
      <c r="O46" s="142">
        <f>VLOOKUP($M$6,PSC!$A$2:$L$31,8,FALSE)</f>
        <v>13.49</v>
      </c>
    </row>
    <row r="47" spans="2:15" x14ac:dyDescent="0.3">
      <c r="F47" s="126"/>
      <c r="H47" s="155"/>
      <c r="I47" s="155"/>
      <c r="J47" s="155"/>
      <c r="K47" s="155"/>
      <c r="L47" s="155"/>
      <c r="M47" s="155"/>
      <c r="N47" s="155"/>
      <c r="O47" s="155"/>
    </row>
    <row r="48" spans="2:15" x14ac:dyDescent="0.3">
      <c r="B48" s="199" t="s">
        <v>50</v>
      </c>
      <c r="C48" s="198"/>
      <c r="D48" s="20">
        <v>5610</v>
      </c>
      <c r="E48" s="22"/>
      <c r="F48" s="20">
        <f>E48*6</f>
        <v>0</v>
      </c>
      <c r="G48" s="21">
        <f>VLOOKUP($M$6,'ST BISCOTTI'!A:B,2,FALSE)</f>
        <v>0.12</v>
      </c>
      <c r="H48" s="142">
        <f>VLOOKUP($M$6,PREÇOS!$A$2:$N$31,14,FALSE)</f>
        <v>12.94</v>
      </c>
      <c r="I48" s="143">
        <f>H48*6</f>
        <v>77.64</v>
      </c>
      <c r="J48" s="144">
        <v>0</v>
      </c>
      <c r="K48" s="144">
        <v>0</v>
      </c>
      <c r="L48" s="145">
        <f>(H48+J48+K48)*6</f>
        <v>77.64</v>
      </c>
      <c r="M48" s="146">
        <f>E48*I48</f>
        <v>0</v>
      </c>
      <c r="N48" s="145">
        <f>E48*L48</f>
        <v>0</v>
      </c>
      <c r="O48" s="142">
        <v>18.989999999999998</v>
      </c>
    </row>
    <row r="49" spans="2:15" x14ac:dyDescent="0.3">
      <c r="B49" s="197" t="s">
        <v>51</v>
      </c>
      <c r="C49" s="198"/>
      <c r="D49" s="31">
        <v>5634</v>
      </c>
      <c r="E49" s="22"/>
      <c r="F49" s="121">
        <f>E49*6</f>
        <v>0</v>
      </c>
      <c r="G49" s="33">
        <f>VLOOKUP($M$6,'ST BISCOTTI'!A:B,2,FALSE)</f>
        <v>0.12</v>
      </c>
      <c r="H49" s="136">
        <f>VLOOKUP($M$6,PREÇOS!$A$2:$N$31,14,FALSE)</f>
        <v>12.94</v>
      </c>
      <c r="I49" s="137">
        <f>H49*6</f>
        <v>77.64</v>
      </c>
      <c r="J49" s="147">
        <v>0</v>
      </c>
      <c r="K49" s="147">
        <v>0</v>
      </c>
      <c r="L49" s="139">
        <f>(H49+J49+K49)*6</f>
        <v>77.64</v>
      </c>
      <c r="M49" s="140">
        <f>E49*I49</f>
        <v>0</v>
      </c>
      <c r="N49" s="139">
        <f>E49*L49</f>
        <v>0</v>
      </c>
      <c r="O49" s="136">
        <v>18.989999999999998</v>
      </c>
    </row>
    <row r="50" spans="2:15" x14ac:dyDescent="0.3">
      <c r="B50" s="199" t="s">
        <v>52</v>
      </c>
      <c r="C50" s="198"/>
      <c r="D50" s="20">
        <v>5627</v>
      </c>
      <c r="E50" s="22"/>
      <c r="F50" s="20">
        <f>E50*6</f>
        <v>0</v>
      </c>
      <c r="G50" s="21">
        <f>VLOOKUP($M$6,'ST BISCOTTI'!A:B,2,FALSE)</f>
        <v>0.12</v>
      </c>
      <c r="H50" s="142">
        <f>VLOOKUP($M$6,PREÇOS!$A$2:$N$31,14,FALSE)</f>
        <v>12.94</v>
      </c>
      <c r="I50" s="143">
        <f>H50*6</f>
        <v>77.64</v>
      </c>
      <c r="J50" s="144">
        <v>0</v>
      </c>
      <c r="K50" s="144">
        <v>0</v>
      </c>
      <c r="L50" s="145">
        <f>(H50+J50+K50)*6</f>
        <v>77.64</v>
      </c>
      <c r="M50" s="146">
        <f>E50*I50</f>
        <v>0</v>
      </c>
      <c r="N50" s="145">
        <f>E50*L50</f>
        <v>0</v>
      </c>
      <c r="O50" s="142">
        <v>18.989999999999998</v>
      </c>
    </row>
    <row r="51" spans="2:15" x14ac:dyDescent="0.3">
      <c r="B51" s="197" t="s">
        <v>53</v>
      </c>
      <c r="C51" s="198"/>
      <c r="D51" s="31">
        <v>5603</v>
      </c>
      <c r="E51" s="22"/>
      <c r="F51" s="121">
        <f>E51*6</f>
        <v>0</v>
      </c>
      <c r="G51" s="33">
        <f>VLOOKUP($M$6,'ST BISCOTTI'!A:B,2,FALSE)</f>
        <v>0.12</v>
      </c>
      <c r="H51" s="136">
        <f>VLOOKUP($M$6,PREÇOS!$A$2:$N$31,14,FALSE)</f>
        <v>12.94</v>
      </c>
      <c r="I51" s="137">
        <f>H51*6</f>
        <v>77.64</v>
      </c>
      <c r="J51" s="147">
        <v>0</v>
      </c>
      <c r="K51" s="147">
        <v>0</v>
      </c>
      <c r="L51" s="139">
        <f>(H51+J51+K51)*6</f>
        <v>77.64</v>
      </c>
      <c r="M51" s="140">
        <f>E51*I51</f>
        <v>0</v>
      </c>
      <c r="N51" s="139">
        <f>E51*L51</f>
        <v>0</v>
      </c>
      <c r="O51" s="136">
        <v>18.989999999999998</v>
      </c>
    </row>
    <row r="52" spans="2:15" x14ac:dyDescent="0.3">
      <c r="B52" s="36"/>
      <c r="C52" s="37"/>
      <c r="D52" s="38"/>
      <c r="E52" s="120"/>
      <c r="F52" s="127"/>
      <c r="G52" s="40"/>
      <c r="H52" s="151"/>
      <c r="I52" s="152"/>
      <c r="J52" s="153"/>
      <c r="K52" s="153"/>
      <c r="L52" s="154"/>
      <c r="M52" s="154"/>
      <c r="N52" s="154"/>
      <c r="O52" s="151"/>
    </row>
    <row r="53" spans="2:15" x14ac:dyDescent="0.3">
      <c r="B53" s="199" t="s">
        <v>54</v>
      </c>
      <c r="C53" s="198"/>
      <c r="D53" s="20">
        <v>5670</v>
      </c>
      <c r="E53" s="22"/>
      <c r="F53" s="20">
        <f>E53*18</f>
        <v>0</v>
      </c>
      <c r="G53" s="21">
        <f>VLOOKUP($M$6,'ST EXTRUSADOS'!A:B,2,FALSE)</f>
        <v>0.12</v>
      </c>
      <c r="H53" s="142">
        <f>VLOOKUP($M$6,PREÇOS!$A$2:$Q$31,15,FALSE)</f>
        <v>5.0999999999999996</v>
      </c>
      <c r="I53" s="143">
        <f>H53*18</f>
        <v>91.8</v>
      </c>
      <c r="J53" s="144">
        <f>IF($G$7="SIM",VLOOKUP($M$6,'ST EXTRUSADOS'!$A$1:$J$31,10,FALSE),VLOOKUP($M$6,'ST EXTRUSADOS'!$A$1:$J$31,9,FALSE))</f>
        <v>0</v>
      </c>
      <c r="K53" s="144">
        <v>0</v>
      </c>
      <c r="L53" s="145">
        <f>(H53+J53+K53)*18</f>
        <v>91.8</v>
      </c>
      <c r="M53" s="146">
        <f>E53*I53</f>
        <v>0</v>
      </c>
      <c r="N53" s="145">
        <f>E53*L53</f>
        <v>0</v>
      </c>
      <c r="O53" s="142">
        <f>VLOOKUP($M$6,PSC!$A$2:$Q$31,15,FALSE)</f>
        <v>8.99</v>
      </c>
    </row>
    <row r="54" spans="2:15" x14ac:dyDescent="0.3">
      <c r="B54" s="197" t="s">
        <v>55</v>
      </c>
      <c r="C54" s="198"/>
      <c r="D54" s="31">
        <v>5671</v>
      </c>
      <c r="E54" s="22"/>
      <c r="F54" s="128">
        <f>E54*18</f>
        <v>0</v>
      </c>
      <c r="G54" s="33">
        <f>VLOOKUP($M$6,'ST EXTRUSADOS'!A:B,2,FALSE)</f>
        <v>0.12</v>
      </c>
      <c r="H54" s="136">
        <f>VLOOKUP($M$6,PREÇOS!$A$2:$Q$31,15,FALSE)</f>
        <v>5.0999999999999996</v>
      </c>
      <c r="I54" s="137">
        <f>H54*18</f>
        <v>91.8</v>
      </c>
      <c r="J54" s="147">
        <f>IF($G$7="SIM",VLOOKUP($M$6,'ST EXTRUSADOS'!$A$1:$J$31,10,FALSE),VLOOKUP($M$6,'ST EXTRUSADOS'!$A$1:$J$31,9,FALSE))</f>
        <v>0</v>
      </c>
      <c r="K54" s="147">
        <v>0</v>
      </c>
      <c r="L54" s="139">
        <f>(H54+J54+K54)*18</f>
        <v>91.8</v>
      </c>
      <c r="M54" s="140">
        <f>E54*I54</f>
        <v>0</v>
      </c>
      <c r="N54" s="139">
        <f>E54*L54</f>
        <v>0</v>
      </c>
      <c r="O54" s="156">
        <f>VLOOKUP($M$6,PSC!$A$2:$Q$31,15,FALSE)</f>
        <v>8.99</v>
      </c>
    </row>
    <row r="55" spans="2:15" x14ac:dyDescent="0.3">
      <c r="B55" s="199" t="s">
        <v>56</v>
      </c>
      <c r="C55" s="198"/>
      <c r="D55" s="20">
        <v>5673</v>
      </c>
      <c r="E55" s="22"/>
      <c r="F55" s="20">
        <f>E55*18</f>
        <v>0</v>
      </c>
      <c r="G55" s="21">
        <f>VLOOKUP($M$6,'ST EXTRUSADOS'!A:B,2,FALSE)</f>
        <v>0.12</v>
      </c>
      <c r="H55" s="142">
        <f>VLOOKUP($M$6,PREÇOS!$A$2:$Q$31,15,FALSE)</f>
        <v>5.0999999999999996</v>
      </c>
      <c r="I55" s="143">
        <f>H55*18</f>
        <v>91.8</v>
      </c>
      <c r="J55" s="144">
        <f>IF($G$7="SIM",VLOOKUP($M$6,'ST EXTRUSADOS'!$A$1:$J$31,10,FALSE),VLOOKUP($M$6,'ST EXTRUSADOS'!$A$1:$J$31,9,FALSE))</f>
        <v>0</v>
      </c>
      <c r="K55" s="144">
        <v>0</v>
      </c>
      <c r="L55" s="145">
        <f>(H55+J55+K55)*18</f>
        <v>91.8</v>
      </c>
      <c r="M55" s="146">
        <f>E55*I55</f>
        <v>0</v>
      </c>
      <c r="N55" s="145">
        <f>E55*L55</f>
        <v>0</v>
      </c>
      <c r="O55" s="142">
        <f>VLOOKUP($M$6,PSC!$A$2:$Q$31,15,FALSE)</f>
        <v>8.99</v>
      </c>
    </row>
    <row r="56" spans="2:15" x14ac:dyDescent="0.3">
      <c r="B56" s="36"/>
      <c r="C56" s="37"/>
      <c r="D56" s="38"/>
      <c r="E56" s="23"/>
      <c r="F56" s="38"/>
      <c r="G56" s="40"/>
      <c r="H56" s="151"/>
      <c r="I56" s="152"/>
      <c r="J56" s="153"/>
      <c r="K56" s="153"/>
      <c r="L56" s="154"/>
      <c r="M56" s="154"/>
      <c r="N56" s="154"/>
      <c r="O56" s="153"/>
    </row>
    <row r="57" spans="2:15" ht="14.4" hidden="1" customHeight="1" x14ac:dyDescent="0.3">
      <c r="B57" s="208" t="s">
        <v>57</v>
      </c>
      <c r="C57" s="198"/>
      <c r="D57" s="98">
        <v>5677</v>
      </c>
      <c r="E57" s="22"/>
      <c r="F57" s="128">
        <f>E57*8</f>
        <v>0</v>
      </c>
      <c r="G57" s="100">
        <f>VLOOKUP($M$6,'ST RECHEADOS'!A:B,2,FALSE)</f>
        <v>0.12</v>
      </c>
      <c r="H57" s="157">
        <f>VLOOKUP($M$6,PREÇOS!$A$2:$Q$31,16,FALSE)</f>
        <v>5</v>
      </c>
      <c r="I57" s="158">
        <f>H57*8</f>
        <v>40</v>
      </c>
      <c r="J57" s="150">
        <f>IF($G$7="SIM",VLOOKUP($M$6,'ST RECHEADOS'!$A$1:$J$31,10,FALSE),VLOOKUP($M$6,'ST RECHEADOS'!$A$1:$J$31,9,FALSE))</f>
        <v>0</v>
      </c>
      <c r="K57" s="150">
        <v>0</v>
      </c>
      <c r="L57" s="159">
        <f>(H57+J57+K57)*8</f>
        <v>40</v>
      </c>
      <c r="M57" s="160">
        <f>E57*I57</f>
        <v>0</v>
      </c>
      <c r="N57" s="159">
        <f>E57*L57</f>
        <v>0</v>
      </c>
      <c r="O57" s="142">
        <f>VLOOKUP($M$6,PSC!$A$2:$Q$31,16,FALSE)</f>
        <v>7.6</v>
      </c>
    </row>
    <row r="58" spans="2:15" hidden="1" x14ac:dyDescent="0.3">
      <c r="B58" s="199" t="s">
        <v>58</v>
      </c>
      <c r="C58" s="198"/>
      <c r="D58" s="20">
        <v>5678</v>
      </c>
      <c r="E58" s="22"/>
      <c r="F58" s="20">
        <f>E58*8</f>
        <v>0</v>
      </c>
      <c r="G58" s="21">
        <f>VLOOKUP($M$6,'ST RECHEADOS'!A:B,2,FALSE)</f>
        <v>0.12</v>
      </c>
      <c r="H58" s="142">
        <f>VLOOKUP($M$6,PREÇOS!$A$2:$Q$31,16,FALSE)</f>
        <v>5</v>
      </c>
      <c r="I58" s="143">
        <f>H58*8</f>
        <v>40</v>
      </c>
      <c r="J58" s="144">
        <f>IF($G$7="SIM",VLOOKUP($M$6,'ST RECHEADOS'!$A$1:$J$31,10,FALSE),VLOOKUP($M$6,'ST RECHEADOS'!$A$1:$J$31,9,FALSE))</f>
        <v>0</v>
      </c>
      <c r="K58" s="144">
        <v>0</v>
      </c>
      <c r="L58" s="145">
        <f>(H58+J58+K58)*8</f>
        <v>40</v>
      </c>
      <c r="M58" s="146">
        <f>E58*I58</f>
        <v>0</v>
      </c>
      <c r="N58" s="145">
        <f>E58*L58</f>
        <v>0</v>
      </c>
      <c r="O58" s="142">
        <f>VLOOKUP($M$6,PSC!$A$2:$Q$31,16,FALSE)</f>
        <v>7.6</v>
      </c>
    </row>
    <row r="59" spans="2:15" x14ac:dyDescent="0.3">
      <c r="B59" s="36"/>
      <c r="C59" s="37"/>
      <c r="D59" s="38"/>
      <c r="E59" s="23"/>
      <c r="F59" s="38"/>
      <c r="G59" s="40"/>
      <c r="H59" s="151"/>
      <c r="I59" s="152"/>
      <c r="J59" s="153"/>
      <c r="K59" s="153"/>
      <c r="L59" s="154"/>
      <c r="M59" s="154"/>
      <c r="N59" s="154"/>
      <c r="O59" s="153"/>
    </row>
    <row r="60" spans="2:15" x14ac:dyDescent="0.3">
      <c r="B60" s="199" t="s">
        <v>59</v>
      </c>
      <c r="C60" s="198"/>
      <c r="D60" s="20">
        <v>5680</v>
      </c>
      <c r="E60" s="22"/>
      <c r="F60" s="20">
        <f>E60*27</f>
        <v>0</v>
      </c>
      <c r="G60" s="21">
        <f>VLOOKUP($M$6,'ST BISCOTTI'!A:B,2,FALSE)</f>
        <v>0.12</v>
      </c>
      <c r="H60" s="142">
        <f>VLOOKUP($M$6,PREÇOS!$A$2:$Q$31,17,FALSE)</f>
        <v>3.3</v>
      </c>
      <c r="I60" s="143">
        <f>H60*27</f>
        <v>89.1</v>
      </c>
      <c r="J60" s="144">
        <v>0</v>
      </c>
      <c r="K60" s="144">
        <v>0</v>
      </c>
      <c r="L60" s="145">
        <f>(H60+J60+K60)*27</f>
        <v>89.1</v>
      </c>
      <c r="M60" s="146">
        <f>E60*I60</f>
        <v>0</v>
      </c>
      <c r="N60" s="145">
        <f>E60*L60</f>
        <v>0</v>
      </c>
      <c r="O60" s="142">
        <f>VLOOKUP($M$6,PSC!$A$2:$Q$31,17,FALSE)</f>
        <v>5.19</v>
      </c>
    </row>
    <row r="61" spans="2:15" x14ac:dyDescent="0.3">
      <c r="B61" s="197" t="s">
        <v>60</v>
      </c>
      <c r="C61" s="198"/>
      <c r="D61" s="31">
        <v>5681</v>
      </c>
      <c r="E61" s="22"/>
      <c r="F61" s="128">
        <f>E61*27</f>
        <v>0</v>
      </c>
      <c r="G61" s="33">
        <f>VLOOKUP($M$6,'ST BISCOTTI'!A:B,2,FALSE)</f>
        <v>0.12</v>
      </c>
      <c r="H61" s="136">
        <f>VLOOKUP($M$6,PREÇOS!$A$2:$Q$31,17,FALSE)</f>
        <v>3.3</v>
      </c>
      <c r="I61" s="137">
        <f>H61*27</f>
        <v>89.1</v>
      </c>
      <c r="J61" s="147">
        <v>0</v>
      </c>
      <c r="K61" s="147">
        <v>0</v>
      </c>
      <c r="L61" s="139">
        <f>(H61+J61+K61)*27</f>
        <v>89.1</v>
      </c>
      <c r="M61" s="140">
        <f>E61*I61</f>
        <v>0</v>
      </c>
      <c r="N61" s="139">
        <f>E61*L61</f>
        <v>0</v>
      </c>
      <c r="O61" s="156">
        <f>VLOOKUP($M$6,PSC!$A$2:$Q$31,17,FALSE)</f>
        <v>5.19</v>
      </c>
    </row>
    <row r="62" spans="2:15" x14ac:dyDescent="0.3">
      <c r="B62" s="199" t="s">
        <v>61</v>
      </c>
      <c r="C62" s="198"/>
      <c r="D62" s="20">
        <v>5682</v>
      </c>
      <c r="E62" s="22"/>
      <c r="F62" s="20">
        <f>E62*27</f>
        <v>0</v>
      </c>
      <c r="G62" s="21">
        <f>VLOOKUP($M$6,'ST BISCOTTI'!A:B,2,FALSE)</f>
        <v>0.12</v>
      </c>
      <c r="H62" s="142">
        <f>VLOOKUP($M$6,PREÇOS!$A$2:$Q$31,17,FALSE)</f>
        <v>3.3</v>
      </c>
      <c r="I62" s="143">
        <f>H62*27</f>
        <v>89.1</v>
      </c>
      <c r="J62" s="144">
        <v>0</v>
      </c>
      <c r="K62" s="144">
        <v>0</v>
      </c>
      <c r="L62" s="145">
        <f>(H62+J62+K62)*27</f>
        <v>89.1</v>
      </c>
      <c r="M62" s="146">
        <f>E62*I62</f>
        <v>0</v>
      </c>
      <c r="N62" s="145">
        <f>E62*L62</f>
        <v>0</v>
      </c>
      <c r="O62" s="142">
        <f>VLOOKUP($M$6,PSC!$A$2:$Q$31,17,FALSE)</f>
        <v>5.19</v>
      </c>
    </row>
    <row r="63" spans="2:15" x14ac:dyDescent="0.3">
      <c r="B63" s="197" t="s">
        <v>62</v>
      </c>
      <c r="C63" s="198"/>
      <c r="D63" s="31">
        <v>5683</v>
      </c>
      <c r="E63" s="22"/>
      <c r="F63" s="128">
        <f>E63*27</f>
        <v>0</v>
      </c>
      <c r="G63" s="33">
        <f>VLOOKUP($M$6,'ST BISCOTTI'!A:B,2,FALSE)</f>
        <v>0.12</v>
      </c>
      <c r="H63" s="136">
        <f>VLOOKUP($M$6,PREÇOS!$A$2:$Q$31,17,FALSE)</f>
        <v>3.3</v>
      </c>
      <c r="I63" s="137">
        <f>H63*27</f>
        <v>89.1</v>
      </c>
      <c r="J63" s="147">
        <v>0</v>
      </c>
      <c r="K63" s="147">
        <v>0</v>
      </c>
      <c r="L63" s="139">
        <f>(H63+J63+K63)*27</f>
        <v>89.1</v>
      </c>
      <c r="M63" s="140">
        <f>E63*I63</f>
        <v>0</v>
      </c>
      <c r="N63" s="139">
        <f>E63*L63</f>
        <v>0</v>
      </c>
      <c r="O63" s="156">
        <f>VLOOKUP($M$6,PSC!$A$2:$Q$31,17,FALSE)</f>
        <v>5.19</v>
      </c>
    </row>
    <row r="64" spans="2:15" x14ac:dyDescent="0.3">
      <c r="B64" s="36"/>
      <c r="C64" s="37"/>
      <c r="D64" s="38"/>
      <c r="E64" s="23"/>
      <c r="F64" s="38"/>
      <c r="G64" s="40"/>
      <c r="H64" s="151"/>
      <c r="I64" s="152"/>
      <c r="J64" s="153"/>
      <c r="K64" s="153"/>
      <c r="L64" s="154"/>
      <c r="M64" s="154"/>
      <c r="N64" s="154"/>
      <c r="O64" s="153"/>
    </row>
    <row r="65" spans="2:15" x14ac:dyDescent="0.3">
      <c r="B65" s="199" t="s">
        <v>63</v>
      </c>
      <c r="C65" s="198"/>
      <c r="D65" s="20">
        <v>5685</v>
      </c>
      <c r="E65" s="22"/>
      <c r="F65" s="20">
        <f>E65*27</f>
        <v>0</v>
      </c>
      <c r="G65" s="21">
        <f>VLOOKUP($M$6,'ST BISCOTTI'!A:B,2,FALSE)</f>
        <v>0.12</v>
      </c>
      <c r="H65" s="142">
        <f>VLOOKUP($M$6,PREÇOS!$A$2:$T$31,18,FALSE)</f>
        <v>3.96</v>
      </c>
      <c r="I65" s="143">
        <f>H65*27</f>
        <v>106.92</v>
      </c>
      <c r="J65" s="144">
        <v>0</v>
      </c>
      <c r="K65" s="144">
        <v>0</v>
      </c>
      <c r="L65" s="145">
        <f>(H65+J65+K65)*27</f>
        <v>106.92</v>
      </c>
      <c r="M65" s="146">
        <f>E65*I65</f>
        <v>0</v>
      </c>
      <c r="N65" s="145">
        <f>E65*L65</f>
        <v>0</v>
      </c>
      <c r="O65" s="142">
        <f>VLOOKUP($M$6,PSC!$A$2:$T$31,18,FALSE)</f>
        <v>5.99</v>
      </c>
    </row>
    <row r="66" spans="2:15" x14ac:dyDescent="0.3">
      <c r="B66" s="36"/>
      <c r="C66" s="37"/>
      <c r="D66" s="38"/>
      <c r="E66" s="23"/>
      <c r="F66" s="38"/>
      <c r="G66" s="40"/>
      <c r="H66" s="151"/>
      <c r="I66" s="152"/>
      <c r="J66" s="153"/>
      <c r="K66" s="153"/>
      <c r="L66" s="154"/>
      <c r="M66" s="154"/>
      <c r="N66" s="154"/>
      <c r="O66" s="153"/>
    </row>
    <row r="67" spans="2:15" x14ac:dyDescent="0.3">
      <c r="B67" s="199" t="s">
        <v>64</v>
      </c>
      <c r="C67" s="198"/>
      <c r="D67" s="20">
        <v>5641</v>
      </c>
      <c r="E67" s="22"/>
      <c r="F67" s="20">
        <f t="shared" ref="F67:F78" si="5">E67*1</f>
        <v>0</v>
      </c>
      <c r="G67" s="21">
        <f>VLOOKUP($M$6,'ST BISCOITINHOS'!A:B,2,FALSE)</f>
        <v>0.04</v>
      </c>
      <c r="H67" s="142">
        <f>VLOOKUP($M$6,PREÇOS!$A$2:$V$31,19,FALSE)</f>
        <v>17</v>
      </c>
      <c r="I67" s="143">
        <f t="shared" ref="I67:I78" si="6">H67*1</f>
        <v>17</v>
      </c>
      <c r="J67" s="144">
        <v>0</v>
      </c>
      <c r="K67" s="144">
        <f t="shared" ref="K67:K78" si="7">H67*6.5%</f>
        <v>1.105</v>
      </c>
      <c r="L67" s="145">
        <f t="shared" ref="L67:L78" si="8">(H67+J67+K67)*1</f>
        <v>18.105</v>
      </c>
      <c r="M67" s="146">
        <f t="shared" ref="M67:M78" si="9">E67*I67</f>
        <v>0</v>
      </c>
      <c r="N67" s="145">
        <f t="shared" ref="N67:N78" si="10">E67*L67</f>
        <v>0</v>
      </c>
      <c r="O67" s="142">
        <f>VLOOKUP($M$6,PSC!$A$2:$V$31,19,FALSE)</f>
        <v>35</v>
      </c>
    </row>
    <row r="68" spans="2:15" x14ac:dyDescent="0.3">
      <c r="B68" s="101" t="s">
        <v>65</v>
      </c>
      <c r="C68" s="102"/>
      <c r="D68" s="103">
        <v>5658</v>
      </c>
      <c r="E68" s="22"/>
      <c r="F68" s="128">
        <f t="shared" si="5"/>
        <v>0</v>
      </c>
      <c r="G68" s="105">
        <f>VLOOKUP($M$6,'ST BISCOITINHOS'!A:B,2,FALSE)</f>
        <v>0.04</v>
      </c>
      <c r="H68" s="161">
        <f>VLOOKUP($M$6,PREÇOS!$A$2:$V$31,19,FALSE)</f>
        <v>17</v>
      </c>
      <c r="I68" s="162">
        <f t="shared" si="6"/>
        <v>17</v>
      </c>
      <c r="J68" s="163">
        <v>0</v>
      </c>
      <c r="K68" s="163">
        <f t="shared" si="7"/>
        <v>1.105</v>
      </c>
      <c r="L68" s="164">
        <f t="shared" si="8"/>
        <v>18.105</v>
      </c>
      <c r="M68" s="165">
        <f t="shared" si="9"/>
        <v>0</v>
      </c>
      <c r="N68" s="166">
        <f t="shared" si="10"/>
        <v>0</v>
      </c>
      <c r="O68" s="156">
        <f>VLOOKUP($M$6,PSC!$A$2:$V$31,19,FALSE)</f>
        <v>35</v>
      </c>
    </row>
    <row r="69" spans="2:15" x14ac:dyDescent="0.3">
      <c r="B69" s="106" t="s">
        <v>66</v>
      </c>
      <c r="C69" s="107"/>
      <c r="D69" s="20">
        <v>5665</v>
      </c>
      <c r="E69" s="22"/>
      <c r="F69" s="20">
        <f t="shared" si="5"/>
        <v>0</v>
      </c>
      <c r="G69" s="21">
        <f>VLOOKUP($M$6,'ST BISCOITINHOS'!A:B,2,FALSE)</f>
        <v>0.04</v>
      </c>
      <c r="H69" s="142">
        <f>VLOOKUP($M$6,PREÇOS!$A$2:$V$31,19,FALSE)</f>
        <v>17</v>
      </c>
      <c r="I69" s="143">
        <f t="shared" si="6"/>
        <v>17</v>
      </c>
      <c r="J69" s="144">
        <v>0</v>
      </c>
      <c r="K69" s="144">
        <f t="shared" si="7"/>
        <v>1.105</v>
      </c>
      <c r="L69" s="145">
        <f t="shared" si="8"/>
        <v>18.105</v>
      </c>
      <c r="M69" s="146">
        <f t="shared" si="9"/>
        <v>0</v>
      </c>
      <c r="N69" s="145">
        <f t="shared" si="10"/>
        <v>0</v>
      </c>
      <c r="O69" s="142">
        <f>VLOOKUP($M$6,PSC!$A$2:$V$31,19,FALSE)</f>
        <v>35</v>
      </c>
    </row>
    <row r="70" spans="2:15" x14ac:dyDescent="0.3">
      <c r="B70" s="101" t="s">
        <v>67</v>
      </c>
      <c r="C70" s="102"/>
      <c r="D70" s="98">
        <v>5733</v>
      </c>
      <c r="E70" s="22"/>
      <c r="F70" s="128">
        <f t="shared" si="5"/>
        <v>0</v>
      </c>
      <c r="G70" s="100">
        <f>VLOOKUP($M$6,'ST BISCOITINHOS'!A:B,2,FALSE)</f>
        <v>0.04</v>
      </c>
      <c r="H70" s="157">
        <f>VLOOKUP($M$6,PREÇOS!$A$2:$V$31,20,FALSE)</f>
        <v>15</v>
      </c>
      <c r="I70" s="162">
        <f t="shared" si="6"/>
        <v>15</v>
      </c>
      <c r="J70" s="150">
        <v>0</v>
      </c>
      <c r="K70" s="150">
        <f t="shared" si="7"/>
        <v>0.97500000000000009</v>
      </c>
      <c r="L70" s="164">
        <f t="shared" si="8"/>
        <v>15.975</v>
      </c>
      <c r="M70" s="160">
        <f t="shared" si="9"/>
        <v>0</v>
      </c>
      <c r="N70" s="159">
        <f t="shared" si="10"/>
        <v>0</v>
      </c>
      <c r="O70" s="156">
        <f>VLOOKUP($M$6,PSC!$A$2:$V$31,21,FALSE)</f>
        <v>26</v>
      </c>
    </row>
    <row r="71" spans="2:15" x14ac:dyDescent="0.3">
      <c r="B71" s="106" t="s">
        <v>68</v>
      </c>
      <c r="C71" s="107"/>
      <c r="D71" s="108">
        <v>5740</v>
      </c>
      <c r="E71" s="22"/>
      <c r="F71" s="20">
        <f t="shared" si="5"/>
        <v>0</v>
      </c>
      <c r="G71" s="110">
        <f>VLOOKUP($M$6,'ST BISCOITINHOS'!A:B,2,FALSE)</f>
        <v>0.04</v>
      </c>
      <c r="H71" s="167">
        <f>VLOOKUP($M$6,PREÇOS!$A$2:$V$31,20,FALSE)</f>
        <v>15</v>
      </c>
      <c r="I71" s="143">
        <f t="shared" si="6"/>
        <v>15</v>
      </c>
      <c r="J71" s="168">
        <v>0</v>
      </c>
      <c r="K71" s="168">
        <f t="shared" si="7"/>
        <v>0.97500000000000009</v>
      </c>
      <c r="L71" s="145">
        <f t="shared" si="8"/>
        <v>15.975</v>
      </c>
      <c r="M71" s="169">
        <f t="shared" si="9"/>
        <v>0</v>
      </c>
      <c r="N71" s="170">
        <f t="shared" si="10"/>
        <v>0</v>
      </c>
      <c r="O71" s="142">
        <f>VLOOKUP($M$6,PSC!$A$2:$V$31,21,FALSE)</f>
        <v>26</v>
      </c>
    </row>
    <row r="72" spans="2:15" x14ac:dyDescent="0.3">
      <c r="B72" s="101" t="s">
        <v>69</v>
      </c>
      <c r="C72" s="102"/>
      <c r="D72" s="98">
        <v>5757</v>
      </c>
      <c r="E72" s="22"/>
      <c r="F72" s="128">
        <f t="shared" si="5"/>
        <v>0</v>
      </c>
      <c r="G72" s="100">
        <f>VLOOKUP($M$6,'ST BISCOITINHOS'!A:B,2,FALSE)</f>
        <v>0.04</v>
      </c>
      <c r="H72" s="157">
        <f>VLOOKUP($M$6,PREÇOS!$A$2:$V$31,20,FALSE)</f>
        <v>15</v>
      </c>
      <c r="I72" s="162">
        <f t="shared" si="6"/>
        <v>15</v>
      </c>
      <c r="J72" s="150">
        <v>0</v>
      </c>
      <c r="K72" s="150">
        <f t="shared" si="7"/>
        <v>0.97500000000000009</v>
      </c>
      <c r="L72" s="164">
        <f t="shared" si="8"/>
        <v>15.975</v>
      </c>
      <c r="M72" s="160">
        <f t="shared" si="9"/>
        <v>0</v>
      </c>
      <c r="N72" s="159">
        <f t="shared" si="10"/>
        <v>0</v>
      </c>
      <c r="O72" s="156">
        <f>VLOOKUP($M$6,PSC!$A$2:$V$31,21,FALSE)</f>
        <v>26</v>
      </c>
    </row>
    <row r="73" spans="2:15" x14ac:dyDescent="0.3">
      <c r="B73" s="106" t="s">
        <v>70</v>
      </c>
      <c r="C73" s="107"/>
      <c r="D73" s="20">
        <v>5702</v>
      </c>
      <c r="E73" s="22"/>
      <c r="F73" s="20">
        <f t="shared" si="5"/>
        <v>0</v>
      </c>
      <c r="G73" s="21">
        <f>VLOOKUP($M$6,'ST BISCOITINHOS'!A:B,2,FALSE)</f>
        <v>0.04</v>
      </c>
      <c r="H73" s="142">
        <f>VLOOKUP($M$6,PREÇOS!$A$2:$V$31,21,FALSE)</f>
        <v>19</v>
      </c>
      <c r="I73" s="143">
        <f t="shared" si="6"/>
        <v>19</v>
      </c>
      <c r="J73" s="144">
        <v>0</v>
      </c>
      <c r="K73" s="144">
        <f t="shared" si="7"/>
        <v>1.2350000000000001</v>
      </c>
      <c r="L73" s="145">
        <f t="shared" si="8"/>
        <v>20.234999999999999</v>
      </c>
      <c r="M73" s="146">
        <f t="shared" si="9"/>
        <v>0</v>
      </c>
      <c r="N73" s="145">
        <f t="shared" si="10"/>
        <v>0</v>
      </c>
      <c r="O73" s="142">
        <f>VLOOKUP($M$6,PSC!$A$2:$V$31,20,FALSE)</f>
        <v>35</v>
      </c>
    </row>
    <row r="74" spans="2:15" x14ac:dyDescent="0.3">
      <c r="B74" s="101" t="s">
        <v>71</v>
      </c>
      <c r="C74" s="102"/>
      <c r="D74" s="103">
        <v>5719</v>
      </c>
      <c r="E74" s="22"/>
      <c r="F74" s="128">
        <f t="shared" si="5"/>
        <v>0</v>
      </c>
      <c r="G74" s="105">
        <f>VLOOKUP($M$6,'ST BISCOITINHOS'!A:B,2,FALSE)</f>
        <v>0.04</v>
      </c>
      <c r="H74" s="161">
        <f>VLOOKUP($M$6,PREÇOS!$A$2:$V$31,21,FALSE)</f>
        <v>19</v>
      </c>
      <c r="I74" s="162">
        <f t="shared" si="6"/>
        <v>19</v>
      </c>
      <c r="J74" s="163">
        <v>0</v>
      </c>
      <c r="K74" s="163">
        <f t="shared" si="7"/>
        <v>1.2350000000000001</v>
      </c>
      <c r="L74" s="164">
        <f t="shared" si="8"/>
        <v>20.234999999999999</v>
      </c>
      <c r="M74" s="165">
        <f t="shared" si="9"/>
        <v>0</v>
      </c>
      <c r="N74" s="166">
        <f t="shared" si="10"/>
        <v>0</v>
      </c>
      <c r="O74" s="156">
        <f>VLOOKUP($M$6,PSC!$A$2:$V$31,20,FALSE)</f>
        <v>35</v>
      </c>
    </row>
    <row r="75" spans="2:15" x14ac:dyDescent="0.3">
      <c r="B75" s="106" t="s">
        <v>72</v>
      </c>
      <c r="C75" s="107"/>
      <c r="D75" s="20">
        <v>5726</v>
      </c>
      <c r="E75" s="22"/>
      <c r="F75" s="20">
        <f t="shared" si="5"/>
        <v>0</v>
      </c>
      <c r="G75" s="21">
        <f>VLOOKUP($M$6,'ST BISCOITINHOS'!A:B,2,FALSE)</f>
        <v>0.04</v>
      </c>
      <c r="H75" s="142">
        <f>VLOOKUP($M$6,PREÇOS!$A$2:$V$31,21,FALSE)</f>
        <v>19</v>
      </c>
      <c r="I75" s="143">
        <f t="shared" si="6"/>
        <v>19</v>
      </c>
      <c r="J75" s="144">
        <v>0</v>
      </c>
      <c r="K75" s="144">
        <f t="shared" si="7"/>
        <v>1.2350000000000001</v>
      </c>
      <c r="L75" s="145">
        <f t="shared" si="8"/>
        <v>20.234999999999999</v>
      </c>
      <c r="M75" s="146">
        <f t="shared" si="9"/>
        <v>0</v>
      </c>
      <c r="N75" s="145">
        <f t="shared" si="10"/>
        <v>0</v>
      </c>
      <c r="O75" s="142">
        <f>VLOOKUP($M$6,PSC!$A$2:$V$31,20,FALSE)</f>
        <v>35</v>
      </c>
    </row>
    <row r="76" spans="2:15" x14ac:dyDescent="0.3">
      <c r="B76" s="101" t="s">
        <v>73</v>
      </c>
      <c r="C76" s="102"/>
      <c r="D76" s="98">
        <v>5675</v>
      </c>
      <c r="E76" s="22"/>
      <c r="F76" s="128">
        <f t="shared" si="5"/>
        <v>0</v>
      </c>
      <c r="G76" s="100">
        <f>VLOOKUP($M$6,'ST BISCOITINHOS'!A:B,2,FALSE)</f>
        <v>0.04</v>
      </c>
      <c r="H76" s="157">
        <f>VLOOKUP($M$6,PREÇOS!$A$2:$V$31,22,FALSE)</f>
        <v>28.29</v>
      </c>
      <c r="I76" s="162">
        <f t="shared" si="6"/>
        <v>28.29</v>
      </c>
      <c r="J76" s="150">
        <v>0</v>
      </c>
      <c r="K76" s="150">
        <f t="shared" si="7"/>
        <v>1.8388500000000001</v>
      </c>
      <c r="L76" s="164">
        <f t="shared" si="8"/>
        <v>30.12885</v>
      </c>
      <c r="M76" s="160">
        <f t="shared" si="9"/>
        <v>0</v>
      </c>
      <c r="N76" s="159">
        <f t="shared" si="10"/>
        <v>0</v>
      </c>
      <c r="O76" s="156">
        <f>VLOOKUP($M$6,PSC!$A$2:$V$31,22,FALSE)</f>
        <v>47</v>
      </c>
    </row>
    <row r="77" spans="2:15" x14ac:dyDescent="0.3">
      <c r="B77" s="106" t="s">
        <v>74</v>
      </c>
      <c r="C77" s="107"/>
      <c r="D77" s="108">
        <v>5689</v>
      </c>
      <c r="E77" s="22"/>
      <c r="F77" s="20">
        <f t="shared" si="5"/>
        <v>0</v>
      </c>
      <c r="G77" s="110">
        <f>VLOOKUP($M$6,'ST BISCOITINHOS'!A:B,2,FALSE)</f>
        <v>0.04</v>
      </c>
      <c r="H77" s="167">
        <f>VLOOKUP($M$6,PREÇOS!$A$2:$V$31,22,FALSE)</f>
        <v>28.29</v>
      </c>
      <c r="I77" s="143">
        <f t="shared" si="6"/>
        <v>28.29</v>
      </c>
      <c r="J77" s="168">
        <v>0</v>
      </c>
      <c r="K77" s="168">
        <f t="shared" si="7"/>
        <v>1.8388500000000001</v>
      </c>
      <c r="L77" s="145">
        <f t="shared" si="8"/>
        <v>30.12885</v>
      </c>
      <c r="M77" s="169">
        <f t="shared" si="9"/>
        <v>0</v>
      </c>
      <c r="N77" s="170">
        <f t="shared" si="10"/>
        <v>0</v>
      </c>
      <c r="O77" s="142">
        <f>VLOOKUP($M$6,PSC!$A$2:$V$31,22,FALSE)</f>
        <v>47</v>
      </c>
    </row>
    <row r="78" spans="2:15" x14ac:dyDescent="0.3">
      <c r="B78" s="101" t="s">
        <v>75</v>
      </c>
      <c r="C78" s="102"/>
      <c r="D78" s="98">
        <v>5696</v>
      </c>
      <c r="E78" s="22"/>
      <c r="F78" s="128">
        <f t="shared" si="5"/>
        <v>0</v>
      </c>
      <c r="G78" s="100">
        <f>VLOOKUP($M$6,'ST BISCOITINHOS'!A:B,2,FALSE)</f>
        <v>0.04</v>
      </c>
      <c r="H78" s="157">
        <f>VLOOKUP($M$6,PREÇOS!$A$2:$V$31,22,FALSE)</f>
        <v>28.29</v>
      </c>
      <c r="I78" s="162">
        <f t="shared" si="6"/>
        <v>28.29</v>
      </c>
      <c r="J78" s="150">
        <v>0</v>
      </c>
      <c r="K78" s="150">
        <f t="shared" si="7"/>
        <v>1.8388500000000001</v>
      </c>
      <c r="L78" s="164">
        <f t="shared" si="8"/>
        <v>30.12885</v>
      </c>
      <c r="M78" s="160">
        <f t="shared" si="9"/>
        <v>0</v>
      </c>
      <c r="N78" s="159">
        <f t="shared" si="10"/>
        <v>0</v>
      </c>
      <c r="O78" s="156">
        <f>VLOOKUP($M$6,PSC!$A$2:$V$31,22,FALSE)</f>
        <v>47</v>
      </c>
    </row>
    <row r="79" spans="2:15" ht="15" customHeight="1" thickBot="1" x14ac:dyDescent="0.35">
      <c r="B79" s="36"/>
      <c r="I79" s="188"/>
      <c r="J79" s="195" t="s">
        <v>76</v>
      </c>
    </row>
    <row r="80" spans="2:15" ht="15" customHeight="1" thickBot="1" x14ac:dyDescent="0.35">
      <c r="B80" s="36"/>
      <c r="E80" s="23"/>
      <c r="F80" s="23"/>
      <c r="I80" s="189"/>
      <c r="J80" s="196" t="s">
        <v>77</v>
      </c>
      <c r="L80" s="206" t="s">
        <v>78</v>
      </c>
      <c r="M80" s="207"/>
      <c r="N80" s="190">
        <f>SUM(M10:M78)</f>
        <v>0</v>
      </c>
      <c r="O80" s="191"/>
    </row>
    <row r="81" spans="2:15" ht="15" customHeight="1" thickBot="1" x14ac:dyDescent="0.35">
      <c r="B81" s="36"/>
      <c r="E81" s="23"/>
      <c r="F81" s="23"/>
      <c r="M81" s="42"/>
      <c r="N81" s="15"/>
    </row>
    <row r="82" spans="2:15" ht="15" customHeight="1" thickBot="1" x14ac:dyDescent="0.35">
      <c r="B82" s="36"/>
      <c r="E82" s="23"/>
      <c r="F82" s="23"/>
      <c r="L82" s="206" t="s">
        <v>79</v>
      </c>
      <c r="M82" s="207"/>
      <c r="N82" s="190">
        <f>N84-N80</f>
        <v>0</v>
      </c>
      <c r="O82" s="191"/>
    </row>
    <row r="83" spans="2:15" ht="15" customHeight="1" thickBot="1" x14ac:dyDescent="0.35">
      <c r="B83" s="36"/>
      <c r="E83" s="23"/>
      <c r="F83" s="23"/>
      <c r="L83" s="25"/>
      <c r="M83" s="42"/>
      <c r="N83" s="15"/>
    </row>
    <row r="84" spans="2:15" ht="15" customHeight="1" thickBot="1" x14ac:dyDescent="0.35">
      <c r="B84" s="36"/>
      <c r="E84" s="23"/>
      <c r="F84" s="23"/>
      <c r="L84" s="204" t="s">
        <v>80</v>
      </c>
      <c r="M84" s="205"/>
      <c r="N84" s="192">
        <f>SUM(N10:N78)</f>
        <v>0</v>
      </c>
      <c r="O84" s="193"/>
    </row>
    <row r="85" spans="2:15" x14ac:dyDescent="0.3">
      <c r="B85" s="36"/>
      <c r="E85" s="23"/>
      <c r="F85" s="23"/>
      <c r="H85" s="155"/>
      <c r="I85" s="155"/>
      <c r="J85" s="155"/>
      <c r="K85" s="155"/>
      <c r="L85" s="177"/>
      <c r="M85" s="175"/>
      <c r="N85" s="176"/>
      <c r="O85" s="155"/>
    </row>
    <row r="86" spans="2:15" x14ac:dyDescent="0.3">
      <c r="B86" s="36"/>
      <c r="E86" s="23"/>
      <c r="F86" s="23"/>
      <c r="H86" s="155"/>
      <c r="I86" s="155"/>
      <c r="J86" s="155"/>
      <c r="K86" s="155"/>
      <c r="L86" s="177"/>
      <c r="M86" s="175"/>
      <c r="N86" s="176"/>
      <c r="O86" s="155"/>
    </row>
    <row r="87" spans="2:15" x14ac:dyDescent="0.3">
      <c r="B87" s="36"/>
      <c r="E87" s="23"/>
      <c r="F87" s="23"/>
      <c r="H87" s="155"/>
      <c r="I87" s="155"/>
      <c r="J87" s="155"/>
      <c r="K87" s="155"/>
      <c r="L87" s="177"/>
      <c r="M87" s="175"/>
      <c r="N87" s="176"/>
      <c r="O87" s="155"/>
    </row>
    <row r="88" spans="2:15" x14ac:dyDescent="0.3">
      <c r="B88" s="36"/>
      <c r="E88" s="23"/>
      <c r="F88" s="23"/>
      <c r="H88" s="155"/>
      <c r="I88" s="155"/>
      <c r="J88" s="155"/>
      <c r="K88" s="155"/>
      <c r="L88" s="177"/>
      <c r="M88" s="175"/>
      <c r="N88" s="176"/>
      <c r="O88" s="155"/>
    </row>
  </sheetData>
  <sheetProtection sheet="1" objects="1" scenarios="1"/>
  <mergeCells count="48">
    <mergeCell ref="L84:M84"/>
    <mergeCell ref="B50:C50"/>
    <mergeCell ref="B63:C63"/>
    <mergeCell ref="B35:C35"/>
    <mergeCell ref="L80:M80"/>
    <mergeCell ref="L82:M82"/>
    <mergeCell ref="B67:C67"/>
    <mergeCell ref="B42:C42"/>
    <mergeCell ref="B61:C61"/>
    <mergeCell ref="B60:C60"/>
    <mergeCell ref="B57:C57"/>
    <mergeCell ref="B53:C53"/>
    <mergeCell ref="B44:C44"/>
    <mergeCell ref="B38:C38"/>
    <mergeCell ref="B40:C40"/>
    <mergeCell ref="B49:C49"/>
    <mergeCell ref="B51:C51"/>
    <mergeCell ref="M6:N6"/>
    <mergeCell ref="B19:C19"/>
    <mergeCell ref="B34:C34"/>
    <mergeCell ref="B37:C37"/>
    <mergeCell ref="B10:C10"/>
    <mergeCell ref="B28:C28"/>
    <mergeCell ref="B30:C30"/>
    <mergeCell ref="B24:C24"/>
    <mergeCell ref="B33:C33"/>
    <mergeCell ref="B20:C20"/>
    <mergeCell ref="B11:C11"/>
    <mergeCell ref="B23:C23"/>
    <mergeCell ref="B14:C14"/>
    <mergeCell ref="B17:C17"/>
    <mergeCell ref="B13:C13"/>
    <mergeCell ref="B45:C45"/>
    <mergeCell ref="B65:C65"/>
    <mergeCell ref="B16:C16"/>
    <mergeCell ref="B62:C62"/>
    <mergeCell ref="B54:C54"/>
    <mergeCell ref="B25:C25"/>
    <mergeCell ref="B46:C46"/>
    <mergeCell ref="B31:C31"/>
    <mergeCell ref="B27:C27"/>
    <mergeCell ref="B18:C18"/>
    <mergeCell ref="B43:C43"/>
    <mergeCell ref="B58:C58"/>
    <mergeCell ref="B39:C39"/>
    <mergeCell ref="B21:C21"/>
    <mergeCell ref="B48:C48"/>
    <mergeCell ref="B55:C55"/>
  </mergeCells>
  <dataValidations count="1">
    <dataValidation type="list" showErrorMessage="1" errorTitle="UF inválida" error="Selecione uma UF da lista." promptTitle="UF" prompt="Selecione o estado." sqref="M6" xr:uid="{00000000-0002-0000-0000-000000000000}">
      <formula1>ListaUF</formula1>
    </dataValidation>
  </dataValidations>
  <pageMargins left="3.937007874015748E-2" right="3.937007874015748E-2" top="0.78740157480314965" bottom="0.78740157480314965" header="0.31496062992125978" footer="0.31496062992125978"/>
  <pageSetup paperSize="9" scale="54" orientation="landscape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  <pageSetUpPr fitToPage="1"/>
  </sheetPr>
  <dimension ref="A1:T88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11" sqref="A11"/>
      <selection pane="bottomRight" activeCell="B6" sqref="B6"/>
    </sheetView>
  </sheetViews>
  <sheetFormatPr defaultRowHeight="14.4" x14ac:dyDescent="0.3"/>
  <cols>
    <col min="1" max="1" width="2.33203125" customWidth="1"/>
    <col min="2" max="2" width="26.5546875" customWidth="1"/>
    <col min="3" max="3" width="33.44140625" customWidth="1"/>
    <col min="4" max="4" width="19" customWidth="1"/>
    <col min="5" max="5" width="14" bestFit="1" customWidth="1"/>
    <col min="6" max="6" width="10.6640625" customWidth="1"/>
    <col min="7" max="7" width="14.33203125" hidden="1" customWidth="1"/>
    <col min="8" max="8" width="11.44140625" bestFit="1" customWidth="1"/>
    <col min="9" max="9" width="15.5546875" bestFit="1" customWidth="1"/>
    <col min="10" max="10" width="18.5546875" bestFit="1" customWidth="1"/>
    <col min="11" max="11" width="15" customWidth="1"/>
    <col min="12" max="12" width="15" hidden="1" customWidth="1"/>
    <col min="13" max="13" width="13.5546875" hidden="1" customWidth="1"/>
    <col min="14" max="15" width="16.33203125" hidden="1" customWidth="1"/>
    <col min="16" max="16" width="14.33203125" hidden="1" customWidth="1"/>
    <col min="17" max="17" width="9.5546875" hidden="1" customWidth="1"/>
    <col min="18" max="18" width="14.33203125" hidden="1" customWidth="1"/>
    <col min="19" max="19" width="17.6640625" hidden="1" customWidth="1"/>
    <col min="20" max="20" width="13" hidden="1" customWidth="1"/>
    <col min="23" max="23" width="19.33203125" customWidth="1"/>
  </cols>
  <sheetData>
    <row r="1" spans="1:19" x14ac:dyDescent="0.3">
      <c r="A1" s="23"/>
      <c r="B1" s="23"/>
      <c r="C1" s="25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A2" s="23"/>
      <c r="B2" s="23"/>
      <c r="C2" s="25" t="s">
        <v>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x14ac:dyDescent="0.3">
      <c r="A3" s="23"/>
      <c r="B3" s="23"/>
      <c r="C3" s="25" t="s">
        <v>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ht="15" customHeight="1" thickBot="1" x14ac:dyDescent="0.35">
      <c r="A4" s="23"/>
      <c r="B4" s="23"/>
      <c r="C4" s="25" t="s">
        <v>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22.5" customHeight="1" thickBot="1" x14ac:dyDescent="0.35">
      <c r="A5" s="23"/>
      <c r="B5" s="115"/>
      <c r="C5" s="114"/>
      <c r="D5" s="114"/>
      <c r="E5" s="114"/>
      <c r="F5" s="114"/>
      <c r="G5" s="114"/>
      <c r="H5" s="114"/>
      <c r="I5" s="114"/>
      <c r="J5" s="114"/>
      <c r="K5" s="114"/>
      <c r="L5" s="130"/>
      <c r="M5" s="16"/>
      <c r="N5" s="16"/>
      <c r="O5" s="16"/>
      <c r="P5" s="17"/>
      <c r="Q5" s="26"/>
      <c r="R5" s="209" t="s">
        <v>5</v>
      </c>
      <c r="S5" s="210"/>
    </row>
    <row r="6" spans="1:19" s="24" customFormat="1" ht="17.399999999999999" customHeight="1" x14ac:dyDescent="0.3">
      <c r="A6" s="27"/>
      <c r="B6" s="28" t="s">
        <v>7</v>
      </c>
      <c r="C6" s="29"/>
      <c r="D6" s="29"/>
      <c r="E6" s="29"/>
      <c r="F6" s="29"/>
      <c r="G6" s="29"/>
      <c r="H6" s="29"/>
      <c r="I6" s="29"/>
      <c r="J6" s="29"/>
      <c r="K6" s="29"/>
      <c r="L6" s="29" t="s">
        <v>81</v>
      </c>
      <c r="M6" s="29"/>
      <c r="N6" s="29"/>
      <c r="O6" s="29"/>
      <c r="P6" s="29"/>
      <c r="Q6" s="29"/>
      <c r="R6" s="29"/>
      <c r="S6" s="29"/>
    </row>
    <row r="7" spans="1:19" ht="28.2" customHeight="1" thickBot="1" x14ac:dyDescent="0.35">
      <c r="A7" s="23"/>
      <c r="B7" s="61" t="s">
        <v>8</v>
      </c>
      <c r="C7" s="61"/>
      <c r="D7" s="30" t="s">
        <v>9</v>
      </c>
      <c r="E7" s="30" t="s">
        <v>82</v>
      </c>
      <c r="F7" s="30" t="s">
        <v>83</v>
      </c>
      <c r="G7" s="141" t="s">
        <v>84</v>
      </c>
      <c r="H7" s="30" t="s">
        <v>85</v>
      </c>
      <c r="I7" s="30" t="s">
        <v>86</v>
      </c>
      <c r="J7" s="30" t="s">
        <v>87</v>
      </c>
      <c r="K7" s="30" t="s">
        <v>12</v>
      </c>
      <c r="L7" s="141" t="s">
        <v>13</v>
      </c>
      <c r="M7" s="141" t="s">
        <v>14</v>
      </c>
      <c r="N7" s="141" t="s">
        <v>88</v>
      </c>
      <c r="O7" s="141" t="s">
        <v>89</v>
      </c>
      <c r="P7" s="141" t="s">
        <v>90</v>
      </c>
      <c r="Q7" s="30" t="s">
        <v>10</v>
      </c>
      <c r="R7" s="141" t="s">
        <v>18</v>
      </c>
      <c r="S7" s="141" t="s">
        <v>19</v>
      </c>
    </row>
    <row r="8" spans="1:19" ht="15" customHeight="1" thickTop="1" x14ac:dyDescent="0.3">
      <c r="A8" s="23"/>
      <c r="B8" s="202" t="s">
        <v>21</v>
      </c>
      <c r="C8" s="203"/>
      <c r="D8" s="62">
        <v>5313</v>
      </c>
      <c r="E8" s="62" t="s">
        <v>91</v>
      </c>
      <c r="F8" s="62" t="s">
        <v>92</v>
      </c>
      <c r="G8" s="131">
        <f>VLOOKUP($R$5,'PSC PAPAPA'!$A$2:$L$31,9,FALSE)</f>
        <v>13.49</v>
      </c>
      <c r="H8" s="18" t="s">
        <v>93</v>
      </c>
      <c r="I8" s="18">
        <v>7898969895316</v>
      </c>
      <c r="J8" s="18">
        <v>17898969895313</v>
      </c>
      <c r="K8" s="63">
        <f>VLOOKUP($R$5,'ST BISCOITINHOS'!A:B,2,FALSE)</f>
        <v>0.12</v>
      </c>
      <c r="L8" s="131">
        <f>VLOOKUP($R$5,PREÇOS!$A$2:$L$31,9,FALSE)</f>
        <v>9.709090909090909</v>
      </c>
      <c r="M8" s="132">
        <f>L11*12</f>
        <v>81.687272727272727</v>
      </c>
      <c r="N8" s="133">
        <v>0</v>
      </c>
      <c r="O8" s="133">
        <v>0</v>
      </c>
      <c r="P8" s="134">
        <f>(L11+N11+O11)*12</f>
        <v>81.687272727272727</v>
      </c>
      <c r="Q8" s="64"/>
      <c r="R8" s="135">
        <f>Q11*M11</f>
        <v>0</v>
      </c>
      <c r="S8" s="134">
        <f>Q11*P11</f>
        <v>0</v>
      </c>
    </row>
    <row r="9" spans="1:19" x14ac:dyDescent="0.3">
      <c r="A9" s="23"/>
      <c r="B9" s="197" t="s">
        <v>22</v>
      </c>
      <c r="C9" s="198"/>
      <c r="D9" s="31">
        <v>5320</v>
      </c>
      <c r="E9" s="32" t="s">
        <v>91</v>
      </c>
      <c r="F9" s="32" t="s">
        <v>92</v>
      </c>
      <c r="G9" s="136">
        <f>VLOOKUP($R$5,'PSC PAPAPA'!$A$2:$L$31,9,FALSE)</f>
        <v>13.49</v>
      </c>
      <c r="H9" s="31" t="s">
        <v>93</v>
      </c>
      <c r="I9" s="31">
        <v>7898969895323</v>
      </c>
      <c r="J9" s="31">
        <v>17898969895320</v>
      </c>
      <c r="K9" s="33">
        <f>VLOOKUP($R$5,'ST BISCOITINHOS'!A:B,2,FALSE)</f>
        <v>0.12</v>
      </c>
      <c r="L9" s="136">
        <f>VLOOKUP($R$5,PREÇOS!$A$2:$L$31,9,FALSE)</f>
        <v>9.709090909090909</v>
      </c>
      <c r="M9" s="137">
        <f>L12*12</f>
        <v>81.687272727272727</v>
      </c>
      <c r="N9" s="138">
        <v>0</v>
      </c>
      <c r="O9" s="138">
        <v>0</v>
      </c>
      <c r="P9" s="139">
        <f>(L12+N12+O12)*12</f>
        <v>81.687272727272727</v>
      </c>
      <c r="Q9" s="22"/>
      <c r="R9" s="140">
        <f>Q12*M12</f>
        <v>0</v>
      </c>
      <c r="S9" s="139">
        <f>Q12*P12</f>
        <v>0</v>
      </c>
    </row>
    <row r="10" spans="1:19" x14ac:dyDescent="0.3">
      <c r="A10" s="23"/>
      <c r="B10" s="61"/>
      <c r="C10" s="61"/>
      <c r="D10" s="30"/>
      <c r="E10" s="30"/>
      <c r="F10" s="30"/>
      <c r="G10" s="141"/>
      <c r="H10" s="30"/>
      <c r="I10" s="30"/>
      <c r="J10" s="30"/>
      <c r="K10" s="30"/>
      <c r="L10" s="141"/>
      <c r="M10" s="141"/>
      <c r="N10" s="141"/>
      <c r="O10" s="141"/>
      <c r="P10" s="141"/>
      <c r="Q10" s="30"/>
      <c r="R10" s="141"/>
      <c r="S10" s="141"/>
    </row>
    <row r="11" spans="1:19" x14ac:dyDescent="0.3">
      <c r="A11" s="23"/>
      <c r="B11" s="199" t="s">
        <v>23</v>
      </c>
      <c r="C11" s="198"/>
      <c r="D11" s="20">
        <v>5563</v>
      </c>
      <c r="E11" s="19" t="s">
        <v>94</v>
      </c>
      <c r="F11" s="19" t="s">
        <v>95</v>
      </c>
      <c r="G11" s="142">
        <f>VLOOKUP($R$5,'PSC PAPAPA'!$A$2:$M$31,13,FALSE)</f>
        <v>9.49</v>
      </c>
      <c r="H11" s="20" t="s">
        <v>93</v>
      </c>
      <c r="I11" s="20">
        <v>7898969895569</v>
      </c>
      <c r="J11" s="20">
        <v>27898969895563</v>
      </c>
      <c r="K11" s="21">
        <f>VLOOKUP($R$5,'ST BISCOITINHOS'!A:B,2,FALSE)</f>
        <v>0.12</v>
      </c>
      <c r="L11" s="142">
        <f>VLOOKUP($R$5,PREÇOS!$A$2:$M$31,13,FALSE)</f>
        <v>6.8072727272727276</v>
      </c>
      <c r="M11" s="143">
        <f>L14*16</f>
        <v>108.91636363636364</v>
      </c>
      <c r="N11" s="144">
        <v>0</v>
      </c>
      <c r="O11" s="144">
        <v>0</v>
      </c>
      <c r="P11" s="145">
        <f>(L14+N14+O14)*16</f>
        <v>108.91636363636364</v>
      </c>
      <c r="Q11" s="22"/>
      <c r="R11" s="146">
        <f>Q14*M14</f>
        <v>0</v>
      </c>
      <c r="S11" s="145">
        <f>Q14*P14</f>
        <v>0</v>
      </c>
    </row>
    <row r="12" spans="1:19" x14ac:dyDescent="0.3">
      <c r="A12" s="23"/>
      <c r="B12" s="197" t="s">
        <v>24</v>
      </c>
      <c r="C12" s="198"/>
      <c r="D12" s="31">
        <v>5570</v>
      </c>
      <c r="E12" s="31" t="s">
        <v>94</v>
      </c>
      <c r="F12" s="31" t="s">
        <v>95</v>
      </c>
      <c r="G12" s="136">
        <f>VLOOKUP($R$5,'PSC PAPAPA'!$A$2:$M$31,13,FALSE)</f>
        <v>9.49</v>
      </c>
      <c r="H12" s="32" t="s">
        <v>93</v>
      </c>
      <c r="I12" s="31">
        <v>7898969895576</v>
      </c>
      <c r="J12" s="31">
        <v>27898969895570</v>
      </c>
      <c r="K12" s="33">
        <f>VLOOKUP($R$5,'ST BISCOITINHOS'!A:B,2,FALSE)</f>
        <v>0.12</v>
      </c>
      <c r="L12" s="136">
        <f>VLOOKUP($R$5,PREÇOS!$A$2:$M$31,13,FALSE)</f>
        <v>6.8072727272727276</v>
      </c>
      <c r="M12" s="137">
        <f>L15*16</f>
        <v>108.91636363636364</v>
      </c>
      <c r="N12" s="147">
        <v>0</v>
      </c>
      <c r="O12" s="147">
        <v>0</v>
      </c>
      <c r="P12" s="139">
        <f>(L15+N15+O15)*16</f>
        <v>108.91636363636364</v>
      </c>
      <c r="Q12" s="22"/>
      <c r="R12" s="140">
        <f>Q15*M15</f>
        <v>0</v>
      </c>
      <c r="S12" s="139">
        <f>Q15*P15</f>
        <v>0</v>
      </c>
    </row>
    <row r="13" spans="1:19" x14ac:dyDescent="0.3">
      <c r="A13" s="23"/>
      <c r="B13" s="61"/>
      <c r="C13" s="61"/>
      <c r="D13" s="30"/>
      <c r="E13" s="30"/>
      <c r="F13" s="30"/>
      <c r="G13" s="141"/>
      <c r="H13" s="30"/>
      <c r="I13" s="30"/>
      <c r="J13" s="30"/>
      <c r="K13" s="30"/>
      <c r="L13" s="141"/>
      <c r="M13" s="141"/>
      <c r="N13" s="141"/>
      <c r="O13" s="141"/>
      <c r="P13" s="141"/>
      <c r="Q13" s="30"/>
      <c r="R13" s="141"/>
      <c r="S13" s="141"/>
    </row>
    <row r="14" spans="1:19" x14ac:dyDescent="0.3">
      <c r="A14" s="23"/>
      <c r="B14" s="199" t="s">
        <v>25</v>
      </c>
      <c r="C14" s="198"/>
      <c r="D14" s="20">
        <v>17898994908729</v>
      </c>
      <c r="E14" s="19" t="s">
        <v>96</v>
      </c>
      <c r="F14" s="19" t="s">
        <v>97</v>
      </c>
      <c r="G14" s="142">
        <f>VLOOKUP($R$5,'PSC PAPAPA'!$A$2:$L$31,2,FALSE)</f>
        <v>9.49</v>
      </c>
      <c r="H14" s="20" t="s">
        <v>93</v>
      </c>
      <c r="I14" s="20">
        <v>7898994908722</v>
      </c>
      <c r="J14" s="20">
        <v>17898994908729</v>
      </c>
      <c r="K14" s="21">
        <f>VLOOKUP($R$5,'ST BISCOITINHOS'!A:B,2,FALSE)</f>
        <v>0.12</v>
      </c>
      <c r="L14" s="142">
        <f>VLOOKUP($R$5,PREÇOS!$A$2:$L$31,2,FALSE)</f>
        <v>6.8072727272727276</v>
      </c>
      <c r="M14" s="143">
        <f t="shared" ref="M14:M19" si="0">L17*12</f>
        <v>81.687272727272727</v>
      </c>
      <c r="N14" s="144">
        <v>0</v>
      </c>
      <c r="O14" s="144">
        <v>0</v>
      </c>
      <c r="P14" s="145">
        <f t="shared" ref="P14:P19" si="1">(L17+N17+O17)*12</f>
        <v>81.687272727272727</v>
      </c>
      <c r="Q14" s="22"/>
      <c r="R14" s="146">
        <f t="shared" ref="R14:R19" si="2">Q17*M17</f>
        <v>0</v>
      </c>
      <c r="S14" s="145">
        <f t="shared" ref="S14:S19" si="3">Q17*P17</f>
        <v>0</v>
      </c>
    </row>
    <row r="15" spans="1:19" x14ac:dyDescent="0.3">
      <c r="A15" s="23"/>
      <c r="B15" s="197" t="s">
        <v>26</v>
      </c>
      <c r="C15" s="198"/>
      <c r="D15" s="31">
        <v>17898994908736</v>
      </c>
      <c r="E15" s="32" t="s">
        <v>96</v>
      </c>
      <c r="F15" s="32" t="s">
        <v>97</v>
      </c>
      <c r="G15" s="136">
        <f>VLOOKUP($R$5,'PSC PAPAPA'!$A$2:$L$31,2,FALSE)</f>
        <v>9.49</v>
      </c>
      <c r="H15" s="31" t="s">
        <v>93</v>
      </c>
      <c r="I15" s="31">
        <v>7898994908739</v>
      </c>
      <c r="J15" s="31">
        <v>17898994908736</v>
      </c>
      <c r="K15" s="33">
        <f>VLOOKUP($R$5,'ST BISCOITINHOS'!A:B,2,FALSE)</f>
        <v>0.12</v>
      </c>
      <c r="L15" s="136">
        <f>VLOOKUP($R$5,PREÇOS!$A$2:$L$31,2,FALSE)</f>
        <v>6.8072727272727276</v>
      </c>
      <c r="M15" s="137">
        <f t="shared" si="0"/>
        <v>81.687272727272727</v>
      </c>
      <c r="N15" s="147">
        <v>0</v>
      </c>
      <c r="O15" s="147">
        <v>0</v>
      </c>
      <c r="P15" s="139">
        <f t="shared" si="1"/>
        <v>81.687272727272727</v>
      </c>
      <c r="Q15" s="22"/>
      <c r="R15" s="140">
        <f t="shared" si="2"/>
        <v>0</v>
      </c>
      <c r="S15" s="139">
        <f t="shared" si="3"/>
        <v>0</v>
      </c>
    </row>
    <row r="16" spans="1:19" x14ac:dyDescent="0.3">
      <c r="A16" s="23"/>
      <c r="B16" s="199" t="s">
        <v>27</v>
      </c>
      <c r="C16" s="198"/>
      <c r="D16" s="20">
        <v>17898994908712</v>
      </c>
      <c r="E16" s="19" t="s">
        <v>96</v>
      </c>
      <c r="F16" s="19" t="s">
        <v>97</v>
      </c>
      <c r="G16" s="142">
        <f>VLOOKUP($R$5,'PSC PAPAPA'!$A$2:$L$31,2,FALSE)</f>
        <v>9.49</v>
      </c>
      <c r="H16" s="20" t="s">
        <v>93</v>
      </c>
      <c r="I16" s="20">
        <v>7898994908715</v>
      </c>
      <c r="J16" s="20">
        <v>17898994908712</v>
      </c>
      <c r="K16" s="21">
        <f>VLOOKUP($R$5,'ST BISCOITINHOS'!A:B,2,FALSE)</f>
        <v>0.12</v>
      </c>
      <c r="L16" s="142">
        <f>VLOOKUP($R$5,PREÇOS!$A$2:$L$31,2,FALSE)</f>
        <v>6.8072727272727276</v>
      </c>
      <c r="M16" s="143">
        <f t="shared" si="0"/>
        <v>81.687272727272727</v>
      </c>
      <c r="N16" s="144">
        <v>0</v>
      </c>
      <c r="O16" s="144">
        <v>0</v>
      </c>
      <c r="P16" s="145">
        <f t="shared" si="1"/>
        <v>81.687272727272727</v>
      </c>
      <c r="Q16" s="22"/>
      <c r="R16" s="146">
        <f t="shared" si="2"/>
        <v>0</v>
      </c>
      <c r="S16" s="145">
        <f t="shared" si="3"/>
        <v>0</v>
      </c>
    </row>
    <row r="17" spans="1:19" x14ac:dyDescent="0.3">
      <c r="A17" s="23"/>
      <c r="B17" s="197" t="s">
        <v>28</v>
      </c>
      <c r="C17" s="198"/>
      <c r="D17" s="31">
        <v>17898994908750</v>
      </c>
      <c r="E17" s="32" t="s">
        <v>96</v>
      </c>
      <c r="F17" s="32" t="s">
        <v>97</v>
      </c>
      <c r="G17" s="136">
        <f>VLOOKUP($R$5,'PSC PAPAPA'!$A$2:$L$31,2,FALSE)</f>
        <v>9.49</v>
      </c>
      <c r="H17" s="31" t="s">
        <v>93</v>
      </c>
      <c r="I17" s="31">
        <v>7898994908753</v>
      </c>
      <c r="J17" s="31">
        <v>17898994908750</v>
      </c>
      <c r="K17" s="33">
        <f>VLOOKUP($R$5,'ST BISCOITINHOS'!A:B,2,FALSE)</f>
        <v>0.12</v>
      </c>
      <c r="L17" s="136">
        <f>VLOOKUP($R$5,PREÇOS!$A$2:$L$31,2,FALSE)</f>
        <v>6.8072727272727276</v>
      </c>
      <c r="M17" s="137">
        <f t="shared" si="0"/>
        <v>0</v>
      </c>
      <c r="N17" s="147">
        <v>0</v>
      </c>
      <c r="O17" s="147">
        <v>0</v>
      </c>
      <c r="P17" s="139">
        <f t="shared" si="1"/>
        <v>0</v>
      </c>
      <c r="Q17" s="22"/>
      <c r="R17" s="140">
        <f t="shared" si="2"/>
        <v>0</v>
      </c>
      <c r="S17" s="139">
        <f t="shared" si="3"/>
        <v>0</v>
      </c>
    </row>
    <row r="18" spans="1:19" x14ac:dyDescent="0.3">
      <c r="A18" s="23"/>
      <c r="B18" s="199" t="s">
        <v>29</v>
      </c>
      <c r="C18" s="198"/>
      <c r="D18" s="20">
        <v>27898994908757</v>
      </c>
      <c r="E18" s="19" t="s">
        <v>96</v>
      </c>
      <c r="F18" s="19" t="s">
        <v>97</v>
      </c>
      <c r="G18" s="142">
        <f>VLOOKUP($R$5,'PSC PAPAPA'!$A$2:$L$31,2,FALSE)</f>
        <v>9.49</v>
      </c>
      <c r="H18" s="20" t="s">
        <v>93</v>
      </c>
      <c r="I18" s="20" t="s">
        <v>98</v>
      </c>
      <c r="J18" s="20">
        <v>27898994908757</v>
      </c>
      <c r="K18" s="21">
        <f>VLOOKUP($R$5,'ST BISCOITINHOS'!A:B,2,FALSE)</f>
        <v>0.12</v>
      </c>
      <c r="L18" s="142">
        <f>VLOOKUP($R$5,PREÇOS!$A$2:$L$31,2,FALSE)</f>
        <v>6.8072727272727276</v>
      </c>
      <c r="M18" s="143">
        <f t="shared" si="0"/>
        <v>47.174399999999999</v>
      </c>
      <c r="N18" s="144">
        <v>0</v>
      </c>
      <c r="O18" s="144">
        <v>0</v>
      </c>
      <c r="P18" s="145">
        <f t="shared" si="1"/>
        <v>57.032198496000007</v>
      </c>
      <c r="Q18" s="22"/>
      <c r="R18" s="146">
        <f t="shared" si="2"/>
        <v>0</v>
      </c>
      <c r="S18" s="145">
        <f t="shared" si="3"/>
        <v>0</v>
      </c>
    </row>
    <row r="19" spans="1:19" x14ac:dyDescent="0.3">
      <c r="A19" s="23"/>
      <c r="B19" s="197" t="s">
        <v>30</v>
      </c>
      <c r="C19" s="198"/>
      <c r="D19" s="31">
        <v>5306</v>
      </c>
      <c r="E19" s="32" t="s">
        <v>96</v>
      </c>
      <c r="F19" s="32" t="s">
        <v>97</v>
      </c>
      <c r="G19" s="136">
        <f>VLOOKUP($R$5,'PSC PAPAPA'!$A$2:$L$31,2,FALSE)</f>
        <v>9.49</v>
      </c>
      <c r="H19" s="31" t="s">
        <v>93</v>
      </c>
      <c r="I19" s="31">
        <v>7898969895309</v>
      </c>
      <c r="J19" s="31">
        <v>17898969895306</v>
      </c>
      <c r="K19" s="33">
        <f>VLOOKUP($R$5,'ST BISCOITINHOS'!A:B,2,FALSE)</f>
        <v>0.12</v>
      </c>
      <c r="L19" s="136">
        <f>VLOOKUP($R$5,PREÇOS!$A$2:$L$31,2,FALSE)</f>
        <v>6.8072727272727276</v>
      </c>
      <c r="M19" s="137">
        <f t="shared" si="0"/>
        <v>47.174399999999999</v>
      </c>
      <c r="N19" s="147">
        <v>0</v>
      </c>
      <c r="O19" s="147">
        <v>0</v>
      </c>
      <c r="P19" s="139">
        <f t="shared" si="1"/>
        <v>57.032198496000007</v>
      </c>
      <c r="Q19" s="22"/>
      <c r="R19" s="140">
        <f t="shared" si="2"/>
        <v>0</v>
      </c>
      <c r="S19" s="139">
        <f t="shared" si="3"/>
        <v>0</v>
      </c>
    </row>
    <row r="20" spans="1:19" x14ac:dyDescent="0.3">
      <c r="A20" s="23"/>
      <c r="B20" s="34"/>
      <c r="C20" s="34"/>
      <c r="D20" s="34"/>
      <c r="E20" s="34"/>
      <c r="F20" s="34"/>
      <c r="G20" s="148"/>
      <c r="H20" s="34"/>
      <c r="I20" s="34"/>
      <c r="J20" s="34"/>
      <c r="K20" s="34"/>
      <c r="L20" s="148"/>
      <c r="M20" s="148"/>
      <c r="N20" s="148"/>
      <c r="O20" s="148"/>
      <c r="P20" s="148"/>
      <c r="Q20" s="34"/>
      <c r="R20" s="148"/>
      <c r="S20" s="148"/>
    </row>
    <row r="21" spans="1:19" x14ac:dyDescent="0.3">
      <c r="A21" s="23"/>
      <c r="B21" s="199" t="s">
        <v>31</v>
      </c>
      <c r="C21" s="198"/>
      <c r="D21" s="20">
        <v>5085</v>
      </c>
      <c r="E21" s="19" t="s">
        <v>99</v>
      </c>
      <c r="F21" s="19" t="s">
        <v>100</v>
      </c>
      <c r="G21" s="142">
        <f>VLOOKUP($R$5,'PSC PAPAPA'!$A$2:$L$31,3,FALSE)</f>
        <v>5.99</v>
      </c>
      <c r="H21" s="20" t="s">
        <v>101</v>
      </c>
      <c r="I21" s="20">
        <v>7898969895088</v>
      </c>
      <c r="J21" s="20">
        <v>17898969895085</v>
      </c>
      <c r="K21" s="21">
        <f>VLOOKUP($R$5,'ST PALITINHOS'!A:B,2,FALSE)</f>
        <v>0.12</v>
      </c>
      <c r="L21" s="142">
        <f>VLOOKUP($R$5,PREÇOS!$A$2:$L$31,3,FALSE)</f>
        <v>3.9312</v>
      </c>
      <c r="M21" s="143">
        <f>L24*16</f>
        <v>0</v>
      </c>
      <c r="N21" s="144">
        <f>IF($K$8="SIM",VLOOKUP($R$5,'ST PALITINHOS'!$A$1:$J$31,10,FALSE),VLOOKUP($R$5,'ST PALITINHOS'!$A$1:$J$31,9,FALSE))</f>
        <v>0.8214832080000003</v>
      </c>
      <c r="O21" s="144">
        <v>0</v>
      </c>
      <c r="P21" s="145">
        <f>(L24+N24+O24)*16</f>
        <v>0</v>
      </c>
      <c r="Q21" s="22"/>
      <c r="R21" s="146">
        <f>Q24*M24</f>
        <v>0</v>
      </c>
      <c r="S21" s="145">
        <f>Q24*P24</f>
        <v>0</v>
      </c>
    </row>
    <row r="22" spans="1:19" x14ac:dyDescent="0.3">
      <c r="A22" s="23"/>
      <c r="B22" s="197" t="s">
        <v>32</v>
      </c>
      <c r="C22" s="198"/>
      <c r="D22" s="31">
        <v>5078</v>
      </c>
      <c r="E22" s="32" t="s">
        <v>99</v>
      </c>
      <c r="F22" s="32" t="s">
        <v>100</v>
      </c>
      <c r="G22" s="136">
        <f>VLOOKUP($R$5,'PSC PAPAPA'!$A$2:$L$31,3,FALSE)</f>
        <v>5.99</v>
      </c>
      <c r="H22" s="31" t="s">
        <v>101</v>
      </c>
      <c r="I22" s="31">
        <v>7898969895071</v>
      </c>
      <c r="J22" s="31">
        <v>17898969895078</v>
      </c>
      <c r="K22" s="33">
        <f>VLOOKUP($R$5,'ST PALITINHOS'!A:B,2,FALSE)</f>
        <v>0.12</v>
      </c>
      <c r="L22" s="136">
        <f>VLOOKUP($R$5,PREÇOS!$A$2:$L$31,3,FALSE)</f>
        <v>3.9312</v>
      </c>
      <c r="M22" s="137">
        <f>L25*16</f>
        <v>232.99723636363632</v>
      </c>
      <c r="N22" s="147">
        <f>IF($K$8="SIM",VLOOKUP($R$5,'ST PALITINHOS'!$A$1:$J$31,10,FALSE),VLOOKUP($R$5,'ST PALITINHOS'!$A$1:$J$31,9,FALSE))</f>
        <v>0.8214832080000003</v>
      </c>
      <c r="O22" s="147">
        <v>0</v>
      </c>
      <c r="P22" s="139">
        <f>(L25+N25+O25)*16</f>
        <v>232.99723636363632</v>
      </c>
      <c r="Q22" s="22"/>
      <c r="R22" s="140">
        <f>Q25*M25</f>
        <v>0</v>
      </c>
      <c r="S22" s="139">
        <f>Q25*P25</f>
        <v>0</v>
      </c>
    </row>
    <row r="23" spans="1:19" x14ac:dyDescent="0.3">
      <c r="A23" s="23"/>
      <c r="B23" s="199" t="s">
        <v>33</v>
      </c>
      <c r="C23" s="198"/>
      <c r="D23" s="20">
        <v>5061</v>
      </c>
      <c r="E23" s="19" t="s">
        <v>99</v>
      </c>
      <c r="F23" s="19" t="s">
        <v>100</v>
      </c>
      <c r="G23" s="142">
        <f>VLOOKUP($R$5,'PSC PAPAPA'!$A$2:$L$31,3,FALSE)</f>
        <v>5.99</v>
      </c>
      <c r="H23" s="20" t="s">
        <v>101</v>
      </c>
      <c r="I23" s="20">
        <v>7898969895064</v>
      </c>
      <c r="J23" s="20">
        <v>17898969895061</v>
      </c>
      <c r="K23" s="21">
        <f>VLOOKUP($R$5,'ST PALITINHOS'!A:B,2,FALSE)</f>
        <v>0.12</v>
      </c>
      <c r="L23" s="142">
        <f>VLOOKUP($R$5,PREÇOS!$A$2:$L$31,3,FALSE)</f>
        <v>3.9312</v>
      </c>
      <c r="M23" s="143">
        <f>L26*16</f>
        <v>232.99723636363632</v>
      </c>
      <c r="N23" s="144">
        <f>IF($K$8="SIM",VLOOKUP($R$5,'ST PALITINHOS'!$A$1:$J$31,10,FALSE),VLOOKUP($R$5,'ST PALITINHOS'!$A$1:$J$31,9,FALSE))</f>
        <v>0.8214832080000003</v>
      </c>
      <c r="O23" s="144">
        <v>0</v>
      </c>
      <c r="P23" s="145">
        <f>(L26+N26+O26)*16</f>
        <v>232.99723636363632</v>
      </c>
      <c r="Q23" s="22"/>
      <c r="R23" s="146">
        <f>Q26*M26</f>
        <v>0</v>
      </c>
      <c r="S23" s="145">
        <f>Q26*P26</f>
        <v>0</v>
      </c>
    </row>
    <row r="24" spans="1:19" x14ac:dyDescent="0.3">
      <c r="A24" s="23"/>
      <c r="B24" s="35"/>
      <c r="C24" s="35"/>
      <c r="D24" s="35"/>
      <c r="E24" s="35"/>
      <c r="F24" s="35"/>
      <c r="G24" s="149"/>
      <c r="H24" s="35"/>
      <c r="I24" s="35"/>
      <c r="J24" s="35"/>
      <c r="K24" s="35"/>
      <c r="L24" s="149"/>
      <c r="M24" s="149"/>
      <c r="N24" s="149"/>
      <c r="O24" s="149"/>
      <c r="P24" s="149"/>
      <c r="Q24" s="35"/>
      <c r="R24" s="149"/>
      <c r="S24" s="149"/>
    </row>
    <row r="25" spans="1:19" x14ac:dyDescent="0.3">
      <c r="A25" s="23"/>
      <c r="B25" s="199" t="s">
        <v>34</v>
      </c>
      <c r="C25" s="198"/>
      <c r="D25" s="20">
        <v>8774</v>
      </c>
      <c r="E25" s="19" t="s">
        <v>102</v>
      </c>
      <c r="F25" s="19" t="s">
        <v>95</v>
      </c>
      <c r="G25" s="142">
        <f>VLOOKUP($R$5,'PSC PAPAPA'!$A$2:$L$31,4,FALSE)</f>
        <v>19.989999999999998</v>
      </c>
      <c r="H25" s="20" t="s">
        <v>103</v>
      </c>
      <c r="I25" s="20">
        <v>7898994908777</v>
      </c>
      <c r="J25" s="20">
        <v>17898994908774</v>
      </c>
      <c r="K25" s="21">
        <f>VLOOKUP($R$5,'ST BISCOITINHOS'!A:B,2,FALSE)</f>
        <v>0.12</v>
      </c>
      <c r="L25" s="142">
        <f>VLOOKUP($R$5,PREÇOS!$A$2:$L$31,4,FALSE)</f>
        <v>14.56232727272727</v>
      </c>
      <c r="M25" s="143">
        <f>L28*12</f>
        <v>103.428</v>
      </c>
      <c r="N25" s="144">
        <f>IF($K$8="SIM",VLOOKUP($R$5,'ST BISCOITINHOS'!$A$1:$J$31,10,FALSE),VLOOKUP($R$5,'ST BISCOITINHOS'!$A$1:$J$31,9,FALSE))</f>
        <v>0</v>
      </c>
      <c r="O25" s="144">
        <v>0</v>
      </c>
      <c r="P25" s="145">
        <f>(L28+N28+O28)*12</f>
        <v>103.428</v>
      </c>
      <c r="Q25" s="22"/>
      <c r="R25" s="146">
        <f>Q28*M28</f>
        <v>0</v>
      </c>
      <c r="S25" s="145">
        <f>Q28*P28</f>
        <v>0</v>
      </c>
    </row>
    <row r="26" spans="1:19" x14ac:dyDescent="0.3">
      <c r="A26" s="23"/>
      <c r="B26" s="197" t="s">
        <v>35</v>
      </c>
      <c r="C26" s="198"/>
      <c r="D26" s="31">
        <v>8767</v>
      </c>
      <c r="E26" s="32" t="s">
        <v>102</v>
      </c>
      <c r="F26" s="32" t="s">
        <v>95</v>
      </c>
      <c r="G26" s="136">
        <f>VLOOKUP($R$5,'PSC PAPAPA'!$A$2:$L$31,4,FALSE)</f>
        <v>19.989999999999998</v>
      </c>
      <c r="H26" s="31" t="s">
        <v>103</v>
      </c>
      <c r="I26" s="31">
        <v>7898994908760</v>
      </c>
      <c r="J26" s="31">
        <v>17898994908767</v>
      </c>
      <c r="K26" s="33">
        <f>VLOOKUP($R$5,'ST BISCOITINHOS'!A:B,2,FALSE)</f>
        <v>0.12</v>
      </c>
      <c r="L26" s="136">
        <f>VLOOKUP($R$5,PREÇOS!$A$2:$L$31,4,FALSE)</f>
        <v>14.56232727272727</v>
      </c>
      <c r="M26" s="137">
        <f>L29*12</f>
        <v>103.428</v>
      </c>
      <c r="N26" s="147">
        <f>IF($K$8="SIM",VLOOKUP($R$5,'ST BISCOITINHOS'!$A$1:$J$31,10,FALSE),VLOOKUP($R$5,'ST BISCOITINHOS'!$A$1:$J$31,9,FALSE))</f>
        <v>0</v>
      </c>
      <c r="O26" s="147">
        <v>0</v>
      </c>
      <c r="P26" s="139">
        <f>(L29+N29+O29)*12</f>
        <v>103.428</v>
      </c>
      <c r="Q26" s="22"/>
      <c r="R26" s="140">
        <f>Q29*M29</f>
        <v>0</v>
      </c>
      <c r="S26" s="139">
        <f>Q29*P29</f>
        <v>0</v>
      </c>
    </row>
    <row r="27" spans="1:19" x14ac:dyDescent="0.3">
      <c r="A27" s="23"/>
      <c r="B27" s="35"/>
      <c r="C27" s="35"/>
      <c r="D27" s="35"/>
      <c r="E27" s="35"/>
      <c r="F27" s="35"/>
      <c r="G27" s="149"/>
      <c r="H27" s="35"/>
      <c r="I27" s="35"/>
      <c r="J27" s="35"/>
      <c r="K27" s="35"/>
      <c r="L27" s="149"/>
      <c r="M27" s="149"/>
      <c r="N27" s="149"/>
      <c r="O27" s="149"/>
      <c r="P27" s="149"/>
      <c r="Q27" s="35"/>
      <c r="R27" s="149"/>
      <c r="S27" s="149"/>
    </row>
    <row r="28" spans="1:19" x14ac:dyDescent="0.3">
      <c r="A28" s="23"/>
      <c r="B28" s="199" t="s">
        <v>36</v>
      </c>
      <c r="C28" s="198"/>
      <c r="D28" s="20">
        <v>5290</v>
      </c>
      <c r="E28" s="19" t="s">
        <v>104</v>
      </c>
      <c r="F28" s="19" t="s">
        <v>105</v>
      </c>
      <c r="G28" s="142">
        <f>VLOOKUP($R$5,'PSC PAPAPA'!$A$2:$L$31,5,FALSE)</f>
        <v>12.49</v>
      </c>
      <c r="H28" s="20" t="s">
        <v>106</v>
      </c>
      <c r="I28" s="20">
        <v>7898969895293</v>
      </c>
      <c r="J28" s="20">
        <v>17898969895293</v>
      </c>
      <c r="K28" s="21">
        <f>VLOOKUP($R$5,'ST PAPAPASTA'!A:B,2,FALSE)</f>
        <v>0.12</v>
      </c>
      <c r="L28" s="142">
        <f>VLOOKUP($R$5,PREÇOS!$A$2:$L$31,5,FALSE)</f>
        <v>8.6189999999999998</v>
      </c>
      <c r="M28" s="143">
        <f>L31*12</f>
        <v>148.68</v>
      </c>
      <c r="N28" s="144">
        <f>IF($K$8="SIM",VLOOKUP($R$5,'ST PAPAPASTA'!$A$1:$J$31,10,FALSE),VLOOKUP($R$5,'ST PAPAPASTA'!$A$1:$J$31,9,FALSE))</f>
        <v>0</v>
      </c>
      <c r="O28" s="144">
        <v>0</v>
      </c>
      <c r="P28" s="145">
        <f>(L31+N31+O31)*12</f>
        <v>148.68</v>
      </c>
      <c r="Q28" s="22"/>
      <c r="R28" s="146">
        <f>Q31*M31</f>
        <v>0</v>
      </c>
      <c r="S28" s="145">
        <f>Q31*P31</f>
        <v>0</v>
      </c>
    </row>
    <row r="29" spans="1:19" x14ac:dyDescent="0.3">
      <c r="A29" s="23"/>
      <c r="B29" s="197" t="s">
        <v>37</v>
      </c>
      <c r="C29" s="198"/>
      <c r="D29" s="31">
        <v>5283</v>
      </c>
      <c r="E29" s="32" t="s">
        <v>104</v>
      </c>
      <c r="F29" s="32" t="s">
        <v>105</v>
      </c>
      <c r="G29" s="136">
        <f>VLOOKUP($R$5,'PSC PAPAPA'!$A$2:$L$31,5,FALSE)</f>
        <v>12.49</v>
      </c>
      <c r="H29" s="31" t="s">
        <v>106</v>
      </c>
      <c r="I29" s="31">
        <v>7898969895286</v>
      </c>
      <c r="J29" s="31">
        <v>17898969895286</v>
      </c>
      <c r="K29" s="33">
        <f>VLOOKUP($R$5,'ST PAPAPASTA'!A:B,2,FALSE)</f>
        <v>0.12</v>
      </c>
      <c r="L29" s="136">
        <f>VLOOKUP($R$5,PREÇOS!$A$2:$L$31,5,FALSE)</f>
        <v>8.6189999999999998</v>
      </c>
      <c r="M29" s="137">
        <f>L32*12</f>
        <v>148.68</v>
      </c>
      <c r="N29" s="147">
        <f>IF($K$8="SIM",VLOOKUP($R$5,'ST PAPAPASTA'!$A$1:$J$31,10,FALSE),VLOOKUP($R$5,'ST PAPAPASTA'!$A$1:$J$31,9,FALSE))</f>
        <v>0</v>
      </c>
      <c r="O29" s="147">
        <v>0</v>
      </c>
      <c r="P29" s="139">
        <f>(L32+N32+O32)*12</f>
        <v>148.68</v>
      </c>
      <c r="Q29" s="22"/>
      <c r="R29" s="140">
        <f>Q32*M32</f>
        <v>0</v>
      </c>
      <c r="S29" s="139">
        <f>Q32*P32</f>
        <v>0</v>
      </c>
    </row>
    <row r="30" spans="1:19" x14ac:dyDescent="0.3">
      <c r="A30" s="23"/>
      <c r="B30" s="35"/>
      <c r="C30" s="35"/>
      <c r="D30" s="35"/>
      <c r="E30" s="35"/>
      <c r="F30" s="35"/>
      <c r="G30" s="149"/>
      <c r="H30" s="35"/>
      <c r="I30" s="35"/>
      <c r="J30" s="35"/>
      <c r="K30" s="35"/>
      <c r="L30" s="149"/>
      <c r="M30" s="149"/>
      <c r="N30" s="149"/>
      <c r="O30" s="149"/>
      <c r="P30" s="149"/>
      <c r="Q30" s="35"/>
      <c r="R30" s="149"/>
      <c r="S30" s="149"/>
    </row>
    <row r="31" spans="1:19" x14ac:dyDescent="0.3">
      <c r="B31" s="199" t="s">
        <v>38</v>
      </c>
      <c r="C31" s="198"/>
      <c r="D31" s="20">
        <v>5276</v>
      </c>
      <c r="E31" s="19" t="s">
        <v>107</v>
      </c>
      <c r="F31" s="19" t="s">
        <v>97</v>
      </c>
      <c r="G31" s="142">
        <f>VLOOKUP($R$5,'PSC PAPAPA'!$A$2:$L$31,6,FALSE)</f>
        <v>18.989999999999998</v>
      </c>
      <c r="H31" s="20" t="s">
        <v>93</v>
      </c>
      <c r="I31" s="20">
        <v>7898969895279</v>
      </c>
      <c r="J31" s="20">
        <v>17898969895276</v>
      </c>
      <c r="K31" s="21">
        <f>VLOOKUP($R$5,'ST PAPAPASTA'!A:B,2,FALSE)</f>
        <v>0.12</v>
      </c>
      <c r="L31" s="142">
        <f>VLOOKUP($R$5,PREÇOS!$A$2:$L$31,6,FALSE)</f>
        <v>12.39</v>
      </c>
      <c r="M31" s="143">
        <f>L34*6</f>
        <v>0</v>
      </c>
      <c r="N31" s="144">
        <v>0</v>
      </c>
      <c r="O31" s="144">
        <v>0</v>
      </c>
      <c r="P31" s="145">
        <f>(L34+N34+O34)*6</f>
        <v>0</v>
      </c>
      <c r="Q31" s="22"/>
      <c r="R31" s="146">
        <f>Q34*M34</f>
        <v>0</v>
      </c>
      <c r="S31" s="145">
        <f>Q34*P34</f>
        <v>0</v>
      </c>
    </row>
    <row r="32" spans="1:19" x14ac:dyDescent="0.3">
      <c r="B32" s="197" t="s">
        <v>39</v>
      </c>
      <c r="C32" s="198"/>
      <c r="D32" s="31">
        <v>5269</v>
      </c>
      <c r="E32" s="32" t="s">
        <v>107</v>
      </c>
      <c r="F32" s="32" t="s">
        <v>97</v>
      </c>
      <c r="G32" s="136">
        <f>VLOOKUP($R$5,'PSC PAPAPA'!$A$2:$L$31,6,FALSE)</f>
        <v>18.989999999999998</v>
      </c>
      <c r="H32" s="31" t="s">
        <v>93</v>
      </c>
      <c r="I32" s="31">
        <v>7898969895262</v>
      </c>
      <c r="J32" s="31">
        <v>17898969895269</v>
      </c>
      <c r="K32" s="33">
        <f>VLOOKUP($R$5,'ST PAPAPASTA'!A:B,2,FALSE)</f>
        <v>0.12</v>
      </c>
      <c r="L32" s="136">
        <f>VLOOKUP($R$5,PREÇOS!$A$2:$L$31,6,FALSE)</f>
        <v>12.39</v>
      </c>
      <c r="M32" s="137">
        <f>L35*6</f>
        <v>40.590000000000003</v>
      </c>
      <c r="N32" s="147">
        <v>0</v>
      </c>
      <c r="O32" s="147">
        <v>0</v>
      </c>
      <c r="P32" s="139">
        <f>(L35+N35+O35)*6</f>
        <v>48.446600400000001</v>
      </c>
      <c r="Q32" s="22"/>
      <c r="R32" s="140">
        <f>Q35*M35</f>
        <v>0</v>
      </c>
      <c r="S32" s="139">
        <f>Q35*P35</f>
        <v>0</v>
      </c>
    </row>
    <row r="33" spans="2:19" x14ac:dyDescent="0.3">
      <c r="B33" s="199" t="s">
        <v>40</v>
      </c>
      <c r="C33" s="198"/>
      <c r="D33" s="20">
        <v>5252</v>
      </c>
      <c r="E33" s="19" t="s">
        <v>107</v>
      </c>
      <c r="F33" s="19" t="s">
        <v>97</v>
      </c>
      <c r="G33" s="142">
        <f>VLOOKUP($R$5,'PSC PAPAPA'!$A$2:$L$31,6,FALSE)</f>
        <v>18.989999999999998</v>
      </c>
      <c r="H33" s="20" t="s">
        <v>93</v>
      </c>
      <c r="I33" s="20">
        <v>7898969895255</v>
      </c>
      <c r="J33" s="20">
        <v>17898969895252</v>
      </c>
      <c r="K33" s="21">
        <f>VLOOKUP($R$5,'ST PAPAPASTA'!A:B,2,FALSE)</f>
        <v>0.12</v>
      </c>
      <c r="L33" s="142">
        <f>VLOOKUP($R$5,PREÇOS!$A$2:$L$31,6,FALSE)</f>
        <v>12.39</v>
      </c>
      <c r="M33" s="143">
        <f>L36*6</f>
        <v>40.590000000000003</v>
      </c>
      <c r="N33" s="144">
        <v>0</v>
      </c>
      <c r="O33" s="144">
        <v>0</v>
      </c>
      <c r="P33" s="145">
        <f>(L36+N36+O36)*6</f>
        <v>48.446600400000001</v>
      </c>
      <c r="Q33" s="22"/>
      <c r="R33" s="146">
        <f>Q36*M36</f>
        <v>0</v>
      </c>
      <c r="S33" s="145">
        <f>Q36*P36</f>
        <v>0</v>
      </c>
    </row>
    <row r="34" spans="2:19" x14ac:dyDescent="0.3">
      <c r="B34" s="35"/>
      <c r="C34" s="35"/>
      <c r="D34" s="35"/>
      <c r="E34" s="35"/>
      <c r="F34" s="35"/>
      <c r="G34" s="149"/>
      <c r="H34" s="35"/>
      <c r="I34" s="35"/>
      <c r="J34" s="35"/>
      <c r="K34" s="35"/>
      <c r="L34" s="149"/>
      <c r="M34" s="149"/>
      <c r="N34" s="149"/>
      <c r="O34" s="149"/>
      <c r="P34" s="149"/>
      <c r="Q34" s="35"/>
      <c r="R34" s="149"/>
      <c r="S34" s="149"/>
    </row>
    <row r="35" spans="2:19" x14ac:dyDescent="0.3">
      <c r="B35" s="197" t="s">
        <v>41</v>
      </c>
      <c r="C35" s="198"/>
      <c r="D35" s="31">
        <v>5402</v>
      </c>
      <c r="E35" s="31" t="s">
        <v>108</v>
      </c>
      <c r="F35" s="32" t="s">
        <v>92</v>
      </c>
      <c r="G35" s="136">
        <f>VLOOKUP($R$5,'PSC PAPAPA'!$A$2:$L$31,10,FALSE)</f>
        <v>9.99</v>
      </c>
      <c r="H35" s="31" t="s">
        <v>109</v>
      </c>
      <c r="I35" s="31">
        <v>7898969895408</v>
      </c>
      <c r="J35" s="31">
        <v>27898969895402</v>
      </c>
      <c r="K35" s="33">
        <f>VLOOKUP($R$5,'ST CEREAL SABOR POUCH 170'!A:B,2,FALSE)</f>
        <v>0.12</v>
      </c>
      <c r="L35" s="136">
        <f>VLOOKUP($R$5,PREÇOS!$A$2:$L$31,10,FALSE)</f>
        <v>6.7650000000000006</v>
      </c>
      <c r="M35" s="137">
        <f>L38*12</f>
        <v>194.2704</v>
      </c>
      <c r="N35" s="150">
        <f>IF($K$8="SIM",VLOOKUP($R$5,'ST CEREAL SABOR POUCH 170'!$A$1:$J$31,10,FALSE),VLOOKUP($R$5,'ST CEREAL SABOR POUCH 170'!$A$1:$J$31,9,FALSE))</f>
        <v>1.3094334000000003</v>
      </c>
      <c r="O35" s="150">
        <v>0</v>
      </c>
      <c r="P35" s="139">
        <f>(L38+N38+O38)*12</f>
        <v>231.87337862400003</v>
      </c>
      <c r="Q35" s="22"/>
      <c r="R35" s="140">
        <f>Q38*M38</f>
        <v>0</v>
      </c>
      <c r="S35" s="139">
        <f>Q38*P38</f>
        <v>0</v>
      </c>
    </row>
    <row r="36" spans="2:19" x14ac:dyDescent="0.3">
      <c r="B36" s="199" t="s">
        <v>42</v>
      </c>
      <c r="C36" s="198"/>
      <c r="D36" s="20">
        <v>5419</v>
      </c>
      <c r="E36" s="20" t="s">
        <v>108</v>
      </c>
      <c r="F36" s="19" t="s">
        <v>92</v>
      </c>
      <c r="G36" s="142">
        <f>VLOOKUP($R$5,'PSC PAPAPA'!$A$2:$L$31,10,FALSE)</f>
        <v>9.99</v>
      </c>
      <c r="H36" s="20" t="s">
        <v>109</v>
      </c>
      <c r="I36" s="20">
        <v>7898969895415</v>
      </c>
      <c r="J36" s="20">
        <v>27898969895419</v>
      </c>
      <c r="K36" s="21">
        <f>VLOOKUP($R$5,'ST CEREAL SABOR POUCH 170'!A:B,2,FALSE)</f>
        <v>0.12</v>
      </c>
      <c r="L36" s="142">
        <f>VLOOKUP($R$5,PREÇOS!$A$2:$L$31,10,FALSE)</f>
        <v>6.7650000000000006</v>
      </c>
      <c r="M36" s="143">
        <f>L39*12</f>
        <v>0</v>
      </c>
      <c r="N36" s="144">
        <f>IF($K$8="SIM",VLOOKUP($R$5,'ST CEREAL SABOR POUCH 170'!$A$1:$J$31,10,FALSE),VLOOKUP($R$5,'ST CEREAL SABOR POUCH 170'!$A$1:$J$31,9,FALSE))</f>
        <v>1.3094334000000003</v>
      </c>
      <c r="O36" s="144">
        <v>0</v>
      </c>
      <c r="P36" s="145">
        <f>(L39+N39+O39)*12</f>
        <v>0</v>
      </c>
      <c r="Q36" s="22"/>
      <c r="R36" s="146">
        <f>Q39*M39</f>
        <v>0</v>
      </c>
      <c r="S36" s="145">
        <f>Q39*P39</f>
        <v>0</v>
      </c>
    </row>
    <row r="37" spans="2:19" x14ac:dyDescent="0.3">
      <c r="B37" s="197" t="s">
        <v>43</v>
      </c>
      <c r="C37" s="198"/>
      <c r="D37" s="31">
        <v>5429</v>
      </c>
      <c r="E37" s="31" t="s">
        <v>108</v>
      </c>
      <c r="F37" s="32" t="s">
        <v>92</v>
      </c>
      <c r="G37" s="136">
        <f>VLOOKUP($R$5,'PSC PAPAPA'!$A$2:$L$31,11,FALSE)</f>
        <v>9.99</v>
      </c>
      <c r="H37" s="31" t="s">
        <v>109</v>
      </c>
      <c r="I37" s="31">
        <v>7898969895422</v>
      </c>
      <c r="J37" s="31">
        <v>17898969895429</v>
      </c>
      <c r="K37" s="33">
        <f>VLOOKUP($R$5,'ST MULTI 170 POUCH'!A:B,2,FALSE)</f>
        <v>0.12</v>
      </c>
      <c r="L37" s="136">
        <f>VLOOKUP($R$5,PREÇOS!$A$2:$L$31,11,FALSE)</f>
        <v>6.7650000000000006</v>
      </c>
      <c r="M37" s="137">
        <f>L40*12</f>
        <v>107.85600000000002</v>
      </c>
      <c r="N37" s="150">
        <f>IF($K$8="SIM",VLOOKUP($R$5,'ST MULTI 170 POUCH'!$A$1:$J$31,10,FALSE),VLOOKUP($R$5,'ST MULTI 170 POUCH'!$A$1:$J$31,9,FALSE))</f>
        <v>1.3094334000000003</v>
      </c>
      <c r="O37" s="150">
        <v>0</v>
      </c>
      <c r="P37" s="139">
        <f>(L40+N40+O40)*12</f>
        <v>107.85600000000002</v>
      </c>
      <c r="Q37" s="22"/>
      <c r="R37" s="140">
        <f>Q40*M40</f>
        <v>0</v>
      </c>
      <c r="S37" s="139">
        <f>Q40*P40</f>
        <v>0</v>
      </c>
    </row>
    <row r="38" spans="2:19" x14ac:dyDescent="0.3">
      <c r="B38" s="199" t="s">
        <v>44</v>
      </c>
      <c r="C38" s="198"/>
      <c r="D38" s="20">
        <v>5399</v>
      </c>
      <c r="E38" s="20" t="s">
        <v>110</v>
      </c>
      <c r="F38" s="19" t="s">
        <v>92</v>
      </c>
      <c r="G38" s="142">
        <f>VLOOKUP($R$5,'PSC PAPAPA'!$A$2:$L$31,12,FALSE)</f>
        <v>23.99</v>
      </c>
      <c r="H38" s="20" t="s">
        <v>109</v>
      </c>
      <c r="I38" s="20">
        <v>7898969895392</v>
      </c>
      <c r="J38" s="20">
        <v>17898969895399</v>
      </c>
      <c r="K38" s="21">
        <f>VLOOKUP($R$5,'ST MULTI 500 POUCH'!A:B,2,FALSE)</f>
        <v>0.12</v>
      </c>
      <c r="L38" s="142">
        <f>VLOOKUP($R$5,PREÇOS!$A$2:$L$31,12,FALSE)</f>
        <v>16.1892</v>
      </c>
      <c r="M38" s="143">
        <f>L41*12</f>
        <v>107.85600000000002</v>
      </c>
      <c r="N38" s="144">
        <f>IF($K$8="SIM",VLOOKUP($R$5,'ST MULTI 500 POUCH'!$A$1:$J$31,10,FALSE),VLOOKUP($R$5,'ST MULTI 500 POUCH'!$A$1:$J$31,9,FALSE))</f>
        <v>3.1335815520000008</v>
      </c>
      <c r="O38" s="144">
        <v>0</v>
      </c>
      <c r="P38" s="145">
        <f>(L41+N41+O41)*12</f>
        <v>107.85600000000002</v>
      </c>
      <c r="Q38" s="22"/>
      <c r="R38" s="146">
        <f>Q41*M41</f>
        <v>0</v>
      </c>
      <c r="S38" s="145">
        <f>Q41*P41</f>
        <v>0</v>
      </c>
    </row>
    <row r="39" spans="2:19" x14ac:dyDescent="0.3">
      <c r="B39" s="36"/>
      <c r="C39" s="37"/>
      <c r="D39" s="38"/>
      <c r="E39" s="39"/>
      <c r="F39" s="39"/>
      <c r="G39" s="152"/>
      <c r="H39" s="38"/>
      <c r="I39" s="38"/>
      <c r="J39" s="38"/>
      <c r="K39" s="40"/>
      <c r="L39" s="151"/>
      <c r="M39" s="152"/>
      <c r="N39" s="153"/>
      <c r="O39" s="153"/>
      <c r="P39" s="154"/>
      <c r="R39" s="154"/>
      <c r="S39" s="154"/>
    </row>
    <row r="40" spans="2:19" x14ac:dyDescent="0.3">
      <c r="B40" s="199" t="s">
        <v>45</v>
      </c>
      <c r="C40" s="198"/>
      <c r="D40" s="20">
        <v>5375</v>
      </c>
      <c r="E40" s="19" t="s">
        <v>111</v>
      </c>
      <c r="F40" s="19" t="s">
        <v>112</v>
      </c>
      <c r="G40" s="142">
        <f>VLOOKUP($R$5,'PSC PAPAPA'!$A$2:$L$31,8,FALSE)</f>
        <v>13.49</v>
      </c>
      <c r="H40" s="20" t="s">
        <v>103</v>
      </c>
      <c r="I40" s="20">
        <v>7898969895378</v>
      </c>
      <c r="J40" s="20">
        <v>17898969895375</v>
      </c>
      <c r="K40" s="21">
        <f>VLOOKUP($R$5,'ST BISCOTTI'!A:B,2,FALSE)</f>
        <v>0.12</v>
      </c>
      <c r="L40" s="142">
        <f>VLOOKUP($R$5,PREÇOS!$A$2:$L$31,8,FALSE)</f>
        <v>8.9880000000000013</v>
      </c>
      <c r="M40" s="143">
        <f>L43*12</f>
        <v>107.85600000000002</v>
      </c>
      <c r="N40" s="144">
        <f>IF($K$8="SIM",VLOOKUP($R$5,'ST BISCOTTI'!$A$1:$J$31,10,FALSE),VLOOKUP($R$5,'ST BISCOTTI'!$A$1:$J$31,9,FALSE))</f>
        <v>0</v>
      </c>
      <c r="O40" s="144">
        <v>0</v>
      </c>
      <c r="P40" s="145">
        <f>(L43+N43+O43)*12</f>
        <v>107.85600000000002</v>
      </c>
      <c r="Q40" s="22"/>
      <c r="R40" s="146">
        <f>Q43*M43</f>
        <v>0</v>
      </c>
      <c r="S40" s="145">
        <f>Q43*P43</f>
        <v>0</v>
      </c>
    </row>
    <row r="41" spans="2:19" x14ac:dyDescent="0.3">
      <c r="B41" s="197" t="s">
        <v>46</v>
      </c>
      <c r="C41" s="198"/>
      <c r="D41" s="31">
        <v>5351</v>
      </c>
      <c r="E41" s="32" t="s">
        <v>111</v>
      </c>
      <c r="F41" s="32" t="s">
        <v>112</v>
      </c>
      <c r="G41" s="136">
        <f>VLOOKUP($R$5,'PSC PAPAPA'!$A$2:$L$31,8,FALSE)</f>
        <v>13.49</v>
      </c>
      <c r="H41" s="31" t="s">
        <v>103</v>
      </c>
      <c r="I41" s="31">
        <v>7898969895354</v>
      </c>
      <c r="J41" s="31">
        <v>17898969895351</v>
      </c>
      <c r="K41" s="33">
        <f>VLOOKUP($R$5,'ST BISCOTTI'!A:B,2,FALSE)</f>
        <v>0.12</v>
      </c>
      <c r="L41" s="136">
        <f>VLOOKUP($R$5,PREÇOS!$A$2:$L$31,8,FALSE)</f>
        <v>8.9880000000000013</v>
      </c>
      <c r="M41" s="137">
        <f>L44*12</f>
        <v>107.85600000000002</v>
      </c>
      <c r="N41" s="147">
        <f>IF($K$8="SIM",VLOOKUP($R$5,'ST BISCOTTI'!$A$1:$J$31,10,FALSE),VLOOKUP($R$5,'ST BISCOTTI'!$A$1:$J$31,9,FALSE))</f>
        <v>0</v>
      </c>
      <c r="O41" s="147">
        <v>0</v>
      </c>
      <c r="P41" s="139">
        <f>(L44+N44+O44)*12</f>
        <v>107.85600000000002</v>
      </c>
      <c r="Q41" s="22"/>
      <c r="R41" s="140">
        <f>Q44*M44</f>
        <v>0</v>
      </c>
      <c r="S41" s="139">
        <f>Q44*P44</f>
        <v>0</v>
      </c>
    </row>
    <row r="42" spans="2:19" x14ac:dyDescent="0.3">
      <c r="B42" s="199" t="s">
        <v>47</v>
      </c>
      <c r="C42" s="198"/>
      <c r="D42" s="20">
        <v>5368</v>
      </c>
      <c r="E42" s="19" t="s">
        <v>111</v>
      </c>
      <c r="F42" s="19" t="s">
        <v>112</v>
      </c>
      <c r="G42" s="142">
        <f>VLOOKUP($R$5,'PSC PAPAPA'!$A$2:$L$31,8,FALSE)</f>
        <v>13.49</v>
      </c>
      <c r="H42" s="20" t="s">
        <v>103</v>
      </c>
      <c r="I42" s="20">
        <v>7898969895361</v>
      </c>
      <c r="J42" s="20">
        <v>17898969895368</v>
      </c>
      <c r="K42" s="21">
        <f>VLOOKUP($R$5,'ST BISCOTTI'!A:B,2,FALSE)</f>
        <v>0.12</v>
      </c>
      <c r="L42" s="142">
        <f>VLOOKUP($R$5,PREÇOS!$A$2:$L$31,8,FALSE)</f>
        <v>8.9880000000000013</v>
      </c>
      <c r="M42" s="143">
        <f>L45*12</f>
        <v>0</v>
      </c>
      <c r="N42" s="144">
        <f>IF($K$8="SIM",VLOOKUP($R$5,'ST BISCOTTI'!$A$1:$J$31,10,FALSE),VLOOKUP($R$5,'ST BISCOTTI'!$A$1:$J$31,9,FALSE))</f>
        <v>0</v>
      </c>
      <c r="O42" s="144">
        <v>0</v>
      </c>
      <c r="P42" s="145">
        <f>(L45+N45+O45)*12</f>
        <v>0</v>
      </c>
      <c r="Q42" s="22"/>
      <c r="R42" s="146">
        <f>Q45*M45</f>
        <v>0</v>
      </c>
      <c r="S42" s="145">
        <f>Q45*P45</f>
        <v>0</v>
      </c>
    </row>
    <row r="43" spans="2:19" x14ac:dyDescent="0.3">
      <c r="B43" s="197" t="s">
        <v>48</v>
      </c>
      <c r="C43" s="198"/>
      <c r="D43" s="31">
        <v>5597</v>
      </c>
      <c r="E43" s="32" t="s">
        <v>111</v>
      </c>
      <c r="F43" s="32" t="s">
        <v>112</v>
      </c>
      <c r="G43" s="136">
        <f>VLOOKUP($R$5,'PSC PAPAPA'!$A$2:$L$31,8,FALSE)</f>
        <v>13.49</v>
      </c>
      <c r="H43" s="31" t="s">
        <v>103</v>
      </c>
      <c r="I43" s="31">
        <v>7898969895590</v>
      </c>
      <c r="J43" s="31">
        <v>17898969895597</v>
      </c>
      <c r="K43" s="33">
        <f>VLOOKUP($R$5,'ST BISCOTTI'!A:B,2,FALSE)</f>
        <v>0.12</v>
      </c>
      <c r="L43" s="136">
        <f>VLOOKUP($R$5,PREÇOS!$A$2:$L$31,8,FALSE)</f>
        <v>8.9880000000000013</v>
      </c>
      <c r="M43" s="137">
        <f>L46*12</f>
        <v>155.28</v>
      </c>
      <c r="N43" s="147">
        <f>IF($K$8="SIM",VLOOKUP($R$5,'ST BISCOTTI'!$A$1:$J$31,10,FALSE),VLOOKUP($R$5,'ST BISCOTTI'!$A$1:$J$31,9,FALSE))</f>
        <v>0</v>
      </c>
      <c r="O43" s="147">
        <v>0</v>
      </c>
      <c r="P43" s="139">
        <f>(L46+N46+O46)*12</f>
        <v>155.28</v>
      </c>
      <c r="Q43" s="22"/>
      <c r="R43" s="140">
        <f>Q46*M46</f>
        <v>0</v>
      </c>
      <c r="S43" s="139">
        <f>Q46*P46</f>
        <v>0</v>
      </c>
    </row>
    <row r="44" spans="2:19" x14ac:dyDescent="0.3">
      <c r="B44" s="199" t="s">
        <v>49</v>
      </c>
      <c r="C44" s="198"/>
      <c r="D44" s="95">
        <v>5580</v>
      </c>
      <c r="E44" s="19" t="s">
        <v>111</v>
      </c>
      <c r="F44" s="19" t="s">
        <v>112</v>
      </c>
      <c r="G44" s="142">
        <f>VLOOKUP($R$5,'PSC PAPAPA'!$A$2:$L$31,8,FALSE)</f>
        <v>13.49</v>
      </c>
      <c r="H44" s="20" t="s">
        <v>103</v>
      </c>
      <c r="I44" s="96">
        <v>7898969895583</v>
      </c>
      <c r="J44" s="96">
        <v>17898969895580</v>
      </c>
      <c r="K44" s="21">
        <f>VLOOKUP($R$5,'ST BISCOTTI'!A:B,2,FALSE)</f>
        <v>0.12</v>
      </c>
      <c r="L44" s="142">
        <f>VLOOKUP($R$5,PREÇOS!$A$2:$L$31,8,FALSE)</f>
        <v>8.9880000000000013</v>
      </c>
      <c r="M44" s="143">
        <f>L47*12</f>
        <v>155.28</v>
      </c>
      <c r="N44" s="144">
        <f>IF($K$8="SIM",VLOOKUP($R$5,'ST BISCOTTI'!$A$1:$J$31,10,FALSE),VLOOKUP($R$5,'ST BISCOTTI'!$A$1:$J$31,9,FALSE))</f>
        <v>0</v>
      </c>
      <c r="O44" s="144">
        <v>0</v>
      </c>
      <c r="P44" s="145">
        <f>(L47+N47+O47)*12</f>
        <v>155.28</v>
      </c>
      <c r="Q44" s="22"/>
      <c r="R44" s="146">
        <f>Q47*M47</f>
        <v>0</v>
      </c>
      <c r="S44" s="145">
        <f>Q47*P47</f>
        <v>0</v>
      </c>
    </row>
    <row r="45" spans="2:19" x14ac:dyDescent="0.3">
      <c r="G45" s="155"/>
      <c r="L45" s="155"/>
      <c r="M45" s="155"/>
      <c r="N45" s="155"/>
      <c r="O45" s="155"/>
      <c r="P45" s="155"/>
      <c r="R45" s="155"/>
      <c r="S45" s="155"/>
    </row>
    <row r="46" spans="2:19" x14ac:dyDescent="0.3">
      <c r="B46" s="199" t="s">
        <v>50</v>
      </c>
      <c r="C46" s="198"/>
      <c r="D46" s="20">
        <v>5610</v>
      </c>
      <c r="E46" s="19" t="s">
        <v>113</v>
      </c>
      <c r="F46" s="19" t="s">
        <v>92</v>
      </c>
      <c r="G46" s="142">
        <v>18.989999999999998</v>
      </c>
      <c r="H46" s="20" t="s">
        <v>93</v>
      </c>
      <c r="I46" s="20">
        <v>7898969895613</v>
      </c>
      <c r="J46" s="20">
        <v>17898969895610</v>
      </c>
      <c r="K46" s="21">
        <f>VLOOKUP($R$5,'ST BISCOTTI'!A:B,2,FALSE)</f>
        <v>0.12</v>
      </c>
      <c r="L46" s="142">
        <f>VLOOKUP($R$5,PREÇOS!$A$2:$N$31,14,FALSE)</f>
        <v>12.94</v>
      </c>
      <c r="M46" s="143">
        <f>L49*6</f>
        <v>77.64</v>
      </c>
      <c r="N46" s="144">
        <v>0</v>
      </c>
      <c r="O46" s="144">
        <v>0</v>
      </c>
      <c r="P46" s="145">
        <f>(L49+N49+O49)*6</f>
        <v>77.64</v>
      </c>
      <c r="Q46" s="22"/>
      <c r="R46" s="146">
        <f>Q49*M49</f>
        <v>0</v>
      </c>
      <c r="S46" s="145">
        <f>Q49*P49</f>
        <v>0</v>
      </c>
    </row>
    <row r="47" spans="2:19" x14ac:dyDescent="0.3">
      <c r="B47" s="197" t="s">
        <v>51</v>
      </c>
      <c r="C47" s="198"/>
      <c r="D47" s="31">
        <v>5634</v>
      </c>
      <c r="E47" s="32" t="s">
        <v>113</v>
      </c>
      <c r="F47" s="32" t="s">
        <v>92</v>
      </c>
      <c r="G47" s="136">
        <v>18.989999999999998</v>
      </c>
      <c r="H47" s="31" t="s">
        <v>93</v>
      </c>
      <c r="I47" s="31">
        <v>7898969895637</v>
      </c>
      <c r="J47" s="31">
        <v>17898969895634</v>
      </c>
      <c r="K47" s="33">
        <f>VLOOKUP($R$5,'ST BISCOTTI'!A:B,2,FALSE)</f>
        <v>0.12</v>
      </c>
      <c r="L47" s="136">
        <f>VLOOKUP($R$5,PREÇOS!$A$2:$N$31,14,FALSE)</f>
        <v>12.94</v>
      </c>
      <c r="M47" s="137">
        <f>L50*6</f>
        <v>0</v>
      </c>
      <c r="N47" s="147">
        <v>0</v>
      </c>
      <c r="O47" s="147">
        <v>0</v>
      </c>
      <c r="P47" s="139">
        <f>(L50+N50+O50)*6</f>
        <v>0</v>
      </c>
      <c r="Q47" s="22"/>
      <c r="R47" s="140">
        <f>Q50*M50</f>
        <v>0</v>
      </c>
      <c r="S47" s="139">
        <f>Q50*P50</f>
        <v>0</v>
      </c>
    </row>
    <row r="48" spans="2:19" x14ac:dyDescent="0.3">
      <c r="B48" s="199" t="s">
        <v>52</v>
      </c>
      <c r="C48" s="198"/>
      <c r="D48" s="20">
        <v>5627</v>
      </c>
      <c r="E48" s="19" t="s">
        <v>113</v>
      </c>
      <c r="F48" s="19" t="s">
        <v>114</v>
      </c>
      <c r="G48" s="142">
        <v>18.989999999999998</v>
      </c>
      <c r="H48" s="20" t="s">
        <v>93</v>
      </c>
      <c r="I48" s="20">
        <v>7898969895620</v>
      </c>
      <c r="J48" s="20">
        <v>17898969895627</v>
      </c>
      <c r="K48" s="21">
        <f>VLOOKUP($R$5,'ST BISCOTTI'!A:B,2,FALSE)</f>
        <v>0.12</v>
      </c>
      <c r="L48" s="142">
        <f>VLOOKUP($R$5,PREÇOS!$A$2:$N$31,14,FALSE)</f>
        <v>12.94</v>
      </c>
      <c r="M48" s="143">
        <f>L51*6</f>
        <v>30.599999999999998</v>
      </c>
      <c r="N48" s="144">
        <v>0</v>
      </c>
      <c r="O48" s="144">
        <v>0</v>
      </c>
      <c r="P48" s="145">
        <f>(L51+N51+O51)*6</f>
        <v>36.994329</v>
      </c>
      <c r="Q48" s="22"/>
      <c r="R48" s="146">
        <f>Q51*M51</f>
        <v>0</v>
      </c>
      <c r="S48" s="145">
        <f>Q51*P51</f>
        <v>0</v>
      </c>
    </row>
    <row r="49" spans="2:19" x14ac:dyDescent="0.3">
      <c r="B49" s="197" t="s">
        <v>53</v>
      </c>
      <c r="C49" s="198"/>
      <c r="D49" s="31">
        <v>5603</v>
      </c>
      <c r="E49" s="32" t="s">
        <v>113</v>
      </c>
      <c r="F49" s="32" t="s">
        <v>114</v>
      </c>
      <c r="G49" s="136">
        <v>18.989999999999998</v>
      </c>
      <c r="H49" s="31" t="s">
        <v>93</v>
      </c>
      <c r="I49" s="31">
        <v>7898969895606</v>
      </c>
      <c r="J49" s="31">
        <v>17898969895603</v>
      </c>
      <c r="K49" s="33">
        <f>VLOOKUP($R$5,'ST BISCOTTI'!A:B,2,FALSE)</f>
        <v>0.12</v>
      </c>
      <c r="L49" s="136">
        <f>VLOOKUP($R$5,PREÇOS!$A$2:$N$31,14,FALSE)</f>
        <v>12.94</v>
      </c>
      <c r="M49" s="137">
        <f>L52*6</f>
        <v>30.599999999999998</v>
      </c>
      <c r="N49" s="147">
        <v>0</v>
      </c>
      <c r="O49" s="147">
        <v>0</v>
      </c>
      <c r="P49" s="139">
        <f>(L52+N52+O52)*6</f>
        <v>36.994329</v>
      </c>
      <c r="Q49" s="22"/>
      <c r="R49" s="140">
        <f>Q52*M52</f>
        <v>0</v>
      </c>
      <c r="S49" s="139">
        <f>Q52*P52</f>
        <v>0</v>
      </c>
    </row>
    <row r="50" spans="2:19" x14ac:dyDescent="0.3">
      <c r="B50" s="36"/>
      <c r="C50" s="37"/>
      <c r="D50" s="38"/>
      <c r="E50" s="39"/>
      <c r="F50" s="39"/>
      <c r="G50" s="151"/>
      <c r="H50" s="38"/>
      <c r="I50" s="38"/>
      <c r="J50" s="38"/>
      <c r="K50" s="40"/>
      <c r="L50" s="151"/>
      <c r="M50" s="152"/>
      <c r="N50" s="153"/>
      <c r="O50" s="153"/>
      <c r="P50" s="154"/>
      <c r="Q50" s="97"/>
      <c r="R50" s="154"/>
      <c r="S50" s="154"/>
    </row>
    <row r="51" spans="2:19" x14ac:dyDescent="0.3">
      <c r="B51" s="199" t="s">
        <v>54</v>
      </c>
      <c r="C51" s="198"/>
      <c r="D51" s="20">
        <v>5670</v>
      </c>
      <c r="E51" s="19" t="s">
        <v>115</v>
      </c>
      <c r="F51" s="19" t="s">
        <v>100</v>
      </c>
      <c r="G51" s="142">
        <f>VLOOKUP($R$5,'PSC PAPAPA'!$A$2:$Q$31,15,FALSE)</f>
        <v>8.99</v>
      </c>
      <c r="H51" s="20" t="s">
        <v>101</v>
      </c>
      <c r="I51" s="20">
        <v>7898969895811</v>
      </c>
      <c r="J51" s="20">
        <v>17898969895818</v>
      </c>
      <c r="K51" s="21">
        <f>VLOOKUP($R$5,'ST EXTRUSADOS'!A:B,2,FALSE)</f>
        <v>0.12</v>
      </c>
      <c r="L51" s="142">
        <f>VLOOKUP($R$5,PREÇOS!$A$2:$Q$31,15,FALSE)</f>
        <v>5.0999999999999996</v>
      </c>
      <c r="M51" s="143">
        <f>L54*18</f>
        <v>0</v>
      </c>
      <c r="N51" s="144">
        <f>IF($K$8="SIM",VLOOKUP($R$5,'ST EXTRUSADOS'!$A$1:$J$31,10,FALSE),VLOOKUP($R$5,'ST EXTRUSADOS'!$A$1:$J$31,9,FALSE))</f>
        <v>1.0657215</v>
      </c>
      <c r="O51" s="144">
        <v>0</v>
      </c>
      <c r="P51" s="145">
        <f>(L54+N54+O54)*18</f>
        <v>0</v>
      </c>
      <c r="Q51" s="22"/>
      <c r="R51" s="146">
        <f>Q54*M54</f>
        <v>0</v>
      </c>
      <c r="S51" s="145">
        <f>Q54*P54</f>
        <v>0</v>
      </c>
    </row>
    <row r="52" spans="2:19" x14ac:dyDescent="0.3">
      <c r="B52" s="197" t="s">
        <v>55</v>
      </c>
      <c r="C52" s="198"/>
      <c r="D52" s="31">
        <v>5671</v>
      </c>
      <c r="E52" s="32" t="s">
        <v>115</v>
      </c>
      <c r="F52" s="32" t="s">
        <v>100</v>
      </c>
      <c r="G52" s="142">
        <f>VLOOKUP($R$5,'PSC PAPAPA'!$A$2:$Q$31,15,FALSE)</f>
        <v>8.99</v>
      </c>
      <c r="H52" s="31" t="s">
        <v>101</v>
      </c>
      <c r="I52" s="31">
        <v>7898969895804</v>
      </c>
      <c r="J52" s="31">
        <v>17898969895801</v>
      </c>
      <c r="K52" s="33">
        <f>VLOOKUP($R$5,'ST EXTRUSADOS'!A:B,2,FALSE)</f>
        <v>0.12</v>
      </c>
      <c r="L52" s="136">
        <f>VLOOKUP($R$5,PREÇOS!$A$2:$Q$31,15,FALSE)</f>
        <v>5.0999999999999996</v>
      </c>
      <c r="M52" s="137">
        <f>L55*18</f>
        <v>90</v>
      </c>
      <c r="N52" s="147">
        <f>IF($K$8="SIM",VLOOKUP($R$5,'ST EXTRUSADOS'!$A$1:$J$31,10,FALSE),VLOOKUP($R$5,'ST EXTRUSADOS'!$A$1:$J$31,9,FALSE))</f>
        <v>1.0657215</v>
      </c>
      <c r="O52" s="147">
        <v>0</v>
      </c>
      <c r="P52" s="139">
        <f>(L55+N55+O55)*18</f>
        <v>90</v>
      </c>
      <c r="Q52" s="22"/>
      <c r="R52" s="140">
        <f>Q55*M55</f>
        <v>0</v>
      </c>
      <c r="S52" s="139">
        <f>Q55*P55</f>
        <v>0</v>
      </c>
    </row>
    <row r="53" spans="2:19" x14ac:dyDescent="0.3">
      <c r="B53" s="199" t="s">
        <v>56</v>
      </c>
      <c r="C53" s="198"/>
      <c r="D53" s="20">
        <v>5673</v>
      </c>
      <c r="E53" s="19" t="s">
        <v>115</v>
      </c>
      <c r="F53" s="19" t="s">
        <v>100</v>
      </c>
      <c r="G53" s="142">
        <f>VLOOKUP($R$5,'PSC PAPAPA'!$A$2:$Q$31,15,FALSE)</f>
        <v>8.99</v>
      </c>
      <c r="H53" s="20" t="s">
        <v>101</v>
      </c>
      <c r="I53" s="20">
        <v>7898969895798</v>
      </c>
      <c r="J53" s="20">
        <v>17898969895795</v>
      </c>
      <c r="K53" s="21">
        <f>VLOOKUP($R$5,'ST EXTRUSADOS'!A:B,2,FALSE)</f>
        <v>0.12</v>
      </c>
      <c r="L53" s="142">
        <f>VLOOKUP($R$5,PREÇOS!$A$2:$Q$31,15,FALSE)</f>
        <v>5.0999999999999996</v>
      </c>
      <c r="M53" s="143">
        <f>L56*18</f>
        <v>90</v>
      </c>
      <c r="N53" s="144">
        <f>IF($K$8="SIM",VLOOKUP($R$5,'ST EXTRUSADOS'!$A$1:$J$31,10,FALSE),VLOOKUP($R$5,'ST EXTRUSADOS'!$A$1:$J$31,9,FALSE))</f>
        <v>1.0657215</v>
      </c>
      <c r="O53" s="144">
        <v>0</v>
      </c>
      <c r="P53" s="145">
        <f>(L56+N56+O56)*18</f>
        <v>90</v>
      </c>
      <c r="Q53" s="22"/>
      <c r="R53" s="146">
        <f>Q56*M56</f>
        <v>0</v>
      </c>
      <c r="S53" s="145">
        <f>Q56*P56</f>
        <v>0</v>
      </c>
    </row>
    <row r="54" spans="2:19" x14ac:dyDescent="0.3">
      <c r="B54" s="36"/>
      <c r="C54" s="37"/>
      <c r="D54" s="38"/>
      <c r="E54" s="39"/>
      <c r="F54" s="39"/>
      <c r="G54" s="153"/>
      <c r="H54" s="38"/>
      <c r="I54" s="38"/>
      <c r="J54" s="38"/>
      <c r="K54" s="40"/>
      <c r="L54" s="151"/>
      <c r="M54" s="152"/>
      <c r="N54" s="153"/>
      <c r="O54" s="153"/>
      <c r="P54" s="154"/>
      <c r="Q54" s="23"/>
      <c r="R54" s="154"/>
      <c r="S54" s="154"/>
    </row>
    <row r="55" spans="2:19" ht="15" hidden="1" customHeight="1" x14ac:dyDescent="0.3">
      <c r="B55" s="208" t="s">
        <v>57</v>
      </c>
      <c r="C55" s="198"/>
      <c r="D55" s="98">
        <v>5677</v>
      </c>
      <c r="E55" s="99" t="s">
        <v>116</v>
      </c>
      <c r="F55" s="99" t="s">
        <v>112</v>
      </c>
      <c r="G55" s="142">
        <f>VLOOKUP($R$5,'PSC PAPAPA'!$A$2:$Q$31,16,FALSE)</f>
        <v>7.6</v>
      </c>
      <c r="H55" s="98" t="s">
        <v>103</v>
      </c>
      <c r="I55" s="98">
        <v>7898969895828</v>
      </c>
      <c r="J55" s="98">
        <v>17898969895917</v>
      </c>
      <c r="K55" s="100">
        <f>VLOOKUP($R$5,'ST RECHEADOS'!A:B,2,FALSE)</f>
        <v>0.12</v>
      </c>
      <c r="L55" s="157">
        <f>VLOOKUP($R$5,PREÇOS!$A$2:$Q$31,16,FALSE)</f>
        <v>5</v>
      </c>
      <c r="M55" s="158">
        <f>L58*8</f>
        <v>26.4</v>
      </c>
      <c r="N55" s="150">
        <f>IF($K$8="SIM",VLOOKUP($R$5,'ST RECHEADOS'!$A$1:$J$31,10,FALSE),VLOOKUP($R$5,'ST RECHEADOS'!$A$1:$J$31,9,FALSE))</f>
        <v>0</v>
      </c>
      <c r="O55" s="150">
        <v>0</v>
      </c>
      <c r="P55" s="159">
        <f>(L58+N58+O58)*8</f>
        <v>26.4</v>
      </c>
      <c r="Q55" s="22"/>
      <c r="R55" s="160">
        <f>Q58*M58</f>
        <v>0</v>
      </c>
      <c r="S55" s="159">
        <f>Q58*P58</f>
        <v>0</v>
      </c>
    </row>
    <row r="56" spans="2:19" hidden="1" x14ac:dyDescent="0.3">
      <c r="B56" s="199" t="s">
        <v>58</v>
      </c>
      <c r="C56" s="198"/>
      <c r="D56" s="20">
        <v>5678</v>
      </c>
      <c r="E56" s="19" t="s">
        <v>116</v>
      </c>
      <c r="F56" s="19" t="s">
        <v>112</v>
      </c>
      <c r="G56" s="142">
        <f>VLOOKUP($R$5,'PSC PAPAPA'!$A$2:$Q$31,16,FALSE)</f>
        <v>7.6</v>
      </c>
      <c r="H56" s="20" t="s">
        <v>103</v>
      </c>
      <c r="I56" s="20">
        <v>7898969895835</v>
      </c>
      <c r="J56" s="20">
        <v>17898969895900</v>
      </c>
      <c r="K56" s="21">
        <f>VLOOKUP($R$5,'ST RECHEADOS'!A:B,2,FALSE)</f>
        <v>0.12</v>
      </c>
      <c r="L56" s="142">
        <f>VLOOKUP($R$5,PREÇOS!$A$2:$Q$31,16,FALSE)</f>
        <v>5</v>
      </c>
      <c r="M56" s="143">
        <f>L59*8</f>
        <v>26.4</v>
      </c>
      <c r="N56" s="144">
        <f>IF($K$8="SIM",VLOOKUP($R$5,'ST RECHEADOS'!$A$1:$J$31,10,FALSE),VLOOKUP($R$5,'ST RECHEADOS'!$A$1:$J$31,9,FALSE))</f>
        <v>0</v>
      </c>
      <c r="O56" s="144">
        <v>0</v>
      </c>
      <c r="P56" s="145">
        <f>(L59+N59+O59)*8</f>
        <v>26.4</v>
      </c>
      <c r="Q56" s="22"/>
      <c r="R56" s="146">
        <f>Q59*M59</f>
        <v>0</v>
      </c>
      <c r="S56" s="145">
        <f>Q59*P59</f>
        <v>0</v>
      </c>
    </row>
    <row r="57" spans="2:19" x14ac:dyDescent="0.3">
      <c r="B57" s="36"/>
      <c r="C57" s="37"/>
      <c r="D57" s="38"/>
      <c r="E57" s="39"/>
      <c r="F57" s="39"/>
      <c r="G57" s="153"/>
      <c r="H57" s="38"/>
      <c r="I57" s="38"/>
      <c r="J57" s="38"/>
      <c r="K57" s="40"/>
      <c r="L57" s="151"/>
      <c r="M57" s="152"/>
      <c r="N57" s="153"/>
      <c r="O57" s="153"/>
      <c r="P57" s="154"/>
      <c r="Q57" s="23"/>
      <c r="R57" s="154"/>
      <c r="S57" s="154"/>
    </row>
    <row r="58" spans="2:19" x14ac:dyDescent="0.3">
      <c r="B58" s="199" t="s">
        <v>59</v>
      </c>
      <c r="C58" s="198"/>
      <c r="D58" s="20">
        <v>5680</v>
      </c>
      <c r="E58" s="19" t="s">
        <v>117</v>
      </c>
      <c r="F58" s="19" t="s">
        <v>118</v>
      </c>
      <c r="G58" s="142">
        <f>VLOOKUP($R$5,'PSC PAPAPA'!$A$2:$Q$31,17,FALSE)</f>
        <v>5.19</v>
      </c>
      <c r="H58" s="20" t="s">
        <v>119</v>
      </c>
      <c r="I58" s="20">
        <v>7898969895880</v>
      </c>
      <c r="J58" s="20">
        <v>17898969895887</v>
      </c>
      <c r="K58" s="21">
        <f>VLOOKUP($R$5,'ST BISCOTTI'!A:B,2,FALSE)</f>
        <v>0.12</v>
      </c>
      <c r="L58" s="142">
        <f>VLOOKUP($R$5,PREÇOS!$A$2:$Q$31,17,FALSE)</f>
        <v>3.3</v>
      </c>
      <c r="M58" s="143">
        <f>L61*27</f>
        <v>89.1</v>
      </c>
      <c r="N58" s="144">
        <v>0</v>
      </c>
      <c r="O58" s="144">
        <v>0</v>
      </c>
      <c r="P58" s="145">
        <f>(L61+N61+O61)*27</f>
        <v>89.1</v>
      </c>
      <c r="Q58" s="22"/>
      <c r="R58" s="146">
        <f>Q61*M61</f>
        <v>0</v>
      </c>
      <c r="S58" s="145">
        <f>Q61*P61</f>
        <v>0</v>
      </c>
    </row>
    <row r="59" spans="2:19" x14ac:dyDescent="0.3">
      <c r="B59" s="197" t="s">
        <v>60</v>
      </c>
      <c r="C59" s="198"/>
      <c r="D59" s="31">
        <v>5681</v>
      </c>
      <c r="E59" s="32" t="s">
        <v>117</v>
      </c>
      <c r="F59" s="32" t="s">
        <v>118</v>
      </c>
      <c r="G59" s="142">
        <f>VLOOKUP($R$5,'PSC PAPAPA'!$A$2:$Q$31,17,FALSE)</f>
        <v>5.19</v>
      </c>
      <c r="H59" s="31" t="s">
        <v>119</v>
      </c>
      <c r="I59" s="31">
        <v>7898969895859</v>
      </c>
      <c r="J59" s="31">
        <v>17898969895856</v>
      </c>
      <c r="K59" s="33">
        <f>VLOOKUP($R$5,'ST BISCOTTI'!A:B,2,FALSE)</f>
        <v>0.12</v>
      </c>
      <c r="L59" s="136">
        <f>VLOOKUP($R$5,PREÇOS!$A$2:$Q$31,17,FALSE)</f>
        <v>3.3</v>
      </c>
      <c r="M59" s="137">
        <f>L62*27</f>
        <v>0</v>
      </c>
      <c r="N59" s="147">
        <v>0</v>
      </c>
      <c r="O59" s="147">
        <v>0</v>
      </c>
      <c r="P59" s="139">
        <f>(L62+N62+O62)*27</f>
        <v>0</v>
      </c>
      <c r="Q59" s="22"/>
      <c r="R59" s="140">
        <f>Q62*M62</f>
        <v>0</v>
      </c>
      <c r="S59" s="139">
        <f>Q62*P62</f>
        <v>0</v>
      </c>
    </row>
    <row r="60" spans="2:19" x14ac:dyDescent="0.3">
      <c r="B60" s="199" t="s">
        <v>61</v>
      </c>
      <c r="C60" s="198"/>
      <c r="D60" s="20">
        <v>5682</v>
      </c>
      <c r="E60" s="19" t="s">
        <v>117</v>
      </c>
      <c r="F60" s="19" t="s">
        <v>118</v>
      </c>
      <c r="G60" s="142">
        <f>VLOOKUP($R$5,'PSC PAPAPA'!$A$2:$Q$31,17,FALSE)</f>
        <v>5.19</v>
      </c>
      <c r="H60" s="20" t="s">
        <v>119</v>
      </c>
      <c r="I60" s="20">
        <v>7898969895866</v>
      </c>
      <c r="J60" s="20">
        <v>17898969895863</v>
      </c>
      <c r="K60" s="21">
        <f>VLOOKUP($R$5,'ST BISCOTTI'!A:B,2,FALSE)</f>
        <v>0.12</v>
      </c>
      <c r="L60" s="142">
        <f>VLOOKUP($R$5,PREÇOS!$A$2:$Q$31,17,FALSE)</f>
        <v>3.3</v>
      </c>
      <c r="M60" s="143">
        <f>L63*27</f>
        <v>106.92</v>
      </c>
      <c r="N60" s="144">
        <v>0</v>
      </c>
      <c r="O60" s="144">
        <v>0</v>
      </c>
      <c r="P60" s="145">
        <f>(L63+N63+O63)*27</f>
        <v>106.92</v>
      </c>
      <c r="Q60" s="22"/>
      <c r="R60" s="146">
        <f>Q63*M63</f>
        <v>0</v>
      </c>
      <c r="S60" s="145">
        <f>Q63*P63</f>
        <v>0</v>
      </c>
    </row>
    <row r="61" spans="2:19" x14ac:dyDescent="0.3">
      <c r="B61" s="197" t="s">
        <v>62</v>
      </c>
      <c r="C61" s="198"/>
      <c r="D61" s="31">
        <v>5683</v>
      </c>
      <c r="E61" s="32" t="s">
        <v>117</v>
      </c>
      <c r="F61" s="32" t="s">
        <v>118</v>
      </c>
      <c r="G61" s="142">
        <f>VLOOKUP($R$5,'PSC PAPAPA'!$A$2:$Q$31,17,FALSE)</f>
        <v>5.19</v>
      </c>
      <c r="H61" s="31" t="s">
        <v>119</v>
      </c>
      <c r="I61" s="31">
        <v>7898969895873</v>
      </c>
      <c r="J61" s="31">
        <v>17898969895870</v>
      </c>
      <c r="K61" s="33">
        <f>VLOOKUP($R$5,'ST BISCOTTI'!A:B,2,FALSE)</f>
        <v>0.12</v>
      </c>
      <c r="L61" s="136">
        <f>VLOOKUP($R$5,PREÇOS!$A$2:$Q$31,17,FALSE)</f>
        <v>3.3</v>
      </c>
      <c r="M61" s="137">
        <f>L64*27</f>
        <v>0</v>
      </c>
      <c r="N61" s="147">
        <v>0</v>
      </c>
      <c r="O61" s="147">
        <v>0</v>
      </c>
      <c r="P61" s="139">
        <f>(L64+N64+O64)*27</f>
        <v>0</v>
      </c>
      <c r="Q61" s="22"/>
      <c r="R61" s="140">
        <f>Q64*M64</f>
        <v>0</v>
      </c>
      <c r="S61" s="139">
        <f>Q64*P64</f>
        <v>0</v>
      </c>
    </row>
    <row r="62" spans="2:19" x14ac:dyDescent="0.3">
      <c r="B62" s="36"/>
      <c r="C62" s="37"/>
      <c r="D62" s="38"/>
      <c r="E62" s="39"/>
      <c r="F62" s="39"/>
      <c r="G62" s="153"/>
      <c r="H62" s="38"/>
      <c r="I62" s="38"/>
      <c r="J62" s="38"/>
      <c r="K62" s="40"/>
      <c r="L62" s="151"/>
      <c r="M62" s="152"/>
      <c r="N62" s="153"/>
      <c r="O62" s="153"/>
      <c r="P62" s="154"/>
      <c r="Q62" s="23"/>
      <c r="R62" s="154"/>
      <c r="S62" s="154"/>
    </row>
    <row r="63" spans="2:19" x14ac:dyDescent="0.3">
      <c r="B63" s="199" t="s">
        <v>63</v>
      </c>
      <c r="C63" s="198"/>
      <c r="D63" s="20">
        <v>5685</v>
      </c>
      <c r="E63" s="19" t="s">
        <v>117</v>
      </c>
      <c r="F63" s="19" t="s">
        <v>120</v>
      </c>
      <c r="G63" s="142">
        <f>VLOOKUP($R$5,'PSC PAPAPA'!$A$2:$T$31,18,FALSE)</f>
        <v>5.99</v>
      </c>
      <c r="H63" s="20" t="s">
        <v>119</v>
      </c>
      <c r="I63" s="20">
        <v>7898969895897</v>
      </c>
      <c r="J63" s="20">
        <v>17898969895894</v>
      </c>
      <c r="K63" s="21">
        <f>VLOOKUP($R$5,'ST BISCOTTI'!A:B,2,FALSE)</f>
        <v>0.12</v>
      </c>
      <c r="L63" s="142">
        <f>VLOOKUP($R$5,PREÇOS!$A$2:$T$31,18,FALSE)</f>
        <v>3.96</v>
      </c>
      <c r="M63" s="143">
        <f>L66*27</f>
        <v>500.72727272727286</v>
      </c>
      <c r="N63" s="144">
        <v>0</v>
      </c>
      <c r="O63" s="144">
        <v>0</v>
      </c>
      <c r="P63" s="145">
        <f>(L66+N66+O66)*27</f>
        <v>529.4454545454546</v>
      </c>
      <c r="Q63" s="22"/>
      <c r="R63" s="146">
        <f>Q66*M66</f>
        <v>0</v>
      </c>
      <c r="S63" s="145">
        <f>Q66*P66</f>
        <v>0</v>
      </c>
    </row>
    <row r="64" spans="2:19" x14ac:dyDescent="0.3">
      <c r="B64" s="36"/>
      <c r="C64" s="37"/>
      <c r="D64" s="38"/>
      <c r="E64" s="39"/>
      <c r="F64" s="39"/>
      <c r="G64" s="153"/>
      <c r="H64" s="38"/>
      <c r="I64" s="38"/>
      <c r="J64" s="38"/>
      <c r="K64" s="40"/>
      <c r="L64" s="151"/>
      <c r="M64" s="152"/>
      <c r="N64" s="153"/>
      <c r="O64" s="153"/>
      <c r="P64" s="154"/>
      <c r="Q64" s="23"/>
      <c r="R64" s="154"/>
      <c r="S64" s="154"/>
    </row>
    <row r="65" spans="2:19" x14ac:dyDescent="0.3">
      <c r="B65" s="199" t="s">
        <v>64</v>
      </c>
      <c r="C65" s="198"/>
      <c r="D65" s="20">
        <v>5641</v>
      </c>
      <c r="E65" s="19" t="s">
        <v>121</v>
      </c>
      <c r="F65" s="19" t="s">
        <v>122</v>
      </c>
      <c r="G65" s="142">
        <f>VLOOKUP($R$5,'PSC PAPAPA'!$A$2:$V$31,19,FALSE)</f>
        <v>35</v>
      </c>
      <c r="H65" s="20" t="s">
        <v>123</v>
      </c>
      <c r="I65" s="20">
        <v>7898969895644</v>
      </c>
      <c r="J65" s="20">
        <v>17898969895641</v>
      </c>
      <c r="K65" s="21">
        <f>VLOOKUP($R$5,'ST BISCOITINHOS'!A:B,2,FALSE)</f>
        <v>0.12</v>
      </c>
      <c r="L65" s="142">
        <f>VLOOKUP($R$5,PREÇOS!$A$2:$V$31,19,FALSE)</f>
        <v>18.54545454545455</v>
      </c>
      <c r="M65" s="143">
        <f t="shared" ref="M65:M76" si="4">L68</f>
        <v>16.36363636363636</v>
      </c>
      <c r="N65" s="144">
        <v>0</v>
      </c>
      <c r="O65" s="144">
        <f t="shared" ref="O65:O76" si="5">L68*6.5%</f>
        <v>1.0636363636363635</v>
      </c>
      <c r="P65" s="145">
        <f t="shared" ref="P65:P76" si="6">(L68+N68+O68)</f>
        <v>17.710909090909087</v>
      </c>
      <c r="Q65" s="22"/>
      <c r="R65" s="146">
        <f t="shared" ref="R65:R76" si="7">Q68*M68</f>
        <v>0</v>
      </c>
      <c r="S65" s="145">
        <f t="shared" ref="S65:S76" si="8">Q68*P68</f>
        <v>0</v>
      </c>
    </row>
    <row r="66" spans="2:19" x14ac:dyDescent="0.3">
      <c r="B66" s="101" t="s">
        <v>65</v>
      </c>
      <c r="C66" s="102"/>
      <c r="D66" s="103">
        <v>5658</v>
      </c>
      <c r="E66" s="104" t="s">
        <v>121</v>
      </c>
      <c r="F66" s="104" t="s">
        <v>122</v>
      </c>
      <c r="G66" s="142">
        <f>VLOOKUP($R$5,'PSC PAPAPA'!$A$2:$V$31,19,FALSE)</f>
        <v>35</v>
      </c>
      <c r="H66" s="103" t="s">
        <v>123</v>
      </c>
      <c r="I66" s="103">
        <v>7898969895651</v>
      </c>
      <c r="J66" s="103">
        <v>17898969895658</v>
      </c>
      <c r="K66" s="105">
        <f>VLOOKUP($R$5,'ST BISCOITINHOS'!A:B,2,FALSE)</f>
        <v>0.12</v>
      </c>
      <c r="L66" s="161">
        <f>VLOOKUP($R$5,PREÇOS!$A$2:$V$31,19,FALSE)</f>
        <v>18.54545454545455</v>
      </c>
      <c r="M66" s="143">
        <f t="shared" si="4"/>
        <v>16.36363636363636</v>
      </c>
      <c r="N66" s="163">
        <v>0</v>
      </c>
      <c r="O66" s="163">
        <f t="shared" si="5"/>
        <v>1.0636363636363635</v>
      </c>
      <c r="P66" s="145">
        <f t="shared" si="6"/>
        <v>17.710909090909087</v>
      </c>
      <c r="Q66" s="22"/>
      <c r="R66" s="165">
        <f t="shared" si="7"/>
        <v>0</v>
      </c>
      <c r="S66" s="166">
        <f t="shared" si="8"/>
        <v>0</v>
      </c>
    </row>
    <row r="67" spans="2:19" x14ac:dyDescent="0.3">
      <c r="B67" s="106" t="s">
        <v>66</v>
      </c>
      <c r="C67" s="107"/>
      <c r="D67" s="20">
        <v>5665</v>
      </c>
      <c r="E67" s="19" t="s">
        <v>121</v>
      </c>
      <c r="F67" s="19" t="s">
        <v>122</v>
      </c>
      <c r="G67" s="142">
        <f>VLOOKUP($R$5,'PSC PAPAPA'!$A$2:$V$31,19,FALSE)</f>
        <v>35</v>
      </c>
      <c r="H67" s="20" t="s">
        <v>123</v>
      </c>
      <c r="I67" s="20">
        <v>7898969895668</v>
      </c>
      <c r="J67" s="20">
        <v>17898969895665</v>
      </c>
      <c r="K67" s="21">
        <f>VLOOKUP($R$5,'ST BISCOITINHOS'!A:B,2,FALSE)</f>
        <v>0.12</v>
      </c>
      <c r="L67" s="142">
        <f>VLOOKUP($R$5,PREÇOS!$A$2:$V$31,19,FALSE)</f>
        <v>18.54545454545455</v>
      </c>
      <c r="M67" s="143">
        <f t="shared" si="4"/>
        <v>16.36363636363636</v>
      </c>
      <c r="N67" s="144">
        <v>0</v>
      </c>
      <c r="O67" s="144">
        <f t="shared" si="5"/>
        <v>1.0636363636363635</v>
      </c>
      <c r="P67" s="145">
        <f t="shared" si="6"/>
        <v>17.710909090909087</v>
      </c>
      <c r="Q67" s="22"/>
      <c r="R67" s="146">
        <f t="shared" si="7"/>
        <v>0</v>
      </c>
      <c r="S67" s="145">
        <f t="shared" si="8"/>
        <v>0</v>
      </c>
    </row>
    <row r="68" spans="2:19" x14ac:dyDescent="0.3">
      <c r="B68" s="101" t="s">
        <v>67</v>
      </c>
      <c r="C68" s="102"/>
      <c r="D68" s="98">
        <v>5733</v>
      </c>
      <c r="E68" s="99" t="s">
        <v>121</v>
      </c>
      <c r="F68" s="99" t="s">
        <v>122</v>
      </c>
      <c r="G68" s="142">
        <f>VLOOKUP($R$5,'PSC PAPAPA'!$A$2:$V$31,21,FALSE)</f>
        <v>26</v>
      </c>
      <c r="H68" s="98" t="s">
        <v>123</v>
      </c>
      <c r="I68" s="98">
        <v>7898969895736</v>
      </c>
      <c r="J68" s="98">
        <v>17898969895733</v>
      </c>
      <c r="K68" s="100">
        <f>VLOOKUP($R$5,'ST BISCOITINHOS'!A:B,2,FALSE)</f>
        <v>0.12</v>
      </c>
      <c r="L68" s="157">
        <f>VLOOKUP($R$5,PREÇOS!$A$2:$V$31,20,FALSE)</f>
        <v>16.36363636363636</v>
      </c>
      <c r="M68" s="143">
        <f t="shared" si="4"/>
        <v>20.72727272727273</v>
      </c>
      <c r="N68" s="150">
        <v>0</v>
      </c>
      <c r="O68" s="150">
        <f t="shared" si="5"/>
        <v>1.3472727272727274</v>
      </c>
      <c r="P68" s="145">
        <f t="shared" si="6"/>
        <v>22.733290909090911</v>
      </c>
      <c r="Q68" s="22"/>
      <c r="R68" s="160">
        <f t="shared" si="7"/>
        <v>0</v>
      </c>
      <c r="S68" s="159">
        <f t="shared" si="8"/>
        <v>0</v>
      </c>
    </row>
    <row r="69" spans="2:19" x14ac:dyDescent="0.3">
      <c r="B69" s="106" t="s">
        <v>68</v>
      </c>
      <c r="C69" s="107"/>
      <c r="D69" s="108">
        <v>5740</v>
      </c>
      <c r="E69" s="109" t="s">
        <v>121</v>
      </c>
      <c r="F69" s="109" t="s">
        <v>122</v>
      </c>
      <c r="G69" s="142">
        <f>VLOOKUP($R$5,'PSC PAPAPA'!$A$2:$V$31,21,FALSE)</f>
        <v>26</v>
      </c>
      <c r="H69" s="108" t="s">
        <v>123</v>
      </c>
      <c r="I69" s="108">
        <v>7898969895743</v>
      </c>
      <c r="J69" s="108">
        <v>17898969895740</v>
      </c>
      <c r="K69" s="110">
        <f>VLOOKUP($R$5,'ST BISCOITINHOS'!A:B,2,FALSE)</f>
        <v>0.12</v>
      </c>
      <c r="L69" s="167">
        <f>VLOOKUP($R$5,PREÇOS!$A$2:$V$31,20,FALSE)</f>
        <v>16.36363636363636</v>
      </c>
      <c r="M69" s="143">
        <f t="shared" si="4"/>
        <v>20.72727272727273</v>
      </c>
      <c r="N69" s="168">
        <v>0</v>
      </c>
      <c r="O69" s="168">
        <f t="shared" si="5"/>
        <v>1.3472727272727274</v>
      </c>
      <c r="P69" s="145">
        <f t="shared" si="6"/>
        <v>22.733290909090911</v>
      </c>
      <c r="Q69" s="22"/>
      <c r="R69" s="169">
        <f t="shared" si="7"/>
        <v>0</v>
      </c>
      <c r="S69" s="170">
        <f t="shared" si="8"/>
        <v>0</v>
      </c>
    </row>
    <row r="70" spans="2:19" x14ac:dyDescent="0.3">
      <c r="B70" s="101" t="s">
        <v>69</v>
      </c>
      <c r="C70" s="102"/>
      <c r="D70" s="98">
        <v>5757</v>
      </c>
      <c r="E70" s="99" t="s">
        <v>121</v>
      </c>
      <c r="F70" s="99" t="s">
        <v>122</v>
      </c>
      <c r="G70" s="142">
        <f>VLOOKUP($R$5,'PSC PAPAPA'!$A$2:$V$31,21,FALSE)</f>
        <v>26</v>
      </c>
      <c r="H70" s="98" t="s">
        <v>123</v>
      </c>
      <c r="I70" s="98">
        <v>7898969895750</v>
      </c>
      <c r="J70" s="98">
        <v>17898969895757</v>
      </c>
      <c r="K70" s="100">
        <f>VLOOKUP($R$5,'ST BISCOITINHOS'!A:B,2,FALSE)</f>
        <v>0.12</v>
      </c>
      <c r="L70" s="157">
        <f>VLOOKUP($R$5,PREÇOS!$A$2:$V$31,20,FALSE)</f>
        <v>16.36363636363636</v>
      </c>
      <c r="M70" s="143">
        <f t="shared" si="4"/>
        <v>20.72727272727273</v>
      </c>
      <c r="N70" s="150">
        <v>0</v>
      </c>
      <c r="O70" s="150">
        <f t="shared" si="5"/>
        <v>1.3472727272727274</v>
      </c>
      <c r="P70" s="145">
        <f t="shared" si="6"/>
        <v>22.733290909090911</v>
      </c>
      <c r="Q70" s="22"/>
      <c r="R70" s="160">
        <f t="shared" si="7"/>
        <v>0</v>
      </c>
      <c r="S70" s="159">
        <f t="shared" si="8"/>
        <v>0</v>
      </c>
    </row>
    <row r="71" spans="2:19" x14ac:dyDescent="0.3">
      <c r="B71" s="106" t="s">
        <v>70</v>
      </c>
      <c r="C71" s="107"/>
      <c r="D71" s="20">
        <v>5702</v>
      </c>
      <c r="E71" s="19" t="s">
        <v>121</v>
      </c>
      <c r="F71" s="19" t="s">
        <v>122</v>
      </c>
      <c r="G71" s="142">
        <f>VLOOKUP($R$5,'PSC PAPAPA'!$A$2:$V$31,20,FALSE)</f>
        <v>35</v>
      </c>
      <c r="H71" s="20" t="s">
        <v>123</v>
      </c>
      <c r="I71" s="20">
        <v>7898969895705</v>
      </c>
      <c r="J71" s="20">
        <v>17898969895702</v>
      </c>
      <c r="K71" s="21">
        <f>VLOOKUP($R$5,'ST BISCOITINHOS'!A:B,2,FALSE)</f>
        <v>0.12</v>
      </c>
      <c r="L71" s="142">
        <f>VLOOKUP($R$5,PREÇOS!$A$2:$V$31,21,FALSE)</f>
        <v>20.72727272727273</v>
      </c>
      <c r="M71" s="143">
        <f t="shared" si="4"/>
        <v>30.86181818181818</v>
      </c>
      <c r="N71" s="144">
        <v>0</v>
      </c>
      <c r="O71" s="144">
        <f t="shared" si="5"/>
        <v>2.0060181818181819</v>
      </c>
      <c r="P71" s="145">
        <f t="shared" si="6"/>
        <v>30.86181818181818</v>
      </c>
      <c r="Q71" s="22"/>
      <c r="R71" s="146">
        <f t="shared" si="7"/>
        <v>0</v>
      </c>
      <c r="S71" s="145" t="e">
        <f t="shared" si="8"/>
        <v>#VALUE!</v>
      </c>
    </row>
    <row r="72" spans="2:19" x14ac:dyDescent="0.3">
      <c r="B72" s="101" t="s">
        <v>71</v>
      </c>
      <c r="C72" s="102"/>
      <c r="D72" s="103">
        <v>5719</v>
      </c>
      <c r="E72" s="104" t="s">
        <v>121</v>
      </c>
      <c r="F72" s="104" t="s">
        <v>122</v>
      </c>
      <c r="G72" s="142">
        <f>VLOOKUP($R$5,'PSC PAPAPA'!$A$2:$V$31,20,FALSE)</f>
        <v>35</v>
      </c>
      <c r="H72" s="103" t="s">
        <v>123</v>
      </c>
      <c r="I72" s="103">
        <v>7898969895712</v>
      </c>
      <c r="J72" s="103">
        <v>17898969895719</v>
      </c>
      <c r="K72" s="105">
        <f>VLOOKUP($R$5,'ST BISCOITINHOS'!A:B,2,FALSE)</f>
        <v>0.12</v>
      </c>
      <c r="L72" s="161">
        <f>VLOOKUP($R$5,PREÇOS!$A$2:$V$31,21,FALSE)</f>
        <v>20.72727272727273</v>
      </c>
      <c r="M72" s="143">
        <f t="shared" si="4"/>
        <v>30.86181818181818</v>
      </c>
      <c r="N72" s="163">
        <v>0</v>
      </c>
      <c r="O72" s="163">
        <f t="shared" si="5"/>
        <v>2.0060181818181819</v>
      </c>
      <c r="P72" s="145">
        <f t="shared" si="6"/>
        <v>30.86181818181818</v>
      </c>
      <c r="Q72" s="22"/>
      <c r="R72" s="165">
        <f t="shared" si="7"/>
        <v>0</v>
      </c>
      <c r="S72" s="166">
        <f t="shared" si="8"/>
        <v>0</v>
      </c>
    </row>
    <row r="73" spans="2:19" x14ac:dyDescent="0.3">
      <c r="B73" s="106" t="s">
        <v>72</v>
      </c>
      <c r="C73" s="107"/>
      <c r="D73" s="20">
        <v>5726</v>
      </c>
      <c r="E73" s="19" t="s">
        <v>121</v>
      </c>
      <c r="F73" s="19" t="s">
        <v>122</v>
      </c>
      <c r="G73" s="142">
        <f>VLOOKUP($R$5,'PSC PAPAPA'!$A$2:$V$31,20,FALSE)</f>
        <v>35</v>
      </c>
      <c r="H73" s="20" t="s">
        <v>123</v>
      </c>
      <c r="I73" s="20">
        <v>7898969895729</v>
      </c>
      <c r="J73" s="20">
        <v>17898969895726</v>
      </c>
      <c r="K73" s="21">
        <f>VLOOKUP($R$5,'ST BISCOITINHOS'!A:B,2,FALSE)</f>
        <v>0.12</v>
      </c>
      <c r="L73" s="142">
        <f>VLOOKUP($R$5,PREÇOS!$A$2:$V$31,21,FALSE)</f>
        <v>20.72727272727273</v>
      </c>
      <c r="M73" s="143">
        <f t="shared" si="4"/>
        <v>30.86181818181818</v>
      </c>
      <c r="N73" s="144">
        <v>0</v>
      </c>
      <c r="O73" s="144">
        <f t="shared" si="5"/>
        <v>2.0060181818181819</v>
      </c>
      <c r="P73" s="145">
        <f t="shared" si="6"/>
        <v>30.86181818181818</v>
      </c>
      <c r="Q73" s="22"/>
      <c r="R73" s="146">
        <f t="shared" si="7"/>
        <v>0</v>
      </c>
      <c r="S73" s="145">
        <f t="shared" si="8"/>
        <v>0</v>
      </c>
    </row>
    <row r="74" spans="2:19" x14ac:dyDescent="0.3">
      <c r="B74" s="101" t="s">
        <v>73</v>
      </c>
      <c r="C74" s="102"/>
      <c r="D74" s="98">
        <v>5675</v>
      </c>
      <c r="E74" s="99" t="s">
        <v>121</v>
      </c>
      <c r="F74" s="99" t="s">
        <v>122</v>
      </c>
      <c r="G74" s="142">
        <f>VLOOKUP($R$5,'PSC PAPAPA'!$A$2:$V$31,22,FALSE)</f>
        <v>47</v>
      </c>
      <c r="H74" s="98" t="s">
        <v>123</v>
      </c>
      <c r="I74" s="98">
        <v>7898969895675</v>
      </c>
      <c r="J74" s="98">
        <v>17898969895672</v>
      </c>
      <c r="K74" s="100">
        <f>VLOOKUP($R$5,'ST BISCOITINHOS'!A:B,2,FALSE)</f>
        <v>0.12</v>
      </c>
      <c r="L74" s="157">
        <f>VLOOKUP($R$5,PREÇOS!$A$2:$V$31,22,FALSE)</f>
        <v>30.86181818181818</v>
      </c>
      <c r="M74" s="143">
        <f t="shared" si="4"/>
        <v>0</v>
      </c>
      <c r="N74" s="150">
        <v>0</v>
      </c>
      <c r="O74" s="150">
        <f t="shared" si="5"/>
        <v>0</v>
      </c>
      <c r="P74" s="145" t="e">
        <f t="shared" si="6"/>
        <v>#VALUE!</v>
      </c>
      <c r="Q74" s="22"/>
      <c r="R74" s="160">
        <f t="shared" si="7"/>
        <v>0</v>
      </c>
      <c r="S74" s="159">
        <f t="shared" si="8"/>
        <v>0</v>
      </c>
    </row>
    <row r="75" spans="2:19" x14ac:dyDescent="0.3">
      <c r="B75" s="106" t="s">
        <v>74</v>
      </c>
      <c r="C75" s="107"/>
      <c r="D75" s="108">
        <v>5689</v>
      </c>
      <c r="E75" s="109" t="s">
        <v>121</v>
      </c>
      <c r="F75" s="109" t="s">
        <v>122</v>
      </c>
      <c r="G75" s="142">
        <f>VLOOKUP($R$5,'PSC PAPAPA'!$A$2:$V$31,22,FALSE)</f>
        <v>47</v>
      </c>
      <c r="H75" s="108" t="s">
        <v>123</v>
      </c>
      <c r="I75" s="108">
        <v>7898969895682</v>
      </c>
      <c r="J75" s="108">
        <v>17898969895689</v>
      </c>
      <c r="K75" s="110">
        <f>VLOOKUP($R$5,'ST BISCOITINHOS'!A:B,2,FALSE)</f>
        <v>0.12</v>
      </c>
      <c r="L75" s="167">
        <f>VLOOKUP($R$5,PREÇOS!$A$2:$V$31,22,FALSE)</f>
        <v>30.86181818181818</v>
      </c>
      <c r="M75" s="143">
        <f t="shared" si="4"/>
        <v>0</v>
      </c>
      <c r="N75" s="168">
        <v>0</v>
      </c>
      <c r="O75" s="168">
        <f t="shared" si="5"/>
        <v>0</v>
      </c>
      <c r="P75" s="145">
        <f t="shared" si="6"/>
        <v>0</v>
      </c>
      <c r="Q75" s="22"/>
      <c r="R75" s="169">
        <f t="shared" si="7"/>
        <v>0</v>
      </c>
      <c r="S75" s="170">
        <f t="shared" si="8"/>
        <v>0</v>
      </c>
    </row>
    <row r="76" spans="2:19" x14ac:dyDescent="0.3">
      <c r="B76" s="101" t="s">
        <v>75</v>
      </c>
      <c r="C76" s="102"/>
      <c r="D76" s="98">
        <v>5696</v>
      </c>
      <c r="E76" s="99" t="s">
        <v>121</v>
      </c>
      <c r="F76" s="99" t="s">
        <v>122</v>
      </c>
      <c r="G76" s="142">
        <f>VLOOKUP($R$5,'PSC PAPAPA'!$A$2:$V$31,22,FALSE)</f>
        <v>47</v>
      </c>
      <c r="H76" s="98" t="s">
        <v>123</v>
      </c>
      <c r="I76" s="98">
        <v>7898969895699</v>
      </c>
      <c r="J76" s="98">
        <v>17898969895696</v>
      </c>
      <c r="K76" s="100">
        <f>VLOOKUP($R$5,'ST BISCOITINHOS'!A:B,2,FALSE)</f>
        <v>0.12</v>
      </c>
      <c r="L76" s="157">
        <f>VLOOKUP($R$5,PREÇOS!$A$2:$V$31,22,FALSE)</f>
        <v>30.86181818181818</v>
      </c>
      <c r="M76" s="143">
        <f t="shared" si="4"/>
        <v>0</v>
      </c>
      <c r="N76" s="150">
        <v>0</v>
      </c>
      <c r="O76" s="150">
        <f t="shared" si="5"/>
        <v>0</v>
      </c>
      <c r="P76" s="145">
        <f t="shared" si="6"/>
        <v>0</v>
      </c>
      <c r="Q76" s="22"/>
      <c r="R76" s="160">
        <f t="shared" si="7"/>
        <v>0</v>
      </c>
      <c r="S76" s="159" t="e">
        <f t="shared" si="8"/>
        <v>#VALUE!</v>
      </c>
    </row>
    <row r="77" spans="2:19" ht="15" customHeight="1" thickBot="1" x14ac:dyDescent="0.35">
      <c r="B77" s="36"/>
      <c r="G77" s="155"/>
      <c r="L77" s="155"/>
      <c r="M77" s="171"/>
      <c r="N77" s="155" t="s">
        <v>124</v>
      </c>
      <c r="O77" s="155"/>
      <c r="P77" s="155"/>
      <c r="R77" s="155"/>
      <c r="S77" s="155"/>
    </row>
    <row r="78" spans="2:19" ht="15" customHeight="1" thickBot="1" x14ac:dyDescent="0.35">
      <c r="B78" s="36"/>
      <c r="G78" s="155"/>
      <c r="L78" s="155"/>
      <c r="M78" s="155"/>
      <c r="N78" s="155"/>
      <c r="O78" s="155"/>
      <c r="P78" s="172"/>
      <c r="Q78" s="41"/>
      <c r="R78" s="173"/>
      <c r="S78" s="174"/>
    </row>
    <row r="79" spans="2:19" ht="15" customHeight="1" thickBot="1" x14ac:dyDescent="0.35">
      <c r="B79" s="36"/>
      <c r="G79" s="155"/>
      <c r="L79" s="155"/>
      <c r="M79" s="155"/>
      <c r="N79" s="155"/>
      <c r="O79" s="155"/>
      <c r="P79" s="155" t="s">
        <v>78</v>
      </c>
      <c r="Q79" s="23"/>
      <c r="R79" s="175"/>
      <c r="S79" s="176">
        <f>SUM(R11:R79)</f>
        <v>0</v>
      </c>
    </row>
    <row r="80" spans="2:19" ht="15" customHeight="1" thickBot="1" x14ac:dyDescent="0.35">
      <c r="B80" s="36"/>
      <c r="G80" s="155"/>
      <c r="L80" s="155"/>
      <c r="M80" s="155"/>
      <c r="N80" s="155"/>
      <c r="O80" s="155"/>
      <c r="P80" s="172"/>
      <c r="Q80" s="41"/>
      <c r="R80" s="173"/>
      <c r="S80" s="174"/>
    </row>
    <row r="81" spans="2:19" ht="15" customHeight="1" thickBot="1" x14ac:dyDescent="0.35">
      <c r="B81" s="36"/>
      <c r="G81" s="155"/>
      <c r="L81" s="155"/>
      <c r="M81" s="155"/>
      <c r="N81" s="155"/>
      <c r="O81" s="155"/>
      <c r="P81" s="177" t="s">
        <v>79</v>
      </c>
      <c r="Q81" s="23"/>
      <c r="R81" s="175"/>
      <c r="S81" s="176">
        <f>S86-S82</f>
        <v>0</v>
      </c>
    </row>
    <row r="82" spans="2:19" ht="15" customHeight="1" thickBot="1" x14ac:dyDescent="0.35">
      <c r="B82" s="36"/>
      <c r="G82" s="155"/>
      <c r="L82" s="155"/>
      <c r="M82" s="155"/>
      <c r="N82" s="155"/>
      <c r="O82" s="155"/>
      <c r="P82" s="172"/>
      <c r="Q82" s="41"/>
      <c r="R82" s="173"/>
      <c r="S82" s="174"/>
    </row>
    <row r="83" spans="2:19" x14ac:dyDescent="0.3">
      <c r="G83" s="155"/>
      <c r="L83" s="155"/>
      <c r="M83" s="155"/>
      <c r="N83" s="155"/>
      <c r="O83" s="155"/>
      <c r="P83" s="155" t="s">
        <v>80</v>
      </c>
      <c r="R83" s="155"/>
      <c r="S83" s="155" t="e">
        <f>SUM(S11:S79)</f>
        <v>#VALUE!</v>
      </c>
    </row>
    <row r="84" spans="2:19" x14ac:dyDescent="0.3">
      <c r="G84" s="155"/>
      <c r="L84" s="155"/>
      <c r="M84" s="155"/>
      <c r="N84" s="155"/>
      <c r="O84" s="155"/>
      <c r="P84" s="155"/>
      <c r="R84" s="155"/>
      <c r="S84" s="155"/>
    </row>
    <row r="85" spans="2:19" x14ac:dyDescent="0.3">
      <c r="G85" s="155"/>
      <c r="L85" s="155"/>
      <c r="M85" s="155"/>
      <c r="N85" s="155"/>
      <c r="O85" s="155"/>
      <c r="P85" s="155"/>
      <c r="R85" s="155"/>
      <c r="S85" s="155"/>
    </row>
    <row r="86" spans="2:19" x14ac:dyDescent="0.3">
      <c r="G86" s="155"/>
      <c r="L86" s="155"/>
      <c r="M86" s="155"/>
      <c r="N86" s="155"/>
      <c r="O86" s="155"/>
      <c r="P86" s="155"/>
      <c r="R86" s="155"/>
      <c r="S86" s="155"/>
    </row>
    <row r="87" spans="2:19" x14ac:dyDescent="0.3">
      <c r="G87" s="155"/>
      <c r="L87" s="155"/>
      <c r="M87" s="155"/>
      <c r="N87" s="155"/>
      <c r="O87" s="155"/>
      <c r="P87" s="155"/>
      <c r="R87" s="155"/>
      <c r="S87" s="155"/>
    </row>
    <row r="88" spans="2:19" x14ac:dyDescent="0.3">
      <c r="G88" s="155"/>
      <c r="L88" s="155"/>
      <c r="M88" s="155"/>
      <c r="N88" s="155"/>
      <c r="O88" s="155"/>
      <c r="P88" s="155"/>
      <c r="R88" s="155"/>
      <c r="S88" s="155"/>
    </row>
  </sheetData>
  <mergeCells count="45">
    <mergeCell ref="B65:C65"/>
    <mergeCell ref="B55:C55"/>
    <mergeCell ref="B15:C15"/>
    <mergeCell ref="B33:C33"/>
    <mergeCell ref="B51:C51"/>
    <mergeCell ref="B36:C36"/>
    <mergeCell ref="B32:C32"/>
    <mergeCell ref="B63:C63"/>
    <mergeCell ref="B26:C26"/>
    <mergeCell ref="B41:C41"/>
    <mergeCell ref="B61:C61"/>
    <mergeCell ref="B60:C60"/>
    <mergeCell ref="B17:C17"/>
    <mergeCell ref="B21:C21"/>
    <mergeCell ref="B48:C48"/>
    <mergeCell ref="B53:C53"/>
    <mergeCell ref="B40:C40"/>
    <mergeCell ref="B11:C11"/>
    <mergeCell ref="B49:C49"/>
    <mergeCell ref="B12:C12"/>
    <mergeCell ref="R5:S5"/>
    <mergeCell ref="B35:C35"/>
    <mergeCell ref="B14:C14"/>
    <mergeCell ref="B16:C16"/>
    <mergeCell ref="B25:C25"/>
    <mergeCell ref="B18:C18"/>
    <mergeCell ref="B8:C8"/>
    <mergeCell ref="B9:C9"/>
    <mergeCell ref="B19:C19"/>
    <mergeCell ref="B52:C52"/>
    <mergeCell ref="B59:C59"/>
    <mergeCell ref="B46:C46"/>
    <mergeCell ref="B22:C22"/>
    <mergeCell ref="B31:C31"/>
    <mergeCell ref="B56:C56"/>
    <mergeCell ref="B43:C43"/>
    <mergeCell ref="B58:C58"/>
    <mergeCell ref="B42:C42"/>
    <mergeCell ref="B23:C23"/>
    <mergeCell ref="B47:C47"/>
    <mergeCell ref="B38:C38"/>
    <mergeCell ref="B44:C44"/>
    <mergeCell ref="B29:C29"/>
    <mergeCell ref="B37:C37"/>
    <mergeCell ref="B28:C28"/>
  </mergeCells>
  <dataValidations count="1">
    <dataValidation type="list" showErrorMessage="1" errorTitle="UF inválida" error="Selecione uma UF da lista." promptTitle="UF" prompt="Selecione o estado." sqref="R5" xr:uid="{00000000-0002-0000-0100-000000000000}">
      <formula1>ListaUF</formula1>
    </dataValidation>
  </dataValidations>
  <pageMargins left="3.937007874015748E-2" right="3.937007874015748E-2" top="0.78740157480314965" bottom="0.78740157480314965" header="0.31496062992125978" footer="0.31496062992125978"/>
  <pageSetup paperSize="9" scale="54" orientation="landscape" horizontalDpi="360" verticalDpi="36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C2:C3"/>
  <sheetViews>
    <sheetView workbookViewId="0">
      <selection activeCell="Q21" sqref="Q21"/>
    </sheetView>
  </sheetViews>
  <sheetFormatPr defaultRowHeight="14.4" x14ac:dyDescent="0.3"/>
  <sheetData>
    <row r="2" spans="3:3" x14ac:dyDescent="0.3">
      <c r="C2" t="s">
        <v>125</v>
      </c>
    </row>
    <row r="3" spans="3:3" x14ac:dyDescent="0.3">
      <c r="C3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:P30"/>
  <sheetViews>
    <sheetView showGridLines="0" zoomScale="81" zoomScaleNormal="81" workbookViewId="0">
      <selection activeCell="Q21" sqref="Q21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332031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73">
        <v>0.04</v>
      </c>
      <c r="C2" s="73">
        <v>0.04</v>
      </c>
      <c r="D2" s="74"/>
      <c r="E2" s="74"/>
      <c r="F2" s="74"/>
      <c r="G2" s="74"/>
      <c r="H2" s="4">
        <f>PREÇOS!D3</f>
        <v>13.348800000000001</v>
      </c>
      <c r="I2" s="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5" t="s">
        <v>137</v>
      </c>
      <c r="B3" s="76">
        <v>0.04</v>
      </c>
      <c r="C3" s="76">
        <v>0.2</v>
      </c>
      <c r="D3" s="47">
        <v>0.3</v>
      </c>
      <c r="E3" s="47"/>
      <c r="F3" s="47">
        <v>0.56000000000000005</v>
      </c>
      <c r="G3" s="47"/>
      <c r="H3" s="4">
        <f>PREÇOS!D4</f>
        <v>13.348800000000001</v>
      </c>
      <c r="I3" s="4">
        <f t="shared" si="0"/>
        <v>3.6308736000000001</v>
      </c>
      <c r="J3" s="4">
        <f t="shared" si="1"/>
        <v>3.6308736000000001</v>
      </c>
    </row>
    <row r="4" spans="1:10" x14ac:dyDescent="0.3">
      <c r="A4" s="72" t="s">
        <v>138</v>
      </c>
      <c r="B4" s="73">
        <v>0.04</v>
      </c>
      <c r="C4" s="73">
        <v>0.04</v>
      </c>
      <c r="D4" s="74"/>
      <c r="E4" s="74"/>
      <c r="F4" s="74"/>
      <c r="G4" s="74"/>
      <c r="H4" s="4">
        <f>PREÇOS!D5</f>
        <v>13.348800000000001</v>
      </c>
      <c r="I4" s="4">
        <f t="shared" si="0"/>
        <v>0</v>
      </c>
      <c r="J4" s="4">
        <f t="shared" si="1"/>
        <v>0</v>
      </c>
    </row>
    <row r="5" spans="1:10" x14ac:dyDescent="0.3">
      <c r="A5" s="72" t="s">
        <v>139</v>
      </c>
      <c r="B5" s="73">
        <v>0.04</v>
      </c>
      <c r="C5" s="73">
        <v>0.18</v>
      </c>
      <c r="D5" s="74">
        <v>0.34</v>
      </c>
      <c r="E5" s="74"/>
      <c r="F5" s="74">
        <v>0.56879999999999997</v>
      </c>
      <c r="G5" s="74"/>
      <c r="H5" s="4">
        <f>PREÇOS!D6</f>
        <v>13.348800000000001</v>
      </c>
      <c r="I5" s="4">
        <f t="shared" si="0"/>
        <v>3.2355355392000007</v>
      </c>
      <c r="J5" s="4">
        <f t="shared" si="1"/>
        <v>3.2355355392000007</v>
      </c>
    </row>
    <row r="6" spans="1:10" x14ac:dyDescent="0.3">
      <c r="A6" s="72" t="s">
        <v>140</v>
      </c>
      <c r="B6" s="73">
        <v>0.04</v>
      </c>
      <c r="C6" s="73">
        <v>0.04</v>
      </c>
      <c r="D6" s="74"/>
      <c r="E6" s="74"/>
      <c r="F6" s="74"/>
      <c r="G6" s="74"/>
      <c r="H6" s="4">
        <f>PREÇOS!D7</f>
        <v>13.348800000000001</v>
      </c>
      <c r="I6" s="4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73">
        <v>0.04</v>
      </c>
      <c r="C7" s="73">
        <v>0.04</v>
      </c>
      <c r="D7" s="74"/>
      <c r="E7" s="74"/>
      <c r="F7" s="74"/>
      <c r="G7" s="74"/>
      <c r="H7" s="4">
        <f>PREÇOS!D8</f>
        <v>13.348800000000001</v>
      </c>
      <c r="I7" s="4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73">
        <v>0.04</v>
      </c>
      <c r="C8" s="73">
        <v>0.04</v>
      </c>
      <c r="D8" s="74"/>
      <c r="E8" s="74"/>
      <c r="F8" s="74"/>
      <c r="G8" s="74"/>
      <c r="H8" s="4">
        <f>PREÇOS!D9</f>
        <v>13.348800000000001</v>
      </c>
      <c r="I8" s="4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73">
        <v>0.04</v>
      </c>
      <c r="C9" s="73">
        <v>0.04</v>
      </c>
      <c r="D9" s="74"/>
      <c r="E9" s="74"/>
      <c r="F9" s="74"/>
      <c r="G9" s="74"/>
      <c r="H9" s="4">
        <f>PREÇOS!D10</f>
        <v>13.348800000000001</v>
      </c>
      <c r="I9" s="4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73">
        <v>0.04</v>
      </c>
      <c r="C10" s="73">
        <v>0.04</v>
      </c>
      <c r="D10" s="74"/>
      <c r="E10" s="74"/>
      <c r="F10" s="74"/>
      <c r="G10" s="74"/>
      <c r="H10" s="4">
        <f>PREÇOS!D11</f>
        <v>13.348800000000001</v>
      </c>
      <c r="I10" s="4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73">
        <v>0.04</v>
      </c>
      <c r="C11" s="73">
        <v>0.04</v>
      </c>
      <c r="D11" s="74"/>
      <c r="E11" s="74"/>
      <c r="F11" s="74"/>
      <c r="G11" s="74"/>
      <c r="H11" s="4">
        <f>PREÇOS!D12</f>
        <v>13.348800000000001</v>
      </c>
      <c r="I11" s="4">
        <f t="shared" si="0"/>
        <v>0</v>
      </c>
      <c r="J11" s="4">
        <f t="shared" si="1"/>
        <v>0</v>
      </c>
    </row>
    <row r="12" spans="1:10" x14ac:dyDescent="0.3">
      <c r="A12" s="75" t="s">
        <v>146</v>
      </c>
      <c r="B12" s="76">
        <v>0.04</v>
      </c>
      <c r="C12" s="76">
        <v>0.18</v>
      </c>
      <c r="D12" s="47">
        <v>0.25</v>
      </c>
      <c r="E12" s="47"/>
      <c r="F12" s="47">
        <v>0.36359999999999998</v>
      </c>
      <c r="G12" s="47"/>
      <c r="H12" s="4">
        <f>PREÇOS!D13</f>
        <v>13.348800000000001</v>
      </c>
      <c r="I12" s="4">
        <f t="shared" si="0"/>
        <v>2.7424842623999997</v>
      </c>
      <c r="J12" s="4">
        <f t="shared" si="1"/>
        <v>2.7424842623999997</v>
      </c>
    </row>
    <row r="13" spans="1:10" x14ac:dyDescent="0.3">
      <c r="A13" s="72" t="s">
        <v>147</v>
      </c>
      <c r="B13" s="73">
        <v>0.04</v>
      </c>
      <c r="C13" s="73">
        <v>0.04</v>
      </c>
      <c r="D13" s="74"/>
      <c r="E13" s="74"/>
      <c r="F13" s="74"/>
      <c r="G13" s="74"/>
      <c r="H13" s="4">
        <f>PREÇOS!D14</f>
        <v>13.348800000000001</v>
      </c>
      <c r="I13" s="4">
        <f t="shared" si="0"/>
        <v>0</v>
      </c>
      <c r="J13" s="4">
        <f t="shared" si="1"/>
        <v>0</v>
      </c>
    </row>
    <row r="14" spans="1:10" x14ac:dyDescent="0.3">
      <c r="A14" s="75" t="s">
        <v>148</v>
      </c>
      <c r="B14" s="76">
        <v>0.04</v>
      </c>
      <c r="C14" s="76">
        <v>0.04</v>
      </c>
      <c r="D14" s="47"/>
      <c r="E14" s="47"/>
      <c r="F14" s="47"/>
      <c r="G14" s="47"/>
      <c r="H14" s="4">
        <f>PREÇOS!D15</f>
        <v>13.348800000000001</v>
      </c>
      <c r="I14" s="4">
        <f t="shared" si="0"/>
        <v>0</v>
      </c>
      <c r="J14" s="4">
        <f t="shared" si="1"/>
        <v>0</v>
      </c>
    </row>
    <row r="15" spans="1:10" x14ac:dyDescent="0.3">
      <c r="A15" s="77" t="s">
        <v>149</v>
      </c>
      <c r="B15" s="78">
        <v>0.04</v>
      </c>
      <c r="C15" s="78">
        <v>0.04</v>
      </c>
      <c r="D15" s="79"/>
      <c r="E15" s="79"/>
      <c r="F15" s="79"/>
      <c r="G15" s="79"/>
      <c r="H15" s="4">
        <f>PREÇOS!D16</f>
        <v>13.348800000000001</v>
      </c>
      <c r="I15" s="4">
        <f t="shared" si="0"/>
        <v>0</v>
      </c>
      <c r="J15" s="4">
        <f t="shared" si="1"/>
        <v>0</v>
      </c>
    </row>
    <row r="16" spans="1:10" x14ac:dyDescent="0.3">
      <c r="A16" s="77" t="s">
        <v>150</v>
      </c>
      <c r="B16" s="78">
        <v>0.04</v>
      </c>
      <c r="C16" s="78">
        <v>0.04</v>
      </c>
      <c r="D16" s="79"/>
      <c r="E16" s="79"/>
      <c r="F16" s="79"/>
      <c r="G16" s="79"/>
      <c r="H16" s="4">
        <f>PREÇOS!D17</f>
        <v>13.348800000000001</v>
      </c>
      <c r="I16" s="4">
        <f t="shared" si="0"/>
        <v>0</v>
      </c>
      <c r="J16" s="4">
        <f t="shared" si="1"/>
        <v>0</v>
      </c>
    </row>
    <row r="17" spans="1:16" x14ac:dyDescent="0.3">
      <c r="A17" s="77" t="s">
        <v>151</v>
      </c>
      <c r="B17" s="78">
        <v>0.04</v>
      </c>
      <c r="C17" s="78">
        <v>0.04</v>
      </c>
      <c r="D17" s="79"/>
      <c r="E17" s="79"/>
      <c r="F17" s="79"/>
      <c r="G17" s="79"/>
      <c r="H17" s="4">
        <f>PREÇOS!D18</f>
        <v>13.348800000000001</v>
      </c>
      <c r="I17" s="4">
        <f t="shared" si="0"/>
        <v>0</v>
      </c>
      <c r="J17" s="4">
        <f t="shared" si="1"/>
        <v>0</v>
      </c>
    </row>
    <row r="18" spans="1:16" x14ac:dyDescent="0.3">
      <c r="A18" s="77" t="s">
        <v>152</v>
      </c>
      <c r="B18" s="78">
        <v>0.04</v>
      </c>
      <c r="C18" s="78">
        <v>0.04</v>
      </c>
      <c r="D18" s="79"/>
      <c r="E18" s="79"/>
      <c r="F18" s="79"/>
      <c r="G18" s="79"/>
      <c r="H18" s="4">
        <f>PREÇOS!D19</f>
        <v>13.348800000000001</v>
      </c>
      <c r="I18" s="4">
        <f t="shared" si="0"/>
        <v>0</v>
      </c>
      <c r="J18" s="4">
        <f t="shared" si="1"/>
        <v>0</v>
      </c>
    </row>
    <row r="19" spans="1:16" x14ac:dyDescent="0.3">
      <c r="A19" s="77" t="s">
        <v>5</v>
      </c>
      <c r="B19" s="78">
        <v>0.12</v>
      </c>
      <c r="C19" s="78">
        <v>0.12</v>
      </c>
      <c r="D19" s="79"/>
      <c r="E19" s="79"/>
      <c r="F19" s="79"/>
      <c r="G19" s="79"/>
      <c r="H19" s="4">
        <f>PREÇOS!D20</f>
        <v>14.56232727272727</v>
      </c>
      <c r="I19" s="4">
        <f t="shared" si="0"/>
        <v>0</v>
      </c>
      <c r="J19" s="4">
        <f t="shared" si="1"/>
        <v>0</v>
      </c>
    </row>
    <row r="20" spans="1:16" x14ac:dyDescent="0.3">
      <c r="A20" s="75" t="s">
        <v>153</v>
      </c>
      <c r="B20" s="76">
        <v>0.04</v>
      </c>
      <c r="C20" s="76">
        <v>0.22</v>
      </c>
      <c r="D20" s="47">
        <v>0.35199999999999998</v>
      </c>
      <c r="E20" s="47"/>
      <c r="F20" s="47">
        <v>0.66400000000000003</v>
      </c>
      <c r="G20" s="47"/>
      <c r="H20" s="4">
        <f>PREÇOS!D21</f>
        <v>13.348800000000001</v>
      </c>
      <c r="I20" s="4">
        <f t="shared" si="0"/>
        <v>4.3527767040000009</v>
      </c>
      <c r="J20" s="4">
        <f t="shared" si="1"/>
        <v>4.3527767040000009</v>
      </c>
    </row>
    <row r="21" spans="1:16" x14ac:dyDescent="0.3">
      <c r="A21" s="72" t="s">
        <v>154</v>
      </c>
      <c r="B21" s="73">
        <v>0.04</v>
      </c>
      <c r="C21" s="73">
        <v>0.04</v>
      </c>
      <c r="D21" s="74"/>
      <c r="E21" s="74"/>
      <c r="F21" s="74"/>
      <c r="G21" s="74"/>
      <c r="H21" s="4">
        <f>PREÇOS!D22</f>
        <v>13.348800000000001</v>
      </c>
      <c r="I21" s="4">
        <f t="shared" si="0"/>
        <v>0</v>
      </c>
      <c r="J21" s="4">
        <f t="shared" si="1"/>
        <v>0</v>
      </c>
    </row>
    <row r="22" spans="1:16" x14ac:dyDescent="0.3">
      <c r="A22" s="72" t="s">
        <v>155</v>
      </c>
      <c r="B22" s="73">
        <v>0.04</v>
      </c>
      <c r="C22" s="73">
        <v>0.04</v>
      </c>
      <c r="D22" s="74"/>
      <c r="E22" s="74"/>
      <c r="F22" s="74"/>
      <c r="G22" s="74"/>
      <c r="H22" s="4">
        <f>PREÇOS!D23</f>
        <v>13.348800000000001</v>
      </c>
      <c r="I22" s="4">
        <f t="shared" si="0"/>
        <v>0</v>
      </c>
      <c r="J22" s="4">
        <f t="shared" si="1"/>
        <v>0</v>
      </c>
    </row>
    <row r="23" spans="1:16" x14ac:dyDescent="0.3">
      <c r="A23" s="72" t="s">
        <v>156</v>
      </c>
      <c r="B23" s="73">
        <v>0.04</v>
      </c>
      <c r="C23" s="73">
        <v>0.04</v>
      </c>
      <c r="D23" s="74"/>
      <c r="E23" s="74"/>
      <c r="F23" s="74"/>
      <c r="G23" s="74"/>
      <c r="H23" s="4">
        <f>PREÇOS!D24</f>
        <v>13.348800000000001</v>
      </c>
      <c r="I23" s="4">
        <f t="shared" si="0"/>
        <v>0</v>
      </c>
      <c r="J23" s="4">
        <f t="shared" si="1"/>
        <v>0</v>
      </c>
    </row>
    <row r="24" spans="1:16" x14ac:dyDescent="0.3">
      <c r="A24" s="72" t="s">
        <v>157</v>
      </c>
      <c r="B24" s="73">
        <v>0.04</v>
      </c>
      <c r="C24" s="73">
        <v>0.04</v>
      </c>
      <c r="D24" s="74"/>
      <c r="E24" s="74"/>
      <c r="F24" s="74"/>
      <c r="G24" s="74"/>
      <c r="H24" s="4">
        <f>PREÇOS!D25</f>
        <v>13.348800000000001</v>
      </c>
      <c r="I24" s="4">
        <f t="shared" si="0"/>
        <v>0</v>
      </c>
      <c r="J24" s="4">
        <f t="shared" si="1"/>
        <v>0</v>
      </c>
    </row>
    <row r="25" spans="1:16" x14ac:dyDescent="0.3">
      <c r="A25" s="72" t="s">
        <v>158</v>
      </c>
      <c r="B25" s="73">
        <v>0.04</v>
      </c>
      <c r="C25" s="73">
        <v>0.04</v>
      </c>
      <c r="D25" s="74"/>
      <c r="E25" s="74"/>
      <c r="F25" s="74"/>
      <c r="G25" s="74"/>
      <c r="H25" s="4">
        <f>PREÇOS!D26</f>
        <v>13.348800000000001</v>
      </c>
      <c r="I25" s="4">
        <f t="shared" si="0"/>
        <v>0</v>
      </c>
      <c r="J25" s="4">
        <f t="shared" si="1"/>
        <v>0</v>
      </c>
    </row>
    <row r="26" spans="1:16" x14ac:dyDescent="0.3">
      <c r="A26" s="72" t="s">
        <v>159</v>
      </c>
      <c r="B26" s="73">
        <v>0.04</v>
      </c>
      <c r="C26" s="73">
        <v>0.04</v>
      </c>
      <c r="D26" s="74"/>
      <c r="E26" s="74"/>
      <c r="F26" s="74"/>
      <c r="G26" s="74"/>
      <c r="H26" s="4">
        <f>PREÇOS!D27</f>
        <v>13.348800000000001</v>
      </c>
      <c r="I26" s="4">
        <f t="shared" si="0"/>
        <v>0</v>
      </c>
      <c r="J26" s="4">
        <f t="shared" si="1"/>
        <v>0</v>
      </c>
    </row>
    <row r="27" spans="1:16" x14ac:dyDescent="0.3">
      <c r="A27" s="72" t="s">
        <v>160</v>
      </c>
      <c r="B27" s="73">
        <v>0.04</v>
      </c>
      <c r="C27" s="73">
        <v>0.18</v>
      </c>
      <c r="D27" s="74">
        <v>0.75390000000000001</v>
      </c>
      <c r="E27" s="74"/>
      <c r="F27" s="74">
        <v>0.75390000000000001</v>
      </c>
      <c r="G27" s="74"/>
      <c r="H27" s="4">
        <f>PREÇOS!D28</f>
        <v>13.348800000000001</v>
      </c>
      <c r="I27" s="4">
        <f t="shared" si="0"/>
        <v>3.6802908576000002</v>
      </c>
      <c r="J27" s="4">
        <f t="shared" si="1"/>
        <v>3.6802908576000002</v>
      </c>
      <c r="K27">
        <f>J27/H27</f>
        <v>0.275702</v>
      </c>
      <c r="L27" s="6"/>
      <c r="N27" s="6"/>
      <c r="P27" s="6"/>
    </row>
    <row r="28" spans="1:16" x14ac:dyDescent="0.3">
      <c r="A28" s="75" t="s">
        <v>161</v>
      </c>
      <c r="B28" s="76">
        <f t="shared" ref="B28:G28" si="2">B27</f>
        <v>0.04</v>
      </c>
      <c r="C28" s="76">
        <f t="shared" si="2"/>
        <v>0.18</v>
      </c>
      <c r="D28" s="47">
        <f t="shared" si="2"/>
        <v>0.75390000000000001</v>
      </c>
      <c r="E28" s="76">
        <f t="shared" si="2"/>
        <v>0</v>
      </c>
      <c r="F28" s="47">
        <f t="shared" si="2"/>
        <v>0.75390000000000001</v>
      </c>
      <c r="G28" s="76">
        <f t="shared" si="2"/>
        <v>0</v>
      </c>
      <c r="H28" s="69">
        <f>PREÇOS!D29</f>
        <v>13.348800000000001</v>
      </c>
      <c r="I28" s="69">
        <f t="shared" si="0"/>
        <v>3.6802908576000002</v>
      </c>
      <c r="J28" s="69">
        <f t="shared" si="1"/>
        <v>3.6802908576000002</v>
      </c>
      <c r="L28" s="6"/>
      <c r="N28" s="6"/>
      <c r="P28" s="6"/>
    </row>
    <row r="29" spans="1:16" x14ac:dyDescent="0.3">
      <c r="A29" s="72" t="s">
        <v>162</v>
      </c>
      <c r="B29" s="73">
        <v>0.04</v>
      </c>
      <c r="C29" s="73">
        <v>0.04</v>
      </c>
      <c r="D29" s="74"/>
      <c r="E29" s="74"/>
      <c r="F29" s="74"/>
      <c r="G29" s="74"/>
      <c r="H29" s="4">
        <f>PREÇOS!D30</f>
        <v>13.348800000000001</v>
      </c>
      <c r="I29" s="4">
        <f t="shared" si="0"/>
        <v>0</v>
      </c>
      <c r="J29" s="4">
        <f t="shared" si="1"/>
        <v>0</v>
      </c>
    </row>
    <row r="30" spans="1:16" x14ac:dyDescent="0.3">
      <c r="A30" s="3" t="s">
        <v>163</v>
      </c>
      <c r="H30" s="4">
        <f>PREÇOS!D31</f>
        <v>11.580083999999999</v>
      </c>
      <c r="I30" s="4">
        <f t="shared" si="0"/>
        <v>0</v>
      </c>
      <c r="J30" s="4">
        <f t="shared" si="1"/>
        <v>0</v>
      </c>
      <c r="L30" s="6"/>
      <c r="P30" s="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4"/>
  <dimension ref="A1:J30"/>
  <sheetViews>
    <sheetView showGridLines="0" zoomScale="82" zoomScaleNormal="82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7.0000000000000007E-2</v>
      </c>
      <c r="D2" s="74"/>
      <c r="E2" s="74"/>
      <c r="F2" s="74"/>
      <c r="G2" s="74"/>
      <c r="H2" s="7">
        <f>PREÇOS!E3</f>
        <v>8.1556129032258067</v>
      </c>
      <c r="I2" s="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0.19</v>
      </c>
      <c r="D3" s="74">
        <v>0.2</v>
      </c>
      <c r="E3" s="74"/>
      <c r="F3" s="74">
        <v>0.36099999999999999</v>
      </c>
      <c r="G3" s="74"/>
      <c r="H3" s="7">
        <f>PREÇOS!E4</f>
        <v>8.1556129032258067</v>
      </c>
      <c r="I3" s="4">
        <f t="shared" si="0"/>
        <v>1.5380670374193548</v>
      </c>
      <c r="J3" s="4">
        <f t="shared" si="1"/>
        <v>1.5380670374193548</v>
      </c>
    </row>
    <row r="4" spans="1:10" x14ac:dyDescent="0.3">
      <c r="A4" s="72" t="s">
        <v>138</v>
      </c>
      <c r="B4" s="80">
        <v>7.0000000000000007E-2</v>
      </c>
      <c r="C4" s="80">
        <v>7.0000000000000007E-2</v>
      </c>
      <c r="D4" s="74"/>
      <c r="E4" s="74"/>
      <c r="F4" s="74"/>
      <c r="G4" s="74"/>
      <c r="H4" s="7">
        <f>PREÇOS!E5</f>
        <v>8.1556129032258067</v>
      </c>
      <c r="I4" s="4">
        <f t="shared" si="0"/>
        <v>0</v>
      </c>
      <c r="J4" s="4">
        <f t="shared" si="1"/>
        <v>0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>
        <v>0.38</v>
      </c>
      <c r="E5" s="74"/>
      <c r="F5" s="74">
        <v>0.56510000000000005</v>
      </c>
      <c r="G5" s="74"/>
      <c r="H5" s="7">
        <f>PREÇOS!E6</f>
        <v>8.1556129032258067</v>
      </c>
      <c r="I5" s="4">
        <f t="shared" si="0"/>
        <v>1.7266900526451614</v>
      </c>
      <c r="J5" s="4">
        <f t="shared" si="1"/>
        <v>1.7266900526451614</v>
      </c>
    </row>
    <row r="6" spans="1:10" x14ac:dyDescent="0.3">
      <c r="A6" s="72" t="s">
        <v>140</v>
      </c>
      <c r="B6" s="80">
        <v>7.0000000000000007E-2</v>
      </c>
      <c r="C6" s="80">
        <v>7.0000000000000007E-2</v>
      </c>
      <c r="D6" s="74"/>
      <c r="E6" s="74"/>
      <c r="F6" s="74"/>
      <c r="G6" s="74"/>
      <c r="H6" s="7">
        <f>PREÇOS!E7</f>
        <v>8.1556129032258067</v>
      </c>
      <c r="I6" s="4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7.0000000000000007E-2</v>
      </c>
      <c r="D7" s="74"/>
      <c r="E7" s="74"/>
      <c r="F7" s="74"/>
      <c r="G7" s="74"/>
      <c r="H7" s="7">
        <f>PREÇOS!E8</f>
        <v>8.1556129032258067</v>
      </c>
      <c r="I7" s="4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7.0000000000000007E-2</v>
      </c>
      <c r="D8" s="74"/>
      <c r="E8" s="74"/>
      <c r="F8" s="74"/>
      <c r="G8" s="74"/>
      <c r="H8" s="7">
        <f>PREÇOS!E9</f>
        <v>8.1556129032258067</v>
      </c>
      <c r="I8" s="4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73">
        <v>7.0000000000000007E-2</v>
      </c>
      <c r="D9" s="74"/>
      <c r="E9" s="74"/>
      <c r="F9" s="74"/>
      <c r="G9" s="74"/>
      <c r="H9" s="7">
        <f>PREÇOS!E10</f>
        <v>8.1556129032258067</v>
      </c>
      <c r="I9" s="4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73">
        <v>7.0000000000000007E-2</v>
      </c>
      <c r="D10" s="74"/>
      <c r="E10" s="74"/>
      <c r="F10" s="74"/>
      <c r="G10" s="74"/>
      <c r="H10" s="7">
        <f>PREÇOS!E11</f>
        <v>8.1556129032258067</v>
      </c>
      <c r="I10" s="4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73">
        <v>7.0000000000000007E-2</v>
      </c>
      <c r="D11" s="74"/>
      <c r="E11" s="74"/>
      <c r="F11" s="74"/>
      <c r="G11" s="74"/>
      <c r="H11" s="7">
        <f>PREÇOS!E12</f>
        <v>8.1556129032258067</v>
      </c>
      <c r="I11" s="4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73">
        <v>0.18</v>
      </c>
      <c r="D12" s="74">
        <v>0.35</v>
      </c>
      <c r="E12" s="74"/>
      <c r="F12" s="74">
        <v>0.35</v>
      </c>
      <c r="G12" s="74"/>
      <c r="H12" s="7">
        <f>PREÇOS!E13</f>
        <v>8.6189999999999998</v>
      </c>
      <c r="I12" s="4">
        <f t="shared" si="0"/>
        <v>1.0601370000000001</v>
      </c>
      <c r="J12" s="4">
        <f t="shared" si="1"/>
        <v>1.0601370000000001</v>
      </c>
    </row>
    <row r="13" spans="1:10" x14ac:dyDescent="0.3">
      <c r="A13" s="72" t="s">
        <v>147</v>
      </c>
      <c r="B13" s="80">
        <v>7.0000000000000007E-2</v>
      </c>
      <c r="C13" s="73">
        <v>7.0000000000000007E-2</v>
      </c>
      <c r="D13" s="74"/>
      <c r="E13" s="74"/>
      <c r="F13" s="74"/>
      <c r="G13" s="74"/>
      <c r="H13" s="7">
        <f>PREÇOS!E14</f>
        <v>8.1556129032258067</v>
      </c>
      <c r="I13" s="4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73">
        <v>0.17</v>
      </c>
      <c r="D14" s="74">
        <v>0.35449999999999998</v>
      </c>
      <c r="E14" s="74"/>
      <c r="F14" s="74">
        <v>0.35449999999999998</v>
      </c>
      <c r="G14" s="74"/>
      <c r="H14" s="7">
        <f>PREÇOS!E15</f>
        <v>8.1556129032258067</v>
      </c>
      <c r="I14" s="4">
        <f t="shared" si="0"/>
        <v>1.3070593019354839</v>
      </c>
      <c r="J14" s="4">
        <f t="shared" si="1"/>
        <v>1.3070593019354839</v>
      </c>
    </row>
    <row r="15" spans="1:10" x14ac:dyDescent="0.3">
      <c r="A15" s="72" t="s">
        <v>149</v>
      </c>
      <c r="B15" s="80">
        <v>7.0000000000000007E-2</v>
      </c>
      <c r="C15" s="73">
        <v>7.0000000000000007E-2</v>
      </c>
      <c r="D15" s="74"/>
      <c r="E15" s="74"/>
      <c r="F15" s="74"/>
      <c r="G15" s="74"/>
      <c r="H15" s="7">
        <f>PREÇOS!E16</f>
        <v>8.1556129032258067</v>
      </c>
      <c r="I15" s="4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73">
        <v>7.0000000000000007E-2</v>
      </c>
      <c r="D16" s="74"/>
      <c r="E16" s="74"/>
      <c r="F16" s="74"/>
      <c r="G16" s="74"/>
      <c r="H16" s="7">
        <f>PREÇOS!E17</f>
        <v>8.1556129032258067</v>
      </c>
      <c r="I16" s="4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73">
        <v>7.0000000000000007E-2</v>
      </c>
      <c r="D17" s="74"/>
      <c r="E17" s="74"/>
      <c r="F17" s="74"/>
      <c r="G17" s="74"/>
      <c r="H17" s="7">
        <f>PREÇOS!E18</f>
        <v>8.1556129032258067</v>
      </c>
      <c r="I17" s="4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73">
        <v>7.0000000000000007E-2</v>
      </c>
      <c r="D18" s="74"/>
      <c r="E18" s="74"/>
      <c r="F18" s="74"/>
      <c r="G18" s="74"/>
      <c r="H18" s="7">
        <f>PREÇOS!E19</f>
        <v>8.1556129032258067</v>
      </c>
      <c r="I18" s="4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73">
        <v>0.12</v>
      </c>
      <c r="D19" s="74"/>
      <c r="E19" s="74"/>
      <c r="F19" s="74"/>
      <c r="G19" s="74"/>
      <c r="H19" s="7">
        <f>PREÇOS!E20</f>
        <v>8.6189999999999998</v>
      </c>
      <c r="I19" s="4">
        <f t="shared" si="0"/>
        <v>0</v>
      </c>
      <c r="J19" s="4">
        <f t="shared" si="1"/>
        <v>0</v>
      </c>
    </row>
    <row r="20" spans="1:10" x14ac:dyDescent="0.3">
      <c r="A20" s="72" t="s">
        <v>153</v>
      </c>
      <c r="B20" s="80">
        <v>0.12</v>
      </c>
      <c r="C20" s="73">
        <v>0.12</v>
      </c>
      <c r="D20" s="74"/>
      <c r="E20" s="74"/>
      <c r="F20" s="74"/>
      <c r="G20" s="74"/>
      <c r="H20" s="7">
        <f>PREÇOS!E21</f>
        <v>8.6189999999999998</v>
      </c>
      <c r="I20" s="4">
        <f t="shared" si="0"/>
        <v>0</v>
      </c>
      <c r="J20" s="4">
        <f t="shared" si="1"/>
        <v>0</v>
      </c>
    </row>
    <row r="21" spans="1:10" x14ac:dyDescent="0.3">
      <c r="A21" s="72" t="s">
        <v>154</v>
      </c>
      <c r="B21" s="80">
        <v>7.0000000000000007E-2</v>
      </c>
      <c r="C21" s="73">
        <v>7.0000000000000007E-2</v>
      </c>
      <c r="D21" s="74"/>
      <c r="E21" s="74"/>
      <c r="F21" s="74"/>
      <c r="G21" s="74"/>
      <c r="H21" s="7">
        <f>PREÇOS!E22</f>
        <v>8.1556129032258067</v>
      </c>
      <c r="I21" s="4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73">
        <v>7.0000000000000007E-2</v>
      </c>
      <c r="D22" s="74"/>
      <c r="E22" s="74"/>
      <c r="F22" s="74"/>
      <c r="G22" s="74"/>
      <c r="H22" s="7">
        <f>PREÇOS!E23</f>
        <v>8.1556129032258067</v>
      </c>
      <c r="I22" s="4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73">
        <v>7.0000000000000007E-2</v>
      </c>
      <c r="D23" s="74"/>
      <c r="E23" s="74"/>
      <c r="F23" s="74"/>
      <c r="G23" s="74"/>
      <c r="H23" s="7">
        <f>PREÇOS!E24</f>
        <v>8.1556129032258067</v>
      </c>
      <c r="I23" s="4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73">
        <v>0.12</v>
      </c>
      <c r="D24" s="74"/>
      <c r="E24" s="74"/>
      <c r="F24" s="74"/>
      <c r="G24" s="74"/>
      <c r="H24" s="7">
        <f>PREÇOS!E25</f>
        <v>8.6189999999999998</v>
      </c>
      <c r="I24" s="4">
        <f t="shared" si="0"/>
        <v>0</v>
      </c>
      <c r="J24" s="4">
        <f t="shared" si="1"/>
        <v>0</v>
      </c>
    </row>
    <row r="25" spans="1:10" x14ac:dyDescent="0.3">
      <c r="A25" s="72" t="s">
        <v>158</v>
      </c>
      <c r="B25" s="80">
        <v>0.12</v>
      </c>
      <c r="C25" s="73">
        <v>0.12</v>
      </c>
      <c r="D25" s="74"/>
      <c r="E25" s="74"/>
      <c r="F25" s="74"/>
      <c r="G25" s="74"/>
      <c r="H25" s="7">
        <f>PREÇOS!E26</f>
        <v>8.6189999999999998</v>
      </c>
      <c r="I25" s="4">
        <f t="shared" si="0"/>
        <v>0</v>
      </c>
      <c r="J25" s="4">
        <f t="shared" si="1"/>
        <v>0</v>
      </c>
    </row>
    <row r="26" spans="1:10" x14ac:dyDescent="0.3">
      <c r="A26" s="72" t="s">
        <v>159</v>
      </c>
      <c r="B26" s="80">
        <v>7.0000000000000007E-2</v>
      </c>
      <c r="C26" s="73">
        <v>7.0000000000000007E-2</v>
      </c>
      <c r="D26" s="74"/>
      <c r="E26" s="74"/>
      <c r="F26" s="74"/>
      <c r="G26" s="74"/>
      <c r="H26" s="7">
        <f>PREÇOS!E27</f>
        <v>8.1556129032258067</v>
      </c>
      <c r="I26" s="4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73">
        <v>0.12</v>
      </c>
      <c r="D27" s="74"/>
      <c r="E27" s="74"/>
      <c r="F27" s="74"/>
      <c r="G27" s="74"/>
      <c r="H27" s="7">
        <f>PREÇOS!E28</f>
        <v>8.6189999999999998</v>
      </c>
      <c r="I27" s="4">
        <f t="shared" si="0"/>
        <v>0</v>
      </c>
      <c r="J27" s="4">
        <f t="shared" si="1"/>
        <v>0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0.12</v>
      </c>
      <c r="D28" s="48">
        <f t="shared" si="2"/>
        <v>0</v>
      </c>
      <c r="E28" s="48">
        <f t="shared" si="2"/>
        <v>0</v>
      </c>
      <c r="F28" s="48">
        <f t="shared" si="2"/>
        <v>0</v>
      </c>
      <c r="G28" s="48">
        <f t="shared" si="2"/>
        <v>0</v>
      </c>
      <c r="H28" s="70">
        <f>PREÇOS!E29</f>
        <v>8.6189999999999998</v>
      </c>
      <c r="I28" s="69">
        <f t="shared" si="0"/>
        <v>0</v>
      </c>
      <c r="J28" s="69">
        <f t="shared" si="1"/>
        <v>0</v>
      </c>
    </row>
    <row r="29" spans="1:10" x14ac:dyDescent="0.3">
      <c r="A29" s="72" t="s">
        <v>162</v>
      </c>
      <c r="B29" s="80">
        <v>7.0000000000000007E-2</v>
      </c>
      <c r="C29" s="73">
        <v>7.0000000000000007E-2</v>
      </c>
      <c r="D29" s="74"/>
      <c r="E29" s="74"/>
      <c r="F29" s="74"/>
      <c r="G29" s="74"/>
      <c r="H29" s="7">
        <f>PREÇOS!E30</f>
        <v>8.1556129032258067</v>
      </c>
      <c r="I29" s="4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PREÇOS!E31</f>
        <v>6.4225451612903228</v>
      </c>
      <c r="I30" s="4">
        <f t="shared" si="0"/>
        <v>0</v>
      </c>
      <c r="J30" s="4">
        <f t="shared" si="1"/>
        <v>0</v>
      </c>
    </row>
  </sheetData>
  <autoFilter ref="A1:J1" xr:uid="{00000000-0009-0000-0000-000004000000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/>
  <dimension ref="A1:K30"/>
  <sheetViews>
    <sheetView showGridLines="0" zoomScale="85" zoomScaleNormal="85" workbookViewId="0">
      <selection activeCell="G28" sqref="G28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7.0000000000000007E-2</v>
      </c>
      <c r="D2" s="74"/>
      <c r="E2" s="74"/>
      <c r="F2" s="74"/>
      <c r="G2" s="74"/>
      <c r="H2" s="4">
        <f>PREÇOS!C3</f>
        <v>3.7198451612903218</v>
      </c>
      <c r="I2" s="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0.19</v>
      </c>
      <c r="D3" s="74">
        <v>0.54320000000000002</v>
      </c>
      <c r="E3" s="74"/>
      <c r="F3" s="74">
        <v>0.79400000000000004</v>
      </c>
      <c r="G3" s="74"/>
      <c r="H3" s="4">
        <f>PREÇOS!C4</f>
        <v>3.7198451612903218</v>
      </c>
      <c r="I3" s="4">
        <f t="shared" si="0"/>
        <v>1.0075572603870966</v>
      </c>
      <c r="J3" s="4">
        <f t="shared" si="1"/>
        <v>1.0075572603870966</v>
      </c>
    </row>
    <row r="4" spans="1:10" x14ac:dyDescent="0.3">
      <c r="A4" s="72" t="s">
        <v>138</v>
      </c>
      <c r="B4" s="80">
        <v>7.0000000000000007E-2</v>
      </c>
      <c r="C4" s="80">
        <v>0.18</v>
      </c>
      <c r="D4" s="74"/>
      <c r="E4" s="74"/>
      <c r="F4" s="74"/>
      <c r="G4" s="74"/>
      <c r="H4" s="4">
        <f>PREÇOS!C5</f>
        <v>3.7198451612903218</v>
      </c>
      <c r="I4" s="4">
        <f t="shared" si="0"/>
        <v>0</v>
      </c>
      <c r="J4" s="4">
        <f t="shared" si="1"/>
        <v>0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>
        <v>0.41</v>
      </c>
      <c r="E5" s="74"/>
      <c r="F5" s="74">
        <v>0.59909999999999997</v>
      </c>
      <c r="G5" s="74"/>
      <c r="H5" s="4">
        <f>PREÇOS!C6</f>
        <v>3.7198451612903218</v>
      </c>
      <c r="I5" s="4">
        <f t="shared" si="0"/>
        <v>0.81032363024516085</v>
      </c>
      <c r="J5" s="4">
        <f t="shared" si="1"/>
        <v>0.81032363024516085</v>
      </c>
    </row>
    <row r="6" spans="1:10" x14ac:dyDescent="0.3">
      <c r="A6" s="72" t="s">
        <v>140</v>
      </c>
      <c r="B6" s="80">
        <v>7.0000000000000007E-2</v>
      </c>
      <c r="C6" s="80">
        <v>7.0000000000000007E-2</v>
      </c>
      <c r="D6" s="74"/>
      <c r="E6" s="74"/>
      <c r="F6" s="74"/>
      <c r="G6" s="74"/>
      <c r="H6" s="4">
        <f>PREÇOS!C7</f>
        <v>3.7198451612903218</v>
      </c>
      <c r="I6" s="4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7.0000000000000007E-2</v>
      </c>
      <c r="D7" s="74"/>
      <c r="E7" s="74"/>
      <c r="F7" s="74"/>
      <c r="G7" s="74"/>
      <c r="H7" s="4">
        <f>PREÇOS!C8</f>
        <v>3.7198451612903218</v>
      </c>
      <c r="I7" s="4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7.0000000000000007E-2</v>
      </c>
      <c r="D8" s="74"/>
      <c r="E8" s="74"/>
      <c r="F8" s="74"/>
      <c r="G8" s="74"/>
      <c r="H8" s="4">
        <f>PREÇOS!C9</f>
        <v>3.7198451612903218</v>
      </c>
      <c r="I8" s="4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73">
        <v>7.0000000000000007E-2</v>
      </c>
      <c r="D9" s="74"/>
      <c r="E9" s="74"/>
      <c r="F9" s="74"/>
      <c r="G9" s="74"/>
      <c r="H9" s="4">
        <f>PREÇOS!C10</f>
        <v>3.7198451612903218</v>
      </c>
      <c r="I9" s="4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73">
        <v>7.0000000000000007E-2</v>
      </c>
      <c r="D10" s="74"/>
      <c r="E10" s="74"/>
      <c r="F10" s="74"/>
      <c r="G10" s="74"/>
      <c r="H10" s="4">
        <f>PREÇOS!C11</f>
        <v>3.7198451612903218</v>
      </c>
      <c r="I10" s="4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73">
        <v>7.0000000000000007E-2</v>
      </c>
      <c r="D11" s="74"/>
      <c r="E11" s="74"/>
      <c r="F11" s="74"/>
      <c r="G11" s="74"/>
      <c r="H11" s="4">
        <f>PREÇOS!C12</f>
        <v>3.7198451612903218</v>
      </c>
      <c r="I11" s="4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73">
        <v>0.18</v>
      </c>
      <c r="D12" s="74">
        <v>0.4</v>
      </c>
      <c r="E12" s="74"/>
      <c r="F12" s="74">
        <v>0.50239999999999996</v>
      </c>
      <c r="G12" s="74"/>
      <c r="H12" s="4">
        <f>PREÇOS!C13</f>
        <v>3.9312</v>
      </c>
      <c r="I12" s="4">
        <f t="shared" si="0"/>
        <v>0.5913782783999999</v>
      </c>
      <c r="J12" s="4">
        <f t="shared" si="1"/>
        <v>0.5913782783999999</v>
      </c>
    </row>
    <row r="13" spans="1:10" x14ac:dyDescent="0.3">
      <c r="A13" s="72" t="s">
        <v>147</v>
      </c>
      <c r="B13" s="80">
        <v>7.0000000000000007E-2</v>
      </c>
      <c r="C13" s="73">
        <v>7.0000000000000007E-2</v>
      </c>
      <c r="D13" s="74"/>
      <c r="E13" s="74"/>
      <c r="F13" s="74"/>
      <c r="G13" s="74"/>
      <c r="H13" s="4">
        <f>PREÇOS!C14</f>
        <v>3.7198451612903218</v>
      </c>
      <c r="I13" s="4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73">
        <v>0.17</v>
      </c>
      <c r="D14" s="74">
        <v>0.45519999999999999</v>
      </c>
      <c r="E14" s="74"/>
      <c r="F14" s="74">
        <v>0.63049999999999995</v>
      </c>
      <c r="G14" s="74"/>
      <c r="H14" s="4">
        <f>PREÇOS!C15</f>
        <v>3.7198451612903218</v>
      </c>
      <c r="I14" s="4">
        <f t="shared" si="0"/>
        <v>0.7706961197419353</v>
      </c>
      <c r="J14" s="4">
        <f t="shared" si="1"/>
        <v>0.7706961197419353</v>
      </c>
    </row>
    <row r="15" spans="1:10" x14ac:dyDescent="0.3">
      <c r="A15" s="72" t="s">
        <v>149</v>
      </c>
      <c r="B15" s="80">
        <v>7.0000000000000007E-2</v>
      </c>
      <c r="C15" s="73">
        <v>7.0000000000000007E-2</v>
      </c>
      <c r="D15" s="74"/>
      <c r="E15" s="74"/>
      <c r="F15" s="74"/>
      <c r="G15" s="74"/>
      <c r="H15" s="4">
        <f>PREÇOS!C16</f>
        <v>3.7198451612903218</v>
      </c>
      <c r="I15" s="4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73">
        <v>7.0000000000000007E-2</v>
      </c>
      <c r="D16" s="74"/>
      <c r="E16" s="74"/>
      <c r="F16" s="74"/>
      <c r="G16" s="74"/>
      <c r="H16" s="4">
        <f>PREÇOS!C17</f>
        <v>3.7198451612903218</v>
      </c>
      <c r="I16" s="4">
        <f t="shared" si="0"/>
        <v>0</v>
      </c>
      <c r="J16" s="4">
        <f t="shared" si="1"/>
        <v>0</v>
      </c>
    </row>
    <row r="17" spans="1:11" x14ac:dyDescent="0.3">
      <c r="A17" s="72" t="s">
        <v>151</v>
      </c>
      <c r="B17" s="80">
        <v>7.0000000000000007E-2</v>
      </c>
      <c r="C17" s="73">
        <v>7.0000000000000007E-2</v>
      </c>
      <c r="D17" s="74"/>
      <c r="E17" s="74"/>
      <c r="F17" s="74"/>
      <c r="G17" s="74"/>
      <c r="H17" s="4">
        <f>PREÇOS!C18</f>
        <v>3.7198451612903218</v>
      </c>
      <c r="I17" s="4">
        <f t="shared" si="0"/>
        <v>0</v>
      </c>
      <c r="J17" s="4">
        <f t="shared" si="1"/>
        <v>0</v>
      </c>
    </row>
    <row r="18" spans="1:11" x14ac:dyDescent="0.3">
      <c r="A18" s="72" t="s">
        <v>152</v>
      </c>
      <c r="B18" s="80">
        <v>7.0000000000000007E-2</v>
      </c>
      <c r="C18" s="73">
        <v>7.0000000000000007E-2</v>
      </c>
      <c r="D18" s="74"/>
      <c r="E18" s="74"/>
      <c r="F18" s="74"/>
      <c r="G18" s="74"/>
      <c r="H18" s="4">
        <f>PREÇOS!C19</f>
        <v>3.7198451612903218</v>
      </c>
      <c r="I18" s="4">
        <f t="shared" si="0"/>
        <v>0</v>
      </c>
      <c r="J18" s="4">
        <f t="shared" si="1"/>
        <v>0</v>
      </c>
    </row>
    <row r="19" spans="1:11" x14ac:dyDescent="0.3">
      <c r="A19" s="75" t="s">
        <v>5</v>
      </c>
      <c r="B19" s="48">
        <v>0.12</v>
      </c>
      <c r="C19" s="76">
        <v>0.19500000000000001</v>
      </c>
      <c r="D19" s="47">
        <v>0.54320000000000002</v>
      </c>
      <c r="E19" s="47">
        <v>0.16300000000000001</v>
      </c>
      <c r="F19" s="47">
        <v>0.68700000000000006</v>
      </c>
      <c r="G19" s="47">
        <v>0.1968</v>
      </c>
      <c r="H19" s="4">
        <f>PREÇOS!C20</f>
        <v>3.9312</v>
      </c>
      <c r="I19" s="4">
        <f t="shared" si="0"/>
        <v>0.8214832080000003</v>
      </c>
      <c r="J19" s="4">
        <f t="shared" si="1"/>
        <v>0.44570373120000001</v>
      </c>
    </row>
    <row r="20" spans="1:11" x14ac:dyDescent="0.3">
      <c r="A20" s="75" t="s">
        <v>153</v>
      </c>
      <c r="B20" s="48">
        <v>0.12</v>
      </c>
      <c r="C20" s="76">
        <v>0.22</v>
      </c>
      <c r="D20" s="47">
        <v>0.4698</v>
      </c>
      <c r="E20" s="47"/>
      <c r="F20" s="47">
        <v>0.65820000000000001</v>
      </c>
      <c r="G20" s="47"/>
      <c r="H20" s="4">
        <f>PREÇOS!C21</f>
        <v>3.9312</v>
      </c>
      <c r="I20" s="4">
        <f t="shared" si="0"/>
        <v>0.96237348480000007</v>
      </c>
      <c r="J20" s="4">
        <f t="shared" si="1"/>
        <v>0.96237348480000007</v>
      </c>
    </row>
    <row r="21" spans="1:11" x14ac:dyDescent="0.3">
      <c r="A21" s="72" t="s">
        <v>154</v>
      </c>
      <c r="B21" s="80">
        <v>7.0000000000000007E-2</v>
      </c>
      <c r="C21" s="73">
        <v>7.0000000000000007E-2</v>
      </c>
      <c r="D21" s="74"/>
      <c r="E21" s="74"/>
      <c r="F21" s="74"/>
      <c r="G21" s="74"/>
      <c r="H21" s="4">
        <f>PREÇOS!C22</f>
        <v>3.7198451612903218</v>
      </c>
      <c r="I21" s="4">
        <f t="shared" si="0"/>
        <v>0</v>
      </c>
      <c r="J21" s="4">
        <f t="shared" si="1"/>
        <v>0</v>
      </c>
    </row>
    <row r="22" spans="1:11" x14ac:dyDescent="0.3">
      <c r="A22" s="72" t="s">
        <v>155</v>
      </c>
      <c r="B22" s="80">
        <v>7.0000000000000007E-2</v>
      </c>
      <c r="C22" s="73">
        <v>7.0000000000000007E-2</v>
      </c>
      <c r="D22" s="74"/>
      <c r="E22" s="74"/>
      <c r="F22" s="74"/>
      <c r="G22" s="74"/>
      <c r="H22" s="4">
        <f>PREÇOS!C23</f>
        <v>3.7198451612903218</v>
      </c>
      <c r="I22" s="4">
        <f t="shared" si="0"/>
        <v>0</v>
      </c>
      <c r="J22" s="4">
        <f t="shared" si="1"/>
        <v>0</v>
      </c>
    </row>
    <row r="23" spans="1:11" x14ac:dyDescent="0.3">
      <c r="A23" s="72" t="s">
        <v>156</v>
      </c>
      <c r="B23" s="80">
        <v>7.0000000000000007E-2</v>
      </c>
      <c r="C23" s="73">
        <v>7.0000000000000007E-2</v>
      </c>
      <c r="D23" s="74"/>
      <c r="E23" s="74"/>
      <c r="F23" s="74"/>
      <c r="G23" s="74"/>
      <c r="H23" s="4">
        <f>PREÇOS!C24</f>
        <v>3.7198451612903218</v>
      </c>
      <c r="I23" s="4">
        <f t="shared" si="0"/>
        <v>0</v>
      </c>
      <c r="J23" s="4">
        <f t="shared" si="1"/>
        <v>0</v>
      </c>
    </row>
    <row r="24" spans="1:11" x14ac:dyDescent="0.3">
      <c r="A24" s="72" t="s">
        <v>157</v>
      </c>
      <c r="B24" s="80">
        <v>0.12</v>
      </c>
      <c r="C24" s="73">
        <v>0.12</v>
      </c>
      <c r="D24" s="74"/>
      <c r="E24" s="74"/>
      <c r="F24" s="74"/>
      <c r="G24" s="74"/>
      <c r="H24" s="4">
        <f>PREÇOS!C25</f>
        <v>3.9312</v>
      </c>
      <c r="I24" s="4">
        <f t="shared" si="0"/>
        <v>0</v>
      </c>
      <c r="J24" s="4">
        <f t="shared" si="1"/>
        <v>0</v>
      </c>
    </row>
    <row r="25" spans="1:11" x14ac:dyDescent="0.3">
      <c r="A25" s="72" t="s">
        <v>158</v>
      </c>
      <c r="B25" s="80">
        <v>0.12</v>
      </c>
      <c r="C25" s="73">
        <v>0.12</v>
      </c>
      <c r="D25" s="74"/>
      <c r="E25" s="74"/>
      <c r="F25" s="74"/>
      <c r="G25" s="74"/>
      <c r="H25" s="4">
        <f>PREÇOS!C26</f>
        <v>3.9312</v>
      </c>
      <c r="I25" s="4">
        <f t="shared" si="0"/>
        <v>0</v>
      </c>
      <c r="J25" s="4">
        <f t="shared" si="1"/>
        <v>0</v>
      </c>
    </row>
    <row r="26" spans="1:11" x14ac:dyDescent="0.3">
      <c r="A26" s="72" t="s">
        <v>159</v>
      </c>
      <c r="B26" s="80">
        <v>7.0000000000000007E-2</v>
      </c>
      <c r="C26" s="73">
        <v>7.0000000000000007E-2</v>
      </c>
      <c r="D26" s="74"/>
      <c r="E26" s="74"/>
      <c r="F26" s="74"/>
      <c r="G26" s="74"/>
      <c r="H26" s="4">
        <f>PREÇOS!C27</f>
        <v>3.7198451612903218</v>
      </c>
      <c r="I26" s="4">
        <f t="shared" si="0"/>
        <v>0</v>
      </c>
      <c r="J26" s="4">
        <f t="shared" si="1"/>
        <v>0</v>
      </c>
    </row>
    <row r="27" spans="1:11" x14ac:dyDescent="0.3">
      <c r="A27" s="72" t="s">
        <v>160</v>
      </c>
      <c r="B27" s="80">
        <v>0.12</v>
      </c>
      <c r="C27" s="73">
        <v>0.18</v>
      </c>
      <c r="D27" s="74"/>
      <c r="E27" s="74"/>
      <c r="F27" s="74"/>
      <c r="G27" s="74"/>
      <c r="H27" s="4">
        <f>PREÇOS!C28</f>
        <v>3.9312</v>
      </c>
      <c r="I27" s="4">
        <f t="shared" si="0"/>
        <v>0</v>
      </c>
      <c r="J27" s="4">
        <f t="shared" si="1"/>
        <v>0</v>
      </c>
      <c r="K27" t="s">
        <v>164</v>
      </c>
    </row>
    <row r="28" spans="1:11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</v>
      </c>
      <c r="G28" s="48">
        <f t="shared" si="2"/>
        <v>0</v>
      </c>
      <c r="H28" s="69">
        <f>PREÇOS!C29</f>
        <v>3.9312</v>
      </c>
      <c r="I28" s="69">
        <f t="shared" si="0"/>
        <v>0</v>
      </c>
      <c r="J28" s="69">
        <f t="shared" si="1"/>
        <v>0</v>
      </c>
    </row>
    <row r="29" spans="1:11" x14ac:dyDescent="0.3">
      <c r="A29" s="72" t="s">
        <v>162</v>
      </c>
      <c r="B29" s="80">
        <v>7.0000000000000007E-2</v>
      </c>
      <c r="C29" s="73">
        <v>7.0000000000000007E-2</v>
      </c>
      <c r="D29" s="74"/>
      <c r="E29" s="74"/>
      <c r="F29" s="74"/>
      <c r="G29" s="74"/>
      <c r="H29" s="4">
        <f>PREÇOS!C30</f>
        <v>3.7198451612903218</v>
      </c>
      <c r="I29" s="4">
        <f t="shared" si="0"/>
        <v>0</v>
      </c>
      <c r="J29" s="4">
        <f t="shared" si="1"/>
        <v>0</v>
      </c>
    </row>
    <row r="30" spans="1:11" x14ac:dyDescent="0.3">
      <c r="A30" s="3" t="s">
        <v>163</v>
      </c>
      <c r="H30" s="4">
        <f>PREÇOS!C31</f>
        <v>2.9293780645161291</v>
      </c>
      <c r="I30" s="4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"/>
  <sheetViews>
    <sheetView showGridLines="0" zoomScale="91" zoomScaleNormal="91" workbookViewId="0">
      <pane xSplit="3" ySplit="1" topLeftCell="D8" activePane="bottomRight" state="frozen"/>
      <selection pane="topRight" activeCell="Q21" sqref="Q21"/>
      <selection pane="bottomLeft" activeCell="Q21" sqref="Q21"/>
      <selection pane="bottomRight"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664062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0.19</v>
      </c>
      <c r="D2" s="74"/>
      <c r="E2" s="74"/>
      <c r="F2" s="74"/>
      <c r="G2" s="74"/>
      <c r="H2" s="7">
        <f>PREÇOS!H3</f>
        <v>8.5047741935483874</v>
      </c>
      <c r="I2" s="4">
        <f t="shared" ref="I2:I29" si="0">IF(F2=0,,H2*(1+F2)*C2-(H2*B2))</f>
        <v>0</v>
      </c>
      <c r="J2" s="4">
        <f t="shared" ref="J2:J29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0.51129999999999998</v>
      </c>
      <c r="G3" s="74"/>
      <c r="H3" s="7">
        <f>PREÇOS!H4</f>
        <v>8.5047741935483874</v>
      </c>
      <c r="I3" s="4">
        <f t="shared" si="0"/>
        <v>1.9753188541935482</v>
      </c>
      <c r="J3" s="4">
        <f t="shared" si="1"/>
        <v>1.9753188541935482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/>
      <c r="G4" s="74"/>
      <c r="H4" s="7">
        <f>PREÇOS!H5</f>
        <v>8.5047741935483874</v>
      </c>
      <c r="I4" s="4">
        <f t="shared" si="0"/>
        <v>0</v>
      </c>
      <c r="J4" s="4">
        <f t="shared" si="1"/>
        <v>0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>
        <v>0.51980000000000004</v>
      </c>
      <c r="G5" s="74"/>
      <c r="H5" s="7">
        <f>PREÇOS!H6</f>
        <v>8.5047741935483874</v>
      </c>
      <c r="I5" s="4">
        <f t="shared" si="0"/>
        <v>1.7312658539354839</v>
      </c>
      <c r="J5" s="4">
        <f t="shared" si="1"/>
        <v>1.7312658539354839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PREÇOS!H7</f>
        <v>8.5047741935483874</v>
      </c>
      <c r="I6" s="4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PREÇOS!H8</f>
        <v>8.5047741935483874</v>
      </c>
      <c r="I7" s="4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PREÇOS!H9</f>
        <v>8.5047741935483874</v>
      </c>
      <c r="I8" s="4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PREÇOS!H10</f>
        <v>8.5047741935483874</v>
      </c>
      <c r="I9" s="4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PREÇOS!H11</f>
        <v>8.5047741935483874</v>
      </c>
      <c r="I10" s="4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PREÇOS!H12</f>
        <v>8.5047741935483874</v>
      </c>
      <c r="I11" s="4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0.12</v>
      </c>
      <c r="D12" s="74"/>
      <c r="E12" s="74"/>
      <c r="F12" s="74">
        <v>0.25</v>
      </c>
      <c r="G12" s="74"/>
      <c r="H12" s="44">
        <f>PREÇOS!H13</f>
        <v>8.9880000000000013</v>
      </c>
      <c r="I12" s="46">
        <f t="shared" si="0"/>
        <v>0.26963999999999988</v>
      </c>
      <c r="J12" s="46">
        <f t="shared" si="1"/>
        <v>0.26963999999999988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PREÇOS!H14</f>
        <v>8.5047741935483874</v>
      </c>
      <c r="I13" s="4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0.39779999999999999</v>
      </c>
      <c r="G14" s="74"/>
      <c r="H14" s="7">
        <f>PREÇOS!H15</f>
        <v>8.5047741935483874</v>
      </c>
      <c r="I14" s="4">
        <f t="shared" si="0"/>
        <v>1.425621278967742</v>
      </c>
      <c r="J14" s="4">
        <f t="shared" si="1"/>
        <v>1.425621278967742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PREÇOS!H16</f>
        <v>8.5047741935483874</v>
      </c>
      <c r="I15" s="4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PREÇOS!H17</f>
        <v>8.5047741935483874</v>
      </c>
      <c r="I16" s="4">
        <f t="shared" si="0"/>
        <v>0</v>
      </c>
      <c r="J16" s="4">
        <f t="shared" si="1"/>
        <v>0</v>
      </c>
    </row>
    <row r="17" spans="1:11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PREÇOS!H18</f>
        <v>8.5047741935483874</v>
      </c>
      <c r="I17" s="4">
        <f t="shared" si="0"/>
        <v>0</v>
      </c>
      <c r="J17" s="4">
        <f t="shared" si="1"/>
        <v>0</v>
      </c>
    </row>
    <row r="18" spans="1:11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PREÇOS!H19</f>
        <v>8.5047741935483874</v>
      </c>
      <c r="I18" s="4">
        <f t="shared" si="0"/>
        <v>0</v>
      </c>
      <c r="J18" s="4">
        <f t="shared" si="1"/>
        <v>0</v>
      </c>
    </row>
    <row r="19" spans="1:11" x14ac:dyDescent="0.3">
      <c r="A19" s="72" t="s">
        <v>5</v>
      </c>
      <c r="B19" s="80">
        <v>0.12</v>
      </c>
      <c r="C19" s="80">
        <v>0.12</v>
      </c>
      <c r="D19" s="74"/>
      <c r="E19" s="74"/>
      <c r="F19" s="74"/>
      <c r="G19" s="74"/>
      <c r="H19" s="44">
        <f>PREÇOS!H20</f>
        <v>8.9880000000000013</v>
      </c>
      <c r="I19" s="46">
        <f t="shared" si="0"/>
        <v>0</v>
      </c>
      <c r="J19" s="46">
        <f t="shared" si="1"/>
        <v>0</v>
      </c>
    </row>
    <row r="20" spans="1:11" x14ac:dyDescent="0.3">
      <c r="A20" s="75" t="s">
        <v>153</v>
      </c>
      <c r="B20" s="48">
        <v>0.12</v>
      </c>
      <c r="C20" s="48">
        <v>0.22</v>
      </c>
      <c r="D20" s="47"/>
      <c r="E20" s="47"/>
      <c r="F20" s="47">
        <v>0.52529999999999999</v>
      </c>
      <c r="G20" s="47"/>
      <c r="H20" s="44">
        <f>PREÇOS!H21</f>
        <v>8.9880000000000013</v>
      </c>
      <c r="I20" s="46">
        <f t="shared" si="0"/>
        <v>1.9375072080000006</v>
      </c>
      <c r="J20" s="46">
        <f t="shared" si="1"/>
        <v>1.9375072080000006</v>
      </c>
    </row>
    <row r="21" spans="1:11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PREÇOS!H22</f>
        <v>8.5047741935483874</v>
      </c>
      <c r="I21" s="4">
        <f t="shared" si="0"/>
        <v>0</v>
      </c>
      <c r="J21" s="4">
        <f t="shared" si="1"/>
        <v>0</v>
      </c>
    </row>
    <row r="22" spans="1:11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PREÇOS!H23</f>
        <v>8.5047741935483874</v>
      </c>
      <c r="I22" s="4">
        <f t="shared" si="0"/>
        <v>0</v>
      </c>
      <c r="J22" s="4">
        <f t="shared" si="1"/>
        <v>0</v>
      </c>
    </row>
    <row r="23" spans="1:11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PREÇOS!H24</f>
        <v>8.5047741935483874</v>
      </c>
      <c r="I23" s="4">
        <f t="shared" si="0"/>
        <v>0</v>
      </c>
      <c r="J23" s="4">
        <f t="shared" si="1"/>
        <v>0</v>
      </c>
    </row>
    <row r="24" spans="1:11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44">
        <f>PREÇOS!H25</f>
        <v>8.9880000000000013</v>
      </c>
      <c r="I24" s="46">
        <f t="shared" si="0"/>
        <v>0</v>
      </c>
      <c r="J24" s="46">
        <f t="shared" si="1"/>
        <v>0</v>
      </c>
    </row>
    <row r="25" spans="1:11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44">
        <f>PREÇOS!H26</f>
        <v>8.9880000000000013</v>
      </c>
      <c r="I25" s="46">
        <f t="shared" si="0"/>
        <v>0</v>
      </c>
      <c r="J25" s="46">
        <f t="shared" si="1"/>
        <v>0</v>
      </c>
    </row>
    <row r="26" spans="1:11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PREÇOS!H27</f>
        <v>8.5047741935483874</v>
      </c>
      <c r="I26" s="4">
        <f t="shared" si="0"/>
        <v>0</v>
      </c>
      <c r="J26" s="4">
        <f t="shared" si="1"/>
        <v>0</v>
      </c>
    </row>
    <row r="27" spans="1:11" x14ac:dyDescent="0.3">
      <c r="A27" s="72" t="s">
        <v>160</v>
      </c>
      <c r="B27" s="80">
        <v>0.12</v>
      </c>
      <c r="C27" s="80">
        <v>0.18</v>
      </c>
      <c r="D27" s="74">
        <v>0.60770000000000002</v>
      </c>
      <c r="E27" s="74"/>
      <c r="F27" s="74">
        <v>0.60770000000000002</v>
      </c>
      <c r="G27" s="74"/>
      <c r="H27" s="44">
        <f>PREÇOS!H28</f>
        <v>8.9880000000000013</v>
      </c>
      <c r="I27" s="46">
        <f t="shared" si="0"/>
        <v>1.5224413679999997</v>
      </c>
      <c r="J27" s="46">
        <f t="shared" si="1"/>
        <v>1.5224413679999997</v>
      </c>
      <c r="K27">
        <f>J27/H27</f>
        <v>0.16938599999999995</v>
      </c>
    </row>
    <row r="28" spans="1:11" x14ac:dyDescent="0.3">
      <c r="A28" s="72" t="s">
        <v>161</v>
      </c>
      <c r="B28" s="80">
        <f>B27</f>
        <v>0.12</v>
      </c>
      <c r="C28" s="80">
        <f>C27</f>
        <v>0.18</v>
      </c>
      <c r="D28" s="74">
        <v>0.60770000000000002</v>
      </c>
      <c r="E28" s="74">
        <f>E27</f>
        <v>0</v>
      </c>
      <c r="F28" s="74">
        <v>0.60770000000000002</v>
      </c>
      <c r="G28" s="80">
        <f>G27</f>
        <v>0</v>
      </c>
      <c r="H28" s="70">
        <f>PREÇOS!H29</f>
        <v>8.9880000000000013</v>
      </c>
      <c r="I28" s="69">
        <f t="shared" si="0"/>
        <v>1.5224413679999997</v>
      </c>
      <c r="J28" s="69">
        <f t="shared" si="1"/>
        <v>1.5224413679999997</v>
      </c>
    </row>
    <row r="29" spans="1:11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PREÇOS!H30</f>
        <v>8.5047741935483874</v>
      </c>
      <c r="I29" s="4">
        <f t="shared" si="0"/>
        <v>0</v>
      </c>
      <c r="J29" s="4">
        <f t="shared" si="1"/>
        <v>0</v>
      </c>
    </row>
    <row r="30" spans="1:11" x14ac:dyDescent="0.3">
      <c r="A30" t="s">
        <v>163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0"/>
  <sheetViews>
    <sheetView showGridLines="0" topLeftCell="A3" zoomScale="91" zoomScaleNormal="91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0.17</v>
      </c>
      <c r="D2" s="74"/>
      <c r="E2" s="74"/>
      <c r="F2" s="74"/>
      <c r="G2" s="74"/>
      <c r="H2" s="7">
        <f>PREÇOS!G3</f>
        <v>7.05</v>
      </c>
      <c r="I2" s="43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0.71</v>
      </c>
      <c r="G3" s="74"/>
      <c r="H3" s="7">
        <f>PREÇOS!G4</f>
        <v>7.05</v>
      </c>
      <c r="I3" s="43">
        <f t="shared" si="0"/>
        <v>1.9176000000000002</v>
      </c>
      <c r="J3" s="4">
        <f t="shared" si="1"/>
        <v>1.9176000000000002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>
        <v>0.55379999999999996</v>
      </c>
      <c r="G4" s="74"/>
      <c r="H4" s="7">
        <f>PREÇOS!G5</f>
        <v>7.05</v>
      </c>
      <c r="I4" s="43">
        <f t="shared" si="0"/>
        <v>1.6973579999999999</v>
      </c>
      <c r="J4" s="4">
        <f t="shared" si="1"/>
        <v>1.6973579999999999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/>
      <c r="G5" s="74"/>
      <c r="H5" s="7">
        <f>PREÇOS!G6</f>
        <v>7.05</v>
      </c>
      <c r="I5" s="43">
        <f t="shared" si="0"/>
        <v>0</v>
      </c>
      <c r="J5" s="4">
        <f t="shared" si="1"/>
        <v>0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PREÇOS!G7</f>
        <v>7.05</v>
      </c>
      <c r="I6" s="43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PREÇOS!G8</f>
        <v>7.05</v>
      </c>
      <c r="I7" s="43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PREÇOS!G9</f>
        <v>7.05</v>
      </c>
      <c r="I8" s="43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PREÇOS!G10</f>
        <v>7.05</v>
      </c>
      <c r="I9" s="43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PREÇOS!G11</f>
        <v>7.05</v>
      </c>
      <c r="I10" s="43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PREÇOS!G12</f>
        <v>7.05</v>
      </c>
      <c r="I11" s="43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0.18</v>
      </c>
      <c r="D12" s="74"/>
      <c r="E12" s="74"/>
      <c r="F12" s="74">
        <v>0.44879999999999998</v>
      </c>
      <c r="G12" s="74"/>
      <c r="H12" s="44">
        <f>PREÇOS!G13</f>
        <v>7.5</v>
      </c>
      <c r="I12" s="45">
        <f t="shared" si="0"/>
        <v>1.0558799999999999</v>
      </c>
      <c r="J12" s="46">
        <f t="shared" si="1"/>
        <v>1.0558799999999999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PREÇOS!G14</f>
        <v>7.05</v>
      </c>
      <c r="I13" s="43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0.45519999999999999</v>
      </c>
      <c r="G14" s="74"/>
      <c r="H14" s="7">
        <f>PREÇOS!G15</f>
        <v>7.05</v>
      </c>
      <c r="I14" s="43">
        <f t="shared" si="0"/>
        <v>1.2505572</v>
      </c>
      <c r="J14" s="4">
        <f t="shared" si="1"/>
        <v>1.2505572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PREÇOS!G16</f>
        <v>7.05</v>
      </c>
      <c r="I15" s="43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PREÇOS!G17</f>
        <v>7.05</v>
      </c>
      <c r="I16" s="43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PREÇOS!G18</f>
        <v>7.05</v>
      </c>
      <c r="I17" s="43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PREÇOS!G19</f>
        <v>7.05</v>
      </c>
      <c r="I18" s="43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80">
        <v>0.19500000000000001</v>
      </c>
      <c r="D19" s="74"/>
      <c r="E19" s="74"/>
      <c r="F19" s="74">
        <v>0.60799999999999998</v>
      </c>
      <c r="G19" s="74"/>
      <c r="H19" s="44">
        <f>PREÇOS!G20</f>
        <v>7.5</v>
      </c>
      <c r="I19" s="45">
        <f t="shared" si="0"/>
        <v>1.4517000000000002</v>
      </c>
      <c r="J19" s="46">
        <f t="shared" si="1"/>
        <v>1.4517000000000002</v>
      </c>
    </row>
    <row r="20" spans="1:10" x14ac:dyDescent="0.3">
      <c r="A20" s="72" t="s">
        <v>153</v>
      </c>
      <c r="B20" s="80">
        <v>0.12</v>
      </c>
      <c r="C20" s="80">
        <v>0.22</v>
      </c>
      <c r="D20" s="74"/>
      <c r="E20" s="74"/>
      <c r="F20" s="74">
        <v>0.54730000000000001</v>
      </c>
      <c r="G20" s="74"/>
      <c r="H20" s="44">
        <f>PREÇOS!G21</f>
        <v>7.5</v>
      </c>
      <c r="I20" s="45">
        <f t="shared" si="0"/>
        <v>1.6530450000000001</v>
      </c>
      <c r="J20" s="46">
        <f t="shared" si="1"/>
        <v>1.6530450000000001</v>
      </c>
    </row>
    <row r="21" spans="1:10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PREÇOS!G22</f>
        <v>7.05</v>
      </c>
      <c r="I21" s="43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PREÇOS!G23</f>
        <v>7.05</v>
      </c>
      <c r="I22" s="43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PREÇOS!G24</f>
        <v>7.05</v>
      </c>
      <c r="I23" s="43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44">
        <f>PREÇOS!G25</f>
        <v>7.5</v>
      </c>
      <c r="I24" s="45">
        <f t="shared" si="0"/>
        <v>0</v>
      </c>
      <c r="J24" s="46">
        <f t="shared" si="1"/>
        <v>0</v>
      </c>
    </row>
    <row r="25" spans="1:10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44">
        <f>PREÇOS!G26</f>
        <v>7.5</v>
      </c>
      <c r="I25" s="45">
        <f t="shared" si="0"/>
        <v>0</v>
      </c>
      <c r="J25" s="46">
        <f t="shared" si="1"/>
        <v>0</v>
      </c>
    </row>
    <row r="26" spans="1:10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PREÇOS!G27</f>
        <v>7.05</v>
      </c>
      <c r="I26" s="43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80">
        <v>0.18</v>
      </c>
      <c r="D27" s="74"/>
      <c r="E27" s="74"/>
      <c r="F27" s="74">
        <v>0.46300000000000002</v>
      </c>
      <c r="G27" s="74"/>
      <c r="H27" s="44">
        <f>PREÇOS!G28</f>
        <v>7.5</v>
      </c>
      <c r="I27" s="45">
        <f t="shared" si="0"/>
        <v>1.0750500000000001</v>
      </c>
      <c r="J27" s="46">
        <f t="shared" si="1"/>
        <v>1.0750500000000001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0.46300000000000002</v>
      </c>
      <c r="G28" s="47">
        <f t="shared" si="2"/>
        <v>0</v>
      </c>
      <c r="H28" s="70">
        <f>PREÇOS!G29</f>
        <v>7.5</v>
      </c>
      <c r="I28" s="71">
        <f t="shared" si="0"/>
        <v>1.0750500000000001</v>
      </c>
      <c r="J28" s="69">
        <f t="shared" si="1"/>
        <v>1.0750500000000001</v>
      </c>
    </row>
    <row r="29" spans="1:10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PREÇOS!G30</f>
        <v>7.05</v>
      </c>
      <c r="I29" s="43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PREÇOS!G31</f>
        <v>5.9</v>
      </c>
      <c r="I30" s="43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0.17</v>
      </c>
      <c r="D2" s="74"/>
      <c r="E2" s="74"/>
      <c r="F2" s="74"/>
      <c r="G2" s="74"/>
      <c r="H2" s="7">
        <f>PREÇOS!J3</f>
        <v>6.4012903225806452</v>
      </c>
      <c r="I2" s="43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0.71</v>
      </c>
      <c r="G3" s="74"/>
      <c r="H3" s="7">
        <f>PREÇOS!J4</f>
        <v>6.4012903225806452</v>
      </c>
      <c r="I3" s="43">
        <f t="shared" si="0"/>
        <v>1.7411509677419355</v>
      </c>
      <c r="J3" s="4">
        <f t="shared" si="1"/>
        <v>1.7411509677419355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>
        <v>0.55379999999999996</v>
      </c>
      <c r="G4" s="74"/>
      <c r="H4" s="7">
        <f>PREÇOS!J5</f>
        <v>6.4012903225806452</v>
      </c>
      <c r="I4" s="43">
        <f t="shared" si="0"/>
        <v>1.541174658064516</v>
      </c>
      <c r="J4" s="4">
        <f t="shared" si="1"/>
        <v>1.541174658064516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/>
      <c r="G5" s="74"/>
      <c r="H5" s="7">
        <f>PREÇOS!J6</f>
        <v>6.4012903225806452</v>
      </c>
      <c r="I5" s="43">
        <f t="shared" si="0"/>
        <v>0</v>
      </c>
      <c r="J5" s="4">
        <f t="shared" si="1"/>
        <v>0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PREÇOS!J7</f>
        <v>6.4012903225806452</v>
      </c>
      <c r="I6" s="43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PREÇOS!J8</f>
        <v>6.4012903225806452</v>
      </c>
      <c r="I7" s="43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PREÇOS!J9</f>
        <v>6.4012903225806452</v>
      </c>
      <c r="I8" s="43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PREÇOS!J10</f>
        <v>6.4012903225806452</v>
      </c>
      <c r="I9" s="43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PREÇOS!J11</f>
        <v>6.4012903225806452</v>
      </c>
      <c r="I10" s="43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PREÇOS!J12</f>
        <v>6.4012903225806452</v>
      </c>
      <c r="I11" s="43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0.18</v>
      </c>
      <c r="D12" s="74"/>
      <c r="E12" s="74"/>
      <c r="F12" s="74">
        <v>0.44879999999999998</v>
      </c>
      <c r="G12" s="74"/>
      <c r="H12" s="7">
        <f>PREÇOS!J13</f>
        <v>6.7650000000000006</v>
      </c>
      <c r="I12" s="45">
        <f t="shared" si="0"/>
        <v>0.95240375999999971</v>
      </c>
      <c r="J12" s="46">
        <f t="shared" si="1"/>
        <v>0.95240375999999971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PREÇOS!J14</f>
        <v>6.4012903225806452</v>
      </c>
      <c r="I13" s="43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0.45519999999999999</v>
      </c>
      <c r="G14" s="74"/>
      <c r="H14" s="7">
        <f>PREÇOS!J15</f>
        <v>6.4012903225806452</v>
      </c>
      <c r="I14" s="43">
        <f t="shared" si="0"/>
        <v>1.1354864825806454</v>
      </c>
      <c r="J14" s="4">
        <f t="shared" si="1"/>
        <v>1.1354864825806454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PREÇOS!J16</f>
        <v>6.4012903225806452</v>
      </c>
      <c r="I15" s="43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PREÇOS!J17</f>
        <v>6.4012903225806452</v>
      </c>
      <c r="I16" s="43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PREÇOS!J18</f>
        <v>6.4012903225806452</v>
      </c>
      <c r="I17" s="43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PREÇOS!J19</f>
        <v>6.4012903225806452</v>
      </c>
      <c r="I18" s="43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80">
        <v>0.19500000000000001</v>
      </c>
      <c r="D19" s="74"/>
      <c r="E19" s="74"/>
      <c r="F19" s="74">
        <v>0.60799999999999998</v>
      </c>
      <c r="G19" s="74"/>
      <c r="H19" s="7">
        <f>PREÇOS!J20</f>
        <v>6.7650000000000006</v>
      </c>
      <c r="I19" s="45">
        <f t="shared" si="0"/>
        <v>1.3094334000000003</v>
      </c>
      <c r="J19" s="46">
        <f t="shared" si="1"/>
        <v>1.3094334000000003</v>
      </c>
    </row>
    <row r="20" spans="1:10" x14ac:dyDescent="0.3">
      <c r="A20" s="72" t="s">
        <v>153</v>
      </c>
      <c r="B20" s="80">
        <v>0.12</v>
      </c>
      <c r="C20" s="80">
        <v>0.22</v>
      </c>
      <c r="D20" s="74"/>
      <c r="E20" s="74"/>
      <c r="F20" s="74">
        <v>0.54730000000000001</v>
      </c>
      <c r="G20" s="74"/>
      <c r="H20" s="7">
        <f>PREÇOS!J21</f>
        <v>6.7650000000000006</v>
      </c>
      <c r="I20" s="45">
        <f t="shared" si="0"/>
        <v>1.4910465899999996</v>
      </c>
      <c r="J20" s="46">
        <f t="shared" si="1"/>
        <v>1.4910465899999996</v>
      </c>
    </row>
    <row r="21" spans="1:10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PREÇOS!J22</f>
        <v>6.4012903225806452</v>
      </c>
      <c r="I21" s="43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PREÇOS!J23</f>
        <v>6.4012903225806452</v>
      </c>
      <c r="I22" s="43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PREÇOS!J24</f>
        <v>6.4012903225806452</v>
      </c>
      <c r="I23" s="43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7">
        <f>PREÇOS!J25</f>
        <v>6.7650000000000006</v>
      </c>
      <c r="I24" s="45">
        <f t="shared" si="0"/>
        <v>0</v>
      </c>
      <c r="J24" s="46">
        <f t="shared" si="1"/>
        <v>0</v>
      </c>
    </row>
    <row r="25" spans="1:10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7">
        <f>PREÇOS!J26</f>
        <v>6.7650000000000006</v>
      </c>
      <c r="I25" s="45">
        <f t="shared" si="0"/>
        <v>0</v>
      </c>
      <c r="J25" s="46">
        <f t="shared" si="1"/>
        <v>0</v>
      </c>
    </row>
    <row r="26" spans="1:10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PREÇOS!J27</f>
        <v>6.4012903225806452</v>
      </c>
      <c r="I26" s="43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80">
        <v>0.18</v>
      </c>
      <c r="D27" s="74"/>
      <c r="E27" s="74"/>
      <c r="F27" s="74">
        <v>0.46300000000000002</v>
      </c>
      <c r="G27" s="74"/>
      <c r="H27" s="7">
        <f>PREÇOS!J28</f>
        <v>6.7650000000000006</v>
      </c>
      <c r="I27" s="45">
        <f t="shared" si="0"/>
        <v>0.96969510000000025</v>
      </c>
      <c r="J27" s="46">
        <f t="shared" si="1"/>
        <v>0.96969510000000025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0.46300000000000002</v>
      </c>
      <c r="G28" s="47">
        <f t="shared" si="2"/>
        <v>0</v>
      </c>
      <c r="H28" s="7">
        <f>PREÇOS!J29</f>
        <v>6.7650000000000006</v>
      </c>
      <c r="I28" s="71">
        <f t="shared" si="0"/>
        <v>0.96969510000000025</v>
      </c>
      <c r="J28" s="69">
        <f t="shared" si="1"/>
        <v>0.96969510000000025</v>
      </c>
    </row>
    <row r="29" spans="1:10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PREÇOS!J30</f>
        <v>6.4012903225806452</v>
      </c>
      <c r="I29" s="43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PREÇOS!J31</f>
        <v>5.0410161290322577</v>
      </c>
      <c r="I30" s="43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0.17</v>
      </c>
      <c r="D2" s="74"/>
      <c r="E2" s="74"/>
      <c r="F2" s="74"/>
      <c r="G2" s="74"/>
      <c r="H2" s="7">
        <f>PREÇOS!K3</f>
        <v>6.4012903225806452</v>
      </c>
      <c r="I2" s="43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0.71</v>
      </c>
      <c r="G3" s="74"/>
      <c r="H3" s="7">
        <f>PREÇOS!K4</f>
        <v>6.4012903225806452</v>
      </c>
      <c r="I3" s="43">
        <f t="shared" si="0"/>
        <v>1.7411509677419355</v>
      </c>
      <c r="J3" s="4">
        <f t="shared" si="1"/>
        <v>1.7411509677419355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>
        <v>0.55379999999999996</v>
      </c>
      <c r="G4" s="74"/>
      <c r="H4" s="7">
        <f>PREÇOS!K5</f>
        <v>6.4012903225806452</v>
      </c>
      <c r="I4" s="43">
        <f t="shared" si="0"/>
        <v>1.541174658064516</v>
      </c>
      <c r="J4" s="4">
        <f t="shared" si="1"/>
        <v>1.541174658064516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/>
      <c r="G5" s="74"/>
      <c r="H5" s="7">
        <f>PREÇOS!K6</f>
        <v>6.4012903225806452</v>
      </c>
      <c r="I5" s="43">
        <f t="shared" si="0"/>
        <v>0</v>
      </c>
      <c r="J5" s="4">
        <f t="shared" si="1"/>
        <v>0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PREÇOS!K7</f>
        <v>6.4012903225806452</v>
      </c>
      <c r="I6" s="43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PREÇOS!K8</f>
        <v>6.4012903225806452</v>
      </c>
      <c r="I7" s="43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PREÇOS!K9</f>
        <v>6.4012903225806452</v>
      </c>
      <c r="I8" s="43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PREÇOS!K10</f>
        <v>6.4012903225806452</v>
      </c>
      <c r="I9" s="43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PREÇOS!K11</f>
        <v>6.4012903225806452</v>
      </c>
      <c r="I10" s="43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PREÇOS!K12</f>
        <v>6.4012903225806452</v>
      </c>
      <c r="I11" s="43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0.18</v>
      </c>
      <c r="D12" s="74"/>
      <c r="E12" s="74"/>
      <c r="F12" s="74">
        <v>0.44879999999999998</v>
      </c>
      <c r="G12" s="74"/>
      <c r="H12" s="7">
        <f>PREÇOS!K13</f>
        <v>6.7650000000000006</v>
      </c>
      <c r="I12" s="45">
        <f t="shared" si="0"/>
        <v>0.95240375999999971</v>
      </c>
      <c r="J12" s="46">
        <f t="shared" si="1"/>
        <v>0.95240375999999971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PREÇOS!K14</f>
        <v>6.4012903225806452</v>
      </c>
      <c r="I13" s="43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0.45519999999999999</v>
      </c>
      <c r="G14" s="74"/>
      <c r="H14" s="7">
        <f>PREÇOS!K15</f>
        <v>6.4012903225806452</v>
      </c>
      <c r="I14" s="43">
        <f t="shared" si="0"/>
        <v>1.1354864825806454</v>
      </c>
      <c r="J14" s="4">
        <f t="shared" si="1"/>
        <v>1.1354864825806454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PREÇOS!K16</f>
        <v>6.4012903225806452</v>
      </c>
      <c r="I15" s="43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PREÇOS!K17</f>
        <v>6.4012903225806452</v>
      </c>
      <c r="I16" s="43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PREÇOS!K18</f>
        <v>6.4012903225806452</v>
      </c>
      <c r="I17" s="43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PREÇOS!K19</f>
        <v>6.4012903225806452</v>
      </c>
      <c r="I18" s="43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80">
        <v>0.19500000000000001</v>
      </c>
      <c r="D19" s="74"/>
      <c r="E19" s="74"/>
      <c r="F19" s="74">
        <v>0.60799999999999998</v>
      </c>
      <c r="G19" s="74"/>
      <c r="H19" s="7">
        <f>PREÇOS!K20</f>
        <v>6.7650000000000006</v>
      </c>
      <c r="I19" s="45">
        <f t="shared" si="0"/>
        <v>1.3094334000000003</v>
      </c>
      <c r="J19" s="46">
        <f t="shared" si="1"/>
        <v>1.3094334000000003</v>
      </c>
    </row>
    <row r="20" spans="1:10" x14ac:dyDescent="0.3">
      <c r="A20" s="72" t="s">
        <v>153</v>
      </c>
      <c r="B20" s="80">
        <v>0.12</v>
      </c>
      <c r="C20" s="80">
        <v>0.22</v>
      </c>
      <c r="D20" s="74"/>
      <c r="E20" s="74"/>
      <c r="F20" s="74">
        <v>0.54730000000000001</v>
      </c>
      <c r="G20" s="74"/>
      <c r="H20" s="7">
        <f>PREÇOS!K21</f>
        <v>6.7650000000000006</v>
      </c>
      <c r="I20" s="45">
        <f t="shared" si="0"/>
        <v>1.4910465899999996</v>
      </c>
      <c r="J20" s="46">
        <f t="shared" si="1"/>
        <v>1.4910465899999996</v>
      </c>
    </row>
    <row r="21" spans="1:10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PREÇOS!K22</f>
        <v>6.4012903225806452</v>
      </c>
      <c r="I21" s="43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PREÇOS!K23</f>
        <v>6.4012903225806452</v>
      </c>
      <c r="I22" s="43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PREÇOS!K24</f>
        <v>6.4012903225806452</v>
      </c>
      <c r="I23" s="43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7">
        <f>PREÇOS!K25</f>
        <v>6.7650000000000006</v>
      </c>
      <c r="I24" s="45">
        <f t="shared" si="0"/>
        <v>0</v>
      </c>
      <c r="J24" s="46">
        <f t="shared" si="1"/>
        <v>0</v>
      </c>
    </row>
    <row r="25" spans="1:10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7">
        <f>PREÇOS!K26</f>
        <v>6.7650000000000006</v>
      </c>
      <c r="I25" s="45">
        <f t="shared" si="0"/>
        <v>0</v>
      </c>
      <c r="J25" s="46">
        <f t="shared" si="1"/>
        <v>0</v>
      </c>
    </row>
    <row r="26" spans="1:10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PREÇOS!K27</f>
        <v>6.4012903225806452</v>
      </c>
      <c r="I26" s="43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80">
        <v>0.18</v>
      </c>
      <c r="D27" s="74"/>
      <c r="E27" s="74"/>
      <c r="F27" s="74">
        <v>0.46300000000000002</v>
      </c>
      <c r="G27" s="74"/>
      <c r="H27" s="7">
        <f>PREÇOS!K28</f>
        <v>6.7650000000000006</v>
      </c>
      <c r="I27" s="45">
        <f t="shared" si="0"/>
        <v>0.96969510000000025</v>
      </c>
      <c r="J27" s="46">
        <f t="shared" si="1"/>
        <v>0.96969510000000025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0.46300000000000002</v>
      </c>
      <c r="G28" s="47">
        <f t="shared" si="2"/>
        <v>0</v>
      </c>
      <c r="H28" s="7">
        <f>PREÇOS!K29</f>
        <v>6.7650000000000006</v>
      </c>
      <c r="I28" s="71">
        <f t="shared" si="0"/>
        <v>0.96969510000000025</v>
      </c>
      <c r="J28" s="69">
        <f t="shared" si="1"/>
        <v>0.96969510000000025</v>
      </c>
    </row>
    <row r="29" spans="1:10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PREÇOS!K30</f>
        <v>6.4012903225806452</v>
      </c>
      <c r="I29" s="43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PREÇOS!K31</f>
        <v>5.0410161290322577</v>
      </c>
      <c r="I30" s="43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0.17</v>
      </c>
      <c r="D2" s="74"/>
      <c r="E2" s="74"/>
      <c r="F2" s="74"/>
      <c r="G2" s="74"/>
      <c r="H2" s="7">
        <f>PREÇOS!L3</f>
        <v>15.31881290322581</v>
      </c>
      <c r="I2" s="43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0.71</v>
      </c>
      <c r="G3" s="74"/>
      <c r="H3" s="7">
        <f>PREÇOS!L4</f>
        <v>15.31881290322581</v>
      </c>
      <c r="I3" s="43">
        <f t="shared" si="0"/>
        <v>4.1667171096774203</v>
      </c>
      <c r="J3" s="4">
        <f t="shared" si="1"/>
        <v>4.1667171096774203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>
        <v>0.55379999999999996</v>
      </c>
      <c r="G4" s="74"/>
      <c r="H4" s="7">
        <f>PREÇOS!L5</f>
        <v>15.31881290322581</v>
      </c>
      <c r="I4" s="43">
        <f t="shared" si="0"/>
        <v>3.6881573945806458</v>
      </c>
      <c r="J4" s="4">
        <f t="shared" si="1"/>
        <v>3.6881573945806458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/>
      <c r="G5" s="74"/>
      <c r="H5" s="7">
        <f>PREÇOS!L6</f>
        <v>15.31881290322581</v>
      </c>
      <c r="I5" s="43">
        <f t="shared" si="0"/>
        <v>0</v>
      </c>
      <c r="J5" s="4">
        <f t="shared" si="1"/>
        <v>0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PREÇOS!L7</f>
        <v>15.31881290322581</v>
      </c>
      <c r="I6" s="43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PREÇOS!L8</f>
        <v>15.31881290322581</v>
      </c>
      <c r="I7" s="43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PREÇOS!L9</f>
        <v>15.31881290322581</v>
      </c>
      <c r="I8" s="43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PREÇOS!L10</f>
        <v>15.31881290322581</v>
      </c>
      <c r="I9" s="43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PREÇOS!L11</f>
        <v>15.31881290322581</v>
      </c>
      <c r="I10" s="43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PREÇOS!L12</f>
        <v>15.31881290322581</v>
      </c>
      <c r="I11" s="43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0.18</v>
      </c>
      <c r="D12" s="74"/>
      <c r="E12" s="74"/>
      <c r="F12" s="74">
        <v>0.44879999999999998</v>
      </c>
      <c r="G12" s="74"/>
      <c r="H12" s="7">
        <f>PREÇOS!L13</f>
        <v>16.1892</v>
      </c>
      <c r="I12" s="45">
        <f t="shared" si="0"/>
        <v>2.2791803327999993</v>
      </c>
      <c r="J12" s="46">
        <f t="shared" si="1"/>
        <v>2.2791803327999993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PREÇOS!L14</f>
        <v>15.31881290322581</v>
      </c>
      <c r="I13" s="43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0.45519999999999999</v>
      </c>
      <c r="G14" s="74"/>
      <c r="H14" s="7">
        <f>PREÇOS!L15</f>
        <v>15.31881290322581</v>
      </c>
      <c r="I14" s="43">
        <f t="shared" si="0"/>
        <v>2.7173123080258073</v>
      </c>
      <c r="J14" s="4">
        <f t="shared" si="1"/>
        <v>2.7173123080258073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PREÇOS!L16</f>
        <v>15.31881290322581</v>
      </c>
      <c r="I15" s="43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PREÇOS!L17</f>
        <v>15.31881290322581</v>
      </c>
      <c r="I16" s="43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PREÇOS!L18</f>
        <v>15.31881290322581</v>
      </c>
      <c r="I17" s="43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PREÇOS!L19</f>
        <v>15.31881290322581</v>
      </c>
      <c r="I18" s="43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80">
        <v>0.19500000000000001</v>
      </c>
      <c r="D19" s="74"/>
      <c r="E19" s="74"/>
      <c r="F19" s="74">
        <v>0.60799999999999998</v>
      </c>
      <c r="G19" s="74"/>
      <c r="H19" s="7">
        <f>PREÇOS!L20</f>
        <v>16.1892</v>
      </c>
      <c r="I19" s="45">
        <f t="shared" si="0"/>
        <v>3.1335815520000008</v>
      </c>
      <c r="J19" s="46">
        <f t="shared" si="1"/>
        <v>3.1335815520000008</v>
      </c>
    </row>
    <row r="20" spans="1:10" x14ac:dyDescent="0.3">
      <c r="A20" s="72" t="s">
        <v>153</v>
      </c>
      <c r="B20" s="80">
        <v>0.12</v>
      </c>
      <c r="C20" s="80">
        <v>0.22</v>
      </c>
      <c r="D20" s="74"/>
      <c r="E20" s="74"/>
      <c r="F20" s="74">
        <v>0.54730000000000001</v>
      </c>
      <c r="G20" s="74"/>
      <c r="H20" s="7">
        <f>PREÇOS!L21</f>
        <v>16.1892</v>
      </c>
      <c r="I20" s="45">
        <f t="shared" si="0"/>
        <v>3.5681968151999994</v>
      </c>
      <c r="J20" s="46">
        <f t="shared" si="1"/>
        <v>3.5681968151999994</v>
      </c>
    </row>
    <row r="21" spans="1:10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PREÇOS!L22</f>
        <v>15.31881290322581</v>
      </c>
      <c r="I21" s="43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PREÇOS!L23</f>
        <v>15.31881290322581</v>
      </c>
      <c r="I22" s="43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PREÇOS!L24</f>
        <v>15.31881290322581</v>
      </c>
      <c r="I23" s="43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7">
        <f>PREÇOS!L25</f>
        <v>16.1892</v>
      </c>
      <c r="I24" s="45">
        <f t="shared" si="0"/>
        <v>0</v>
      </c>
      <c r="J24" s="46">
        <f t="shared" si="1"/>
        <v>0</v>
      </c>
    </row>
    <row r="25" spans="1:10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7">
        <f>PREÇOS!L26</f>
        <v>16.1892</v>
      </c>
      <c r="I25" s="45">
        <f t="shared" si="0"/>
        <v>0</v>
      </c>
      <c r="J25" s="46">
        <f t="shared" si="1"/>
        <v>0</v>
      </c>
    </row>
    <row r="26" spans="1:10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PREÇOS!L27</f>
        <v>15.31881290322581</v>
      </c>
      <c r="I26" s="43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80">
        <v>0.18</v>
      </c>
      <c r="D27" s="74"/>
      <c r="E27" s="74"/>
      <c r="F27" s="74">
        <v>0.46300000000000002</v>
      </c>
      <c r="G27" s="74"/>
      <c r="H27" s="7">
        <f>PREÇOS!L28</f>
        <v>16.1892</v>
      </c>
      <c r="I27" s="45">
        <f t="shared" si="0"/>
        <v>2.3205599279999998</v>
      </c>
      <c r="J27" s="46">
        <f t="shared" si="1"/>
        <v>2.3205599279999998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0.46300000000000002</v>
      </c>
      <c r="G28" s="47">
        <f t="shared" si="2"/>
        <v>0</v>
      </c>
      <c r="H28" s="7">
        <f>PREÇOS!L29</f>
        <v>16.1892</v>
      </c>
      <c r="I28" s="71">
        <f t="shared" si="0"/>
        <v>2.3205599279999998</v>
      </c>
      <c r="J28" s="69">
        <f t="shared" si="1"/>
        <v>2.3205599279999998</v>
      </c>
    </row>
    <row r="29" spans="1:10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PREÇOS!L30</f>
        <v>15.31881290322581</v>
      </c>
      <c r="I29" s="43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PREÇOS!L31</f>
        <v>12.06356516129032</v>
      </c>
      <c r="I30" s="43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6"/>
  <dimension ref="A1:V34"/>
  <sheetViews>
    <sheetView topLeftCell="G1" zoomScaleNormal="100" workbookViewId="0">
      <selection activeCell="N3" sqref="N3:N30"/>
    </sheetView>
  </sheetViews>
  <sheetFormatPr defaultRowHeight="14.4" x14ac:dyDescent="0.3"/>
  <cols>
    <col min="1" max="15" width="18.44140625" customWidth="1"/>
  </cols>
  <sheetData>
    <row r="1" spans="1:22" ht="15.6" customHeight="1" x14ac:dyDescent="0.3">
      <c r="A1" s="49" t="s">
        <v>7</v>
      </c>
      <c r="B1" s="50" t="s">
        <v>7</v>
      </c>
      <c r="C1" s="51"/>
      <c r="D1" s="51"/>
      <c r="E1" s="51"/>
      <c r="F1" s="51"/>
      <c r="G1" s="81"/>
      <c r="H1" s="51"/>
      <c r="I1" s="51">
        <v>1.1000000000000001</v>
      </c>
      <c r="J1" s="51"/>
      <c r="K1" s="51"/>
      <c r="L1" s="51"/>
      <c r="M1" s="51"/>
      <c r="N1" s="51">
        <v>1.05</v>
      </c>
      <c r="O1" s="51"/>
    </row>
    <row r="2" spans="1:22" ht="31.2" customHeight="1" x14ac:dyDescent="0.3">
      <c r="A2" s="52" t="s">
        <v>126</v>
      </c>
      <c r="B2" s="82" t="s">
        <v>165</v>
      </c>
      <c r="C2" s="52" t="s">
        <v>166</v>
      </c>
      <c r="D2" s="82" t="s">
        <v>167</v>
      </c>
      <c r="E2" s="52" t="s">
        <v>168</v>
      </c>
      <c r="F2" s="52" t="s">
        <v>169</v>
      </c>
      <c r="G2" s="83" t="s">
        <v>170</v>
      </c>
      <c r="H2" s="1" t="s">
        <v>171</v>
      </c>
      <c r="I2" s="53" t="s">
        <v>172</v>
      </c>
      <c r="J2" s="83" t="s">
        <v>173</v>
      </c>
      <c r="K2" s="84" t="s">
        <v>174</v>
      </c>
      <c r="L2" s="84" t="s">
        <v>175</v>
      </c>
      <c r="M2" s="1" t="s">
        <v>176</v>
      </c>
      <c r="N2" s="1" t="s">
        <v>177</v>
      </c>
      <c r="O2" s="1" t="s">
        <v>178</v>
      </c>
      <c r="P2" t="s">
        <v>179</v>
      </c>
      <c r="Q2" t="s">
        <v>180</v>
      </c>
      <c r="R2" t="s">
        <v>181</v>
      </c>
      <c r="S2" t="s">
        <v>182</v>
      </c>
      <c r="T2" t="s">
        <v>183</v>
      </c>
      <c r="U2" t="s">
        <v>184</v>
      </c>
      <c r="V2" t="s">
        <v>185</v>
      </c>
    </row>
    <row r="3" spans="1:22" x14ac:dyDescent="0.3">
      <c r="A3" s="8" t="s">
        <v>136</v>
      </c>
      <c r="B3" s="9">
        <v>6.24</v>
      </c>
      <c r="C3" s="9">
        <v>3.7198451612903218</v>
      </c>
      <c r="D3" s="9">
        <v>13.348800000000001</v>
      </c>
      <c r="E3" s="9">
        <v>8.1556129032258067</v>
      </c>
      <c r="F3" s="10">
        <v>11.723870967741931</v>
      </c>
      <c r="G3" s="10">
        <v>7.05</v>
      </c>
      <c r="H3" s="10">
        <v>8.5047741935483874</v>
      </c>
      <c r="I3" s="9">
        <v>8.9</v>
      </c>
      <c r="J3" s="10">
        <v>6.4012903225806452</v>
      </c>
      <c r="K3" s="10">
        <v>6.4012903225806452</v>
      </c>
      <c r="L3" s="10">
        <v>15.31881290322581</v>
      </c>
      <c r="M3" s="6">
        <v>6.24</v>
      </c>
      <c r="N3" s="10">
        <v>12.244301075268821</v>
      </c>
      <c r="O3" s="6">
        <v>4.8258064516129027</v>
      </c>
      <c r="P3">
        <v>4.731182795698925</v>
      </c>
      <c r="Q3">
        <v>3.1225806451612899</v>
      </c>
      <c r="R3">
        <v>3.7470967741935479</v>
      </c>
      <c r="S3">
        <v>17</v>
      </c>
      <c r="T3">
        <v>15</v>
      </c>
      <c r="U3">
        <v>19</v>
      </c>
      <c r="V3">
        <v>28.29</v>
      </c>
    </row>
    <row r="4" spans="1:22" x14ac:dyDescent="0.3">
      <c r="A4" s="8" t="s">
        <v>137</v>
      </c>
      <c r="B4" s="9">
        <v>6.24</v>
      </c>
      <c r="C4" s="9">
        <v>3.7198451612903218</v>
      </c>
      <c r="D4" s="9">
        <v>13.348800000000001</v>
      </c>
      <c r="E4" s="9">
        <v>8.1556129032258067</v>
      </c>
      <c r="F4" s="10">
        <v>11.723870967741931</v>
      </c>
      <c r="G4" s="10">
        <v>7.05</v>
      </c>
      <c r="H4" s="10">
        <v>8.5047741935483874</v>
      </c>
      <c r="I4" s="9">
        <v>8.9</v>
      </c>
      <c r="J4" s="10">
        <v>6.4012903225806452</v>
      </c>
      <c r="K4" s="10">
        <v>6.4012903225806452</v>
      </c>
      <c r="L4" s="10">
        <v>15.31881290322581</v>
      </c>
      <c r="M4" s="6">
        <v>6.24</v>
      </c>
      <c r="N4" s="10">
        <v>12.244301075268821</v>
      </c>
      <c r="O4" s="6">
        <v>4.8258064516129027</v>
      </c>
      <c r="P4">
        <v>4.731182795698925</v>
      </c>
      <c r="Q4">
        <v>3.1225806451612899</v>
      </c>
      <c r="R4">
        <v>3.7470967741935479</v>
      </c>
      <c r="S4">
        <v>17</v>
      </c>
      <c r="T4">
        <v>15</v>
      </c>
      <c r="U4">
        <v>19</v>
      </c>
      <c r="V4">
        <v>28.29</v>
      </c>
    </row>
    <row r="5" spans="1:22" x14ac:dyDescent="0.3">
      <c r="A5" s="8" t="s">
        <v>138</v>
      </c>
      <c r="B5" s="9">
        <v>6.24</v>
      </c>
      <c r="C5" s="9">
        <v>3.7198451612903218</v>
      </c>
      <c r="D5" s="9">
        <v>13.348800000000001</v>
      </c>
      <c r="E5" s="9">
        <v>8.1556129032258067</v>
      </c>
      <c r="F5" s="10">
        <v>11.723870967741931</v>
      </c>
      <c r="G5" s="10">
        <v>7.05</v>
      </c>
      <c r="H5" s="10">
        <v>8.5047741935483874</v>
      </c>
      <c r="I5" s="9">
        <v>8.9</v>
      </c>
      <c r="J5" s="10">
        <v>6.4012903225806452</v>
      </c>
      <c r="K5" s="10">
        <v>6.4012903225806452</v>
      </c>
      <c r="L5" s="10">
        <v>15.31881290322581</v>
      </c>
      <c r="M5" s="6">
        <v>6.24</v>
      </c>
      <c r="N5" s="10">
        <v>12.244301075268821</v>
      </c>
      <c r="O5" s="6">
        <v>4.8258064516129027</v>
      </c>
      <c r="P5">
        <v>4.731182795698925</v>
      </c>
      <c r="Q5">
        <v>3.1225806451612899</v>
      </c>
      <c r="R5">
        <v>3.7470967741935479</v>
      </c>
      <c r="S5">
        <v>17</v>
      </c>
      <c r="T5">
        <v>15</v>
      </c>
      <c r="U5">
        <v>19</v>
      </c>
      <c r="V5">
        <v>28.29</v>
      </c>
    </row>
    <row r="6" spans="1:22" x14ac:dyDescent="0.3">
      <c r="A6" s="8" t="s">
        <v>139</v>
      </c>
      <c r="B6" s="9">
        <v>6.24</v>
      </c>
      <c r="C6" s="9">
        <v>3.7198451612903218</v>
      </c>
      <c r="D6" s="9">
        <v>13.348800000000001</v>
      </c>
      <c r="E6" s="9">
        <v>8.1556129032258067</v>
      </c>
      <c r="F6" s="10">
        <v>11.723870967741931</v>
      </c>
      <c r="G6" s="10">
        <v>7.05</v>
      </c>
      <c r="H6" s="10">
        <v>8.5047741935483874</v>
      </c>
      <c r="I6" s="9">
        <v>8.9</v>
      </c>
      <c r="J6" s="10">
        <v>6.4012903225806452</v>
      </c>
      <c r="K6" s="10">
        <v>6.4012903225806452</v>
      </c>
      <c r="L6" s="10">
        <v>15.31881290322581</v>
      </c>
      <c r="M6" s="6">
        <v>6.24</v>
      </c>
      <c r="N6" s="10">
        <v>12.244301075268821</v>
      </c>
      <c r="O6" s="6">
        <v>4.8258064516129027</v>
      </c>
      <c r="P6">
        <v>4.731182795698925</v>
      </c>
      <c r="Q6">
        <v>3.1225806451612899</v>
      </c>
      <c r="R6">
        <v>3.7470967741935479</v>
      </c>
      <c r="S6">
        <v>17</v>
      </c>
      <c r="T6">
        <v>15</v>
      </c>
      <c r="U6">
        <v>19</v>
      </c>
      <c r="V6">
        <v>28.29</v>
      </c>
    </row>
    <row r="7" spans="1:22" x14ac:dyDescent="0.3">
      <c r="A7" s="8" t="s">
        <v>140</v>
      </c>
      <c r="B7" s="9">
        <v>6.24</v>
      </c>
      <c r="C7" s="9">
        <v>3.7198451612903218</v>
      </c>
      <c r="D7" s="9">
        <v>13.348800000000001</v>
      </c>
      <c r="E7" s="9">
        <v>8.1556129032258067</v>
      </c>
      <c r="F7" s="10">
        <v>11.723870967741931</v>
      </c>
      <c r="G7" s="10">
        <v>7.05</v>
      </c>
      <c r="H7" s="10">
        <v>8.5047741935483874</v>
      </c>
      <c r="I7" s="9">
        <v>8.9</v>
      </c>
      <c r="J7" s="10">
        <v>6.4012903225806452</v>
      </c>
      <c r="K7" s="10">
        <v>6.4012903225806452</v>
      </c>
      <c r="L7" s="10">
        <v>15.31881290322581</v>
      </c>
      <c r="M7" s="6">
        <v>6.24</v>
      </c>
      <c r="N7" s="10">
        <v>12.244301075268821</v>
      </c>
      <c r="O7" s="6">
        <v>4.8258064516129027</v>
      </c>
      <c r="P7">
        <v>4.731182795698925</v>
      </c>
      <c r="Q7">
        <v>3.1225806451612899</v>
      </c>
      <c r="R7">
        <v>3.7470967741935479</v>
      </c>
      <c r="S7">
        <v>17</v>
      </c>
      <c r="T7">
        <v>15</v>
      </c>
      <c r="U7">
        <v>19</v>
      </c>
      <c r="V7">
        <v>28.29</v>
      </c>
    </row>
    <row r="8" spans="1:22" x14ac:dyDescent="0.3">
      <c r="A8" s="8" t="s">
        <v>141</v>
      </c>
      <c r="B8" s="9">
        <v>6.24</v>
      </c>
      <c r="C8" s="9">
        <v>3.7198451612903218</v>
      </c>
      <c r="D8" s="9">
        <v>13.348800000000001</v>
      </c>
      <c r="E8" s="9">
        <v>8.1556129032258067</v>
      </c>
      <c r="F8" s="10">
        <v>11.723870967741931</v>
      </c>
      <c r="G8" s="10">
        <v>7.05</v>
      </c>
      <c r="H8" s="10">
        <v>8.5047741935483874</v>
      </c>
      <c r="I8" s="9">
        <v>8.9</v>
      </c>
      <c r="J8" s="10">
        <v>6.4012903225806452</v>
      </c>
      <c r="K8" s="10">
        <v>6.4012903225806452</v>
      </c>
      <c r="L8" s="10">
        <v>15.31881290322581</v>
      </c>
      <c r="M8" s="6">
        <v>6.24</v>
      </c>
      <c r="N8" s="10">
        <v>12.244301075268821</v>
      </c>
      <c r="O8" s="6">
        <v>4.8258064516129027</v>
      </c>
      <c r="P8">
        <v>4.731182795698925</v>
      </c>
      <c r="Q8">
        <v>3.1225806451612899</v>
      </c>
      <c r="R8">
        <v>3.7470967741935479</v>
      </c>
      <c r="S8">
        <v>17</v>
      </c>
      <c r="T8">
        <v>15</v>
      </c>
      <c r="U8">
        <v>19</v>
      </c>
      <c r="V8">
        <v>28.29</v>
      </c>
    </row>
    <row r="9" spans="1:22" x14ac:dyDescent="0.3">
      <c r="A9" s="8" t="s">
        <v>142</v>
      </c>
      <c r="B9" s="9">
        <v>6.24</v>
      </c>
      <c r="C9" s="9">
        <v>3.7198451612903218</v>
      </c>
      <c r="D9" s="9">
        <v>13.348800000000001</v>
      </c>
      <c r="E9" s="9">
        <v>8.1556129032258067</v>
      </c>
      <c r="F9" s="10">
        <v>11.723870967741931</v>
      </c>
      <c r="G9" s="10">
        <v>7.05</v>
      </c>
      <c r="H9" s="10">
        <v>8.5047741935483874</v>
      </c>
      <c r="I9" s="9">
        <v>8.9</v>
      </c>
      <c r="J9" s="10">
        <v>6.4012903225806452</v>
      </c>
      <c r="K9" s="10">
        <v>6.4012903225806452</v>
      </c>
      <c r="L9" s="10">
        <v>15.31881290322581</v>
      </c>
      <c r="M9" s="6">
        <v>6.24</v>
      </c>
      <c r="N9" s="10">
        <v>12.244301075268821</v>
      </c>
      <c r="O9" s="6">
        <v>4.8258064516129027</v>
      </c>
      <c r="P9">
        <v>4.731182795698925</v>
      </c>
      <c r="Q9">
        <v>3.1225806451612899</v>
      </c>
      <c r="R9">
        <v>3.7470967741935479</v>
      </c>
      <c r="S9">
        <v>17</v>
      </c>
      <c r="T9">
        <v>15</v>
      </c>
      <c r="U9">
        <v>19</v>
      </c>
      <c r="V9">
        <v>28.29</v>
      </c>
    </row>
    <row r="10" spans="1:22" x14ac:dyDescent="0.3">
      <c r="A10" s="11" t="s">
        <v>143</v>
      </c>
      <c r="B10" s="9">
        <v>6.24</v>
      </c>
      <c r="C10" s="9">
        <v>3.7198451612903218</v>
      </c>
      <c r="D10" s="9">
        <v>13.348800000000001</v>
      </c>
      <c r="E10" s="9">
        <v>8.1556129032258067</v>
      </c>
      <c r="F10" s="10">
        <v>11.723870967741931</v>
      </c>
      <c r="G10" s="10">
        <v>7.05</v>
      </c>
      <c r="H10" s="10">
        <v>8.5047741935483874</v>
      </c>
      <c r="I10" s="9">
        <v>8.9</v>
      </c>
      <c r="J10" s="85">
        <v>6.4012903225806452</v>
      </c>
      <c r="K10" s="85">
        <v>6.4012903225806452</v>
      </c>
      <c r="L10" s="85">
        <v>15.31881290322581</v>
      </c>
      <c r="M10" s="6">
        <v>6.24</v>
      </c>
      <c r="N10" s="10">
        <v>12.244301075268821</v>
      </c>
      <c r="O10" s="6">
        <v>4.8258064516129027</v>
      </c>
      <c r="P10">
        <v>4.731182795698925</v>
      </c>
      <c r="Q10">
        <v>3.1225806451612899</v>
      </c>
      <c r="R10">
        <v>3.7470967741935479</v>
      </c>
      <c r="S10">
        <v>17</v>
      </c>
      <c r="T10">
        <v>15</v>
      </c>
      <c r="U10">
        <v>19</v>
      </c>
      <c r="V10">
        <v>28.29</v>
      </c>
    </row>
    <row r="11" spans="1:22" x14ac:dyDescent="0.3">
      <c r="A11" s="8" t="s">
        <v>144</v>
      </c>
      <c r="B11" s="9">
        <v>6.24</v>
      </c>
      <c r="C11" s="9">
        <v>3.7198451612903218</v>
      </c>
      <c r="D11" s="9">
        <v>13.348800000000001</v>
      </c>
      <c r="E11" s="9">
        <v>8.1556129032258067</v>
      </c>
      <c r="F11" s="10">
        <v>11.723870967741931</v>
      </c>
      <c r="G11" s="10">
        <v>7.05</v>
      </c>
      <c r="H11" s="10">
        <v>8.5047741935483874</v>
      </c>
      <c r="I11" s="9">
        <v>8.9</v>
      </c>
      <c r="J11" s="10">
        <v>6.4012903225806452</v>
      </c>
      <c r="K11" s="10">
        <v>6.4012903225806452</v>
      </c>
      <c r="L11" s="10">
        <v>15.31881290322581</v>
      </c>
      <c r="M11" s="6">
        <v>6.24</v>
      </c>
      <c r="N11" s="10">
        <v>12.244301075268821</v>
      </c>
      <c r="O11" s="6">
        <v>4.8258064516129027</v>
      </c>
      <c r="P11">
        <v>4.731182795698925</v>
      </c>
      <c r="Q11">
        <v>3.1225806451612899</v>
      </c>
      <c r="R11">
        <v>3.7470967741935479</v>
      </c>
      <c r="S11">
        <v>17</v>
      </c>
      <c r="T11">
        <v>15</v>
      </c>
      <c r="U11">
        <v>19</v>
      </c>
      <c r="V11">
        <v>28.29</v>
      </c>
    </row>
    <row r="12" spans="1:22" x14ac:dyDescent="0.3">
      <c r="A12" s="8" t="s">
        <v>145</v>
      </c>
      <c r="B12" s="9">
        <v>6.24</v>
      </c>
      <c r="C12" s="9">
        <v>3.7198451612903218</v>
      </c>
      <c r="D12" s="9">
        <v>13.348800000000001</v>
      </c>
      <c r="E12" s="9">
        <v>8.1556129032258067</v>
      </c>
      <c r="F12" s="10">
        <v>11.723870967741931</v>
      </c>
      <c r="G12" s="10">
        <v>7.05</v>
      </c>
      <c r="H12" s="10">
        <v>8.5047741935483874</v>
      </c>
      <c r="I12" s="9">
        <v>8.9</v>
      </c>
      <c r="J12" s="10">
        <v>6.4012903225806452</v>
      </c>
      <c r="K12" s="10">
        <v>6.4012903225806452</v>
      </c>
      <c r="L12" s="10">
        <v>15.31881290322581</v>
      </c>
      <c r="M12" s="6">
        <v>6.24</v>
      </c>
      <c r="N12" s="10">
        <v>12.244301075268821</v>
      </c>
      <c r="O12" s="6">
        <v>4.8258064516129027</v>
      </c>
      <c r="P12">
        <v>4.731182795698925</v>
      </c>
      <c r="Q12">
        <v>3.1225806451612899</v>
      </c>
      <c r="R12">
        <v>3.7470967741935479</v>
      </c>
      <c r="S12">
        <v>17</v>
      </c>
      <c r="T12">
        <v>15</v>
      </c>
      <c r="U12">
        <v>19</v>
      </c>
      <c r="V12">
        <v>28.29</v>
      </c>
    </row>
    <row r="13" spans="1:22" x14ac:dyDescent="0.3">
      <c r="A13" s="12" t="s">
        <v>146</v>
      </c>
      <c r="B13" s="9">
        <v>6.24</v>
      </c>
      <c r="C13" s="54">
        <v>3.9312</v>
      </c>
      <c r="D13" s="9">
        <v>13.348800000000001</v>
      </c>
      <c r="E13" s="54">
        <v>8.6189999999999998</v>
      </c>
      <c r="F13" s="55">
        <v>12.39</v>
      </c>
      <c r="G13" s="55">
        <v>7.5</v>
      </c>
      <c r="H13" s="55">
        <v>8.9880000000000013</v>
      </c>
      <c r="I13" s="9">
        <v>8.9</v>
      </c>
      <c r="J13" s="55">
        <v>6.7650000000000006</v>
      </c>
      <c r="K13" s="55">
        <v>6.7650000000000006</v>
      </c>
      <c r="L13" s="55">
        <v>16.1892</v>
      </c>
      <c r="M13" s="55">
        <v>6.24</v>
      </c>
      <c r="N13" s="55">
        <v>12.94</v>
      </c>
      <c r="O13" s="6">
        <v>5.0999999999999996</v>
      </c>
      <c r="P13">
        <v>5</v>
      </c>
      <c r="Q13">
        <v>3.3</v>
      </c>
      <c r="R13">
        <v>3.96</v>
      </c>
      <c r="S13">
        <v>17</v>
      </c>
      <c r="T13">
        <v>15</v>
      </c>
      <c r="U13">
        <v>19</v>
      </c>
      <c r="V13">
        <v>28.29</v>
      </c>
    </row>
    <row r="14" spans="1:22" x14ac:dyDescent="0.3">
      <c r="A14" s="8" t="s">
        <v>147</v>
      </c>
      <c r="B14" s="9">
        <v>6.24</v>
      </c>
      <c r="C14" s="9">
        <v>3.7198451612903218</v>
      </c>
      <c r="D14" s="9">
        <v>13.348800000000001</v>
      </c>
      <c r="E14" s="9">
        <v>8.1556129032258067</v>
      </c>
      <c r="F14" s="10">
        <v>11.723870967741931</v>
      </c>
      <c r="G14" s="10">
        <v>7.05</v>
      </c>
      <c r="H14" s="10">
        <v>8.5047741935483874</v>
      </c>
      <c r="I14" s="9">
        <v>8.9</v>
      </c>
      <c r="J14" s="10">
        <v>6.4012903225806452</v>
      </c>
      <c r="K14" s="10">
        <v>6.4012903225806452</v>
      </c>
      <c r="L14" s="10">
        <v>15.31881290322581</v>
      </c>
      <c r="M14" s="6">
        <v>6.24</v>
      </c>
      <c r="N14" s="10">
        <v>12.244301075268821</v>
      </c>
      <c r="O14" s="6">
        <v>4.8258064516129027</v>
      </c>
      <c r="P14">
        <v>4.731182795698925</v>
      </c>
      <c r="Q14">
        <v>3.1225806451612899</v>
      </c>
      <c r="R14">
        <v>3.7470967741935479</v>
      </c>
      <c r="S14">
        <v>17</v>
      </c>
      <c r="T14">
        <v>15</v>
      </c>
      <c r="U14">
        <v>19</v>
      </c>
      <c r="V14">
        <v>28.29</v>
      </c>
    </row>
    <row r="15" spans="1:22" x14ac:dyDescent="0.3">
      <c r="A15" s="8" t="s">
        <v>148</v>
      </c>
      <c r="B15" s="9">
        <v>6.24</v>
      </c>
      <c r="C15" s="9">
        <v>3.7198451612903218</v>
      </c>
      <c r="D15" s="9">
        <v>13.348800000000001</v>
      </c>
      <c r="E15" s="9">
        <v>8.1556129032258067</v>
      </c>
      <c r="F15" s="10">
        <v>11.723870967741931</v>
      </c>
      <c r="G15" s="10">
        <v>7.05</v>
      </c>
      <c r="H15" s="10">
        <v>8.5047741935483874</v>
      </c>
      <c r="I15" s="9">
        <v>8.9</v>
      </c>
      <c r="J15" s="10">
        <v>6.4012903225806452</v>
      </c>
      <c r="K15" s="10">
        <v>6.4012903225806452</v>
      </c>
      <c r="L15" s="10">
        <v>15.31881290322581</v>
      </c>
      <c r="M15" s="6">
        <v>6.24</v>
      </c>
      <c r="N15" s="10">
        <v>12.244301075268821</v>
      </c>
      <c r="O15" s="6">
        <v>4.8258064516129027</v>
      </c>
      <c r="P15">
        <v>4.731182795698925</v>
      </c>
      <c r="Q15">
        <v>3.1225806451612899</v>
      </c>
      <c r="R15">
        <v>3.7470967741935479</v>
      </c>
      <c r="S15">
        <v>17</v>
      </c>
      <c r="T15">
        <v>15</v>
      </c>
      <c r="U15">
        <v>19</v>
      </c>
      <c r="V15">
        <v>28.29</v>
      </c>
    </row>
    <row r="16" spans="1:22" x14ac:dyDescent="0.3">
      <c r="A16" s="8" t="s">
        <v>149</v>
      </c>
      <c r="B16" s="9">
        <v>6.24</v>
      </c>
      <c r="C16" s="9">
        <v>3.7198451612903218</v>
      </c>
      <c r="D16" s="9">
        <v>13.348800000000001</v>
      </c>
      <c r="E16" s="9">
        <v>8.1556129032258067</v>
      </c>
      <c r="F16" s="10">
        <v>11.723870967741931</v>
      </c>
      <c r="G16" s="10">
        <v>7.05</v>
      </c>
      <c r="H16" s="10">
        <v>8.5047741935483874</v>
      </c>
      <c r="I16" s="9">
        <v>8.9</v>
      </c>
      <c r="J16" s="10">
        <v>6.4012903225806452</v>
      </c>
      <c r="K16" s="10">
        <v>6.4012903225806452</v>
      </c>
      <c r="L16" s="10">
        <v>15.31881290322581</v>
      </c>
      <c r="M16" s="6">
        <v>6.24</v>
      </c>
      <c r="N16" s="10">
        <v>12.244301075268821</v>
      </c>
      <c r="O16" s="6">
        <v>4.8258064516129027</v>
      </c>
      <c r="P16">
        <v>4.731182795698925</v>
      </c>
      <c r="Q16">
        <v>3.1225806451612899</v>
      </c>
      <c r="R16">
        <v>3.7470967741935479</v>
      </c>
      <c r="S16">
        <v>17</v>
      </c>
      <c r="T16">
        <v>15</v>
      </c>
      <c r="U16">
        <v>19</v>
      </c>
      <c r="V16">
        <v>28.29</v>
      </c>
    </row>
    <row r="17" spans="1:22" x14ac:dyDescent="0.3">
      <c r="A17" s="8" t="s">
        <v>150</v>
      </c>
      <c r="B17" s="9">
        <v>6.24</v>
      </c>
      <c r="C17" s="9">
        <v>3.7198451612903218</v>
      </c>
      <c r="D17" s="9">
        <v>13.348800000000001</v>
      </c>
      <c r="E17" s="9">
        <v>8.1556129032258067</v>
      </c>
      <c r="F17" s="10">
        <v>11.723870967741931</v>
      </c>
      <c r="G17" s="10">
        <v>7.05</v>
      </c>
      <c r="H17" s="10">
        <v>8.5047741935483874</v>
      </c>
      <c r="I17" s="9">
        <v>8.9</v>
      </c>
      <c r="J17" s="10">
        <v>6.4012903225806452</v>
      </c>
      <c r="K17" s="10">
        <v>6.4012903225806452</v>
      </c>
      <c r="L17" s="10">
        <v>15.31881290322581</v>
      </c>
      <c r="M17" s="6">
        <v>6.24</v>
      </c>
      <c r="N17" s="10">
        <v>12.244301075268821</v>
      </c>
      <c r="O17" s="6">
        <v>4.8258064516129027</v>
      </c>
      <c r="P17">
        <v>4.731182795698925</v>
      </c>
      <c r="Q17">
        <v>3.1225806451612899</v>
      </c>
      <c r="R17">
        <v>3.7470967741935479</v>
      </c>
      <c r="S17">
        <v>17</v>
      </c>
      <c r="T17">
        <v>15</v>
      </c>
      <c r="U17">
        <v>19</v>
      </c>
      <c r="V17">
        <v>28.29</v>
      </c>
    </row>
    <row r="18" spans="1:22" x14ac:dyDescent="0.3">
      <c r="A18" s="8" t="s">
        <v>151</v>
      </c>
      <c r="B18" s="9">
        <v>6.24</v>
      </c>
      <c r="C18" s="9">
        <v>3.7198451612903218</v>
      </c>
      <c r="D18" s="9">
        <v>13.348800000000001</v>
      </c>
      <c r="E18" s="9">
        <v>8.1556129032258067</v>
      </c>
      <c r="F18" s="10">
        <v>11.723870967741931</v>
      </c>
      <c r="G18" s="10">
        <v>7.05</v>
      </c>
      <c r="H18" s="10">
        <v>8.5047741935483874</v>
      </c>
      <c r="I18" s="9">
        <v>8.9</v>
      </c>
      <c r="J18" s="10">
        <v>6.4012903225806452</v>
      </c>
      <c r="K18" s="10">
        <v>6.4012903225806452</v>
      </c>
      <c r="L18" s="10">
        <v>15.31881290322581</v>
      </c>
      <c r="M18" s="6">
        <v>6.24</v>
      </c>
      <c r="N18" s="10">
        <v>12.244301075268821</v>
      </c>
      <c r="O18" s="6">
        <v>4.8258064516129027</v>
      </c>
      <c r="P18">
        <v>4.731182795698925</v>
      </c>
      <c r="Q18">
        <v>3.1225806451612899</v>
      </c>
      <c r="R18">
        <v>3.7470967741935479</v>
      </c>
      <c r="S18">
        <v>17</v>
      </c>
      <c r="T18">
        <v>15</v>
      </c>
      <c r="U18">
        <v>19</v>
      </c>
      <c r="V18">
        <v>28.29</v>
      </c>
    </row>
    <row r="19" spans="1:22" x14ac:dyDescent="0.3">
      <c r="A19" s="8" t="s">
        <v>152</v>
      </c>
      <c r="B19" s="9">
        <v>6.24</v>
      </c>
      <c r="C19" s="9">
        <v>3.7198451612903218</v>
      </c>
      <c r="D19" s="9">
        <v>13.348800000000001</v>
      </c>
      <c r="E19" s="9">
        <v>8.1556129032258067</v>
      </c>
      <c r="F19" s="10">
        <v>11.723870967741931</v>
      </c>
      <c r="G19" s="10">
        <v>7.05</v>
      </c>
      <c r="H19" s="10">
        <v>8.5047741935483874</v>
      </c>
      <c r="I19" s="9">
        <v>8.9</v>
      </c>
      <c r="J19" s="10">
        <v>6.4012903225806452</v>
      </c>
      <c r="K19" s="10">
        <v>6.4012903225806452</v>
      </c>
      <c r="L19" s="10">
        <v>15.31881290322581</v>
      </c>
      <c r="M19" s="6">
        <v>6.24</v>
      </c>
      <c r="N19" s="10">
        <v>12.244301075268821</v>
      </c>
      <c r="O19" s="6">
        <v>4.8258064516129027</v>
      </c>
      <c r="P19">
        <v>4.731182795698925</v>
      </c>
      <c r="Q19">
        <v>3.1225806451612899</v>
      </c>
      <c r="R19">
        <v>3.7470967741935479</v>
      </c>
      <c r="S19">
        <v>17</v>
      </c>
      <c r="T19">
        <v>15</v>
      </c>
      <c r="U19">
        <v>19</v>
      </c>
      <c r="V19">
        <v>28.29</v>
      </c>
    </row>
    <row r="20" spans="1:22" x14ac:dyDescent="0.3">
      <c r="A20" s="13" t="s">
        <v>5</v>
      </c>
      <c r="B20" s="14">
        <v>6.8072727272727276</v>
      </c>
      <c r="C20" s="54">
        <v>3.9312</v>
      </c>
      <c r="D20" s="14">
        <v>14.56232727272727</v>
      </c>
      <c r="E20" s="54">
        <v>8.6189999999999998</v>
      </c>
      <c r="F20" s="55">
        <v>12.39</v>
      </c>
      <c r="G20" s="55">
        <v>7.5</v>
      </c>
      <c r="H20" s="55">
        <v>8.9880000000000013</v>
      </c>
      <c r="I20" s="14">
        <v>9.709090909090909</v>
      </c>
      <c r="J20" s="55">
        <v>6.7650000000000006</v>
      </c>
      <c r="K20" s="55">
        <v>6.7650000000000006</v>
      </c>
      <c r="L20" s="55">
        <v>16.1892</v>
      </c>
      <c r="M20" s="55">
        <v>6.8072727272727276</v>
      </c>
      <c r="N20" s="55">
        <v>12.94</v>
      </c>
      <c r="O20" s="6">
        <v>5.0999999999999996</v>
      </c>
      <c r="P20">
        <v>5</v>
      </c>
      <c r="Q20">
        <v>3.3</v>
      </c>
      <c r="R20">
        <v>3.96</v>
      </c>
      <c r="S20">
        <v>18.54545454545455</v>
      </c>
      <c r="T20">
        <v>16.36363636363636</v>
      </c>
      <c r="U20">
        <v>20.72727272727273</v>
      </c>
      <c r="V20">
        <v>30.86181818181818</v>
      </c>
    </row>
    <row r="21" spans="1:22" x14ac:dyDescent="0.3">
      <c r="A21" s="12" t="s">
        <v>153</v>
      </c>
      <c r="B21" s="9">
        <v>6.24</v>
      </c>
      <c r="C21" s="54">
        <v>3.9312</v>
      </c>
      <c r="D21" s="9">
        <v>13.348800000000001</v>
      </c>
      <c r="E21" s="54">
        <v>8.6189999999999998</v>
      </c>
      <c r="F21" s="55">
        <v>12.39</v>
      </c>
      <c r="G21" s="55">
        <v>7.5</v>
      </c>
      <c r="H21" s="55">
        <v>8.9880000000000013</v>
      </c>
      <c r="I21" s="9">
        <v>8.9</v>
      </c>
      <c r="J21" s="55">
        <v>6.7650000000000006</v>
      </c>
      <c r="K21" s="55">
        <v>6.7650000000000006</v>
      </c>
      <c r="L21" s="55">
        <v>16.1892</v>
      </c>
      <c r="M21" s="55">
        <v>6.24</v>
      </c>
      <c r="N21" s="55">
        <v>12.94</v>
      </c>
      <c r="O21" s="6">
        <v>5.0999999999999996</v>
      </c>
      <c r="P21">
        <v>5</v>
      </c>
      <c r="Q21">
        <v>3.3</v>
      </c>
      <c r="R21">
        <v>3.96</v>
      </c>
      <c r="S21">
        <v>17</v>
      </c>
      <c r="T21">
        <v>15</v>
      </c>
      <c r="U21">
        <v>19</v>
      </c>
      <c r="V21">
        <v>28.29</v>
      </c>
    </row>
    <row r="22" spans="1:22" x14ac:dyDescent="0.3">
      <c r="A22" s="8" t="s">
        <v>154</v>
      </c>
      <c r="B22" s="9">
        <v>6.24</v>
      </c>
      <c r="C22" s="9">
        <v>3.7198451612903218</v>
      </c>
      <c r="D22" s="9">
        <v>13.348800000000001</v>
      </c>
      <c r="E22" s="9">
        <v>8.1556129032258067</v>
      </c>
      <c r="F22" s="10">
        <v>11.723870967741931</v>
      </c>
      <c r="G22" s="10">
        <v>7.05</v>
      </c>
      <c r="H22" s="10">
        <v>8.5047741935483874</v>
      </c>
      <c r="I22" s="9">
        <v>8.9</v>
      </c>
      <c r="J22" s="10">
        <v>6.4012903225806452</v>
      </c>
      <c r="K22" s="10">
        <v>6.4012903225806452</v>
      </c>
      <c r="L22" s="10">
        <v>15.31881290322581</v>
      </c>
      <c r="M22" s="6">
        <v>6.24</v>
      </c>
      <c r="N22" s="10">
        <v>12.244301075268821</v>
      </c>
      <c r="O22" s="6">
        <v>4.8258064516129027</v>
      </c>
      <c r="P22">
        <v>4.731182795698925</v>
      </c>
      <c r="Q22">
        <v>3.1225806451612899</v>
      </c>
      <c r="R22">
        <v>3.7470967741935479</v>
      </c>
      <c r="S22">
        <v>17</v>
      </c>
      <c r="T22">
        <v>15</v>
      </c>
      <c r="U22">
        <v>19</v>
      </c>
      <c r="V22">
        <v>28.29</v>
      </c>
    </row>
    <row r="23" spans="1:22" x14ac:dyDescent="0.3">
      <c r="A23" s="8" t="s">
        <v>155</v>
      </c>
      <c r="B23" s="9">
        <v>6.24</v>
      </c>
      <c r="C23" s="9">
        <v>3.7198451612903218</v>
      </c>
      <c r="D23" s="9">
        <v>13.348800000000001</v>
      </c>
      <c r="E23" s="9">
        <v>8.1556129032258067</v>
      </c>
      <c r="F23" s="10">
        <v>11.723870967741931</v>
      </c>
      <c r="G23" s="10">
        <v>7.05</v>
      </c>
      <c r="H23" s="10">
        <v>8.5047741935483874</v>
      </c>
      <c r="I23" s="9">
        <v>8.9</v>
      </c>
      <c r="J23" s="10">
        <v>6.4012903225806452</v>
      </c>
      <c r="K23" s="10">
        <v>6.4012903225806452</v>
      </c>
      <c r="L23" s="10">
        <v>15.31881290322581</v>
      </c>
      <c r="M23" s="6">
        <v>6.24</v>
      </c>
      <c r="N23" s="10">
        <v>12.244301075268821</v>
      </c>
      <c r="O23" s="6">
        <v>4.8258064516129027</v>
      </c>
      <c r="P23">
        <v>4.731182795698925</v>
      </c>
      <c r="Q23">
        <v>3.1225806451612899</v>
      </c>
      <c r="R23">
        <v>3.7470967741935479</v>
      </c>
      <c r="S23">
        <v>17</v>
      </c>
      <c r="T23">
        <v>15</v>
      </c>
      <c r="U23">
        <v>19</v>
      </c>
      <c r="V23">
        <v>28.29</v>
      </c>
    </row>
    <row r="24" spans="1:22" x14ac:dyDescent="0.3">
      <c r="A24" s="8" t="s">
        <v>156</v>
      </c>
      <c r="B24" s="9">
        <v>6.24</v>
      </c>
      <c r="C24" s="9">
        <v>3.7198451612903218</v>
      </c>
      <c r="D24" s="9">
        <v>13.348800000000001</v>
      </c>
      <c r="E24" s="9">
        <v>8.1556129032258067</v>
      </c>
      <c r="F24" s="10">
        <v>11.723870967741931</v>
      </c>
      <c r="G24" s="10">
        <v>7.05</v>
      </c>
      <c r="H24" s="10">
        <v>8.5047741935483874</v>
      </c>
      <c r="I24" s="9">
        <v>8.9</v>
      </c>
      <c r="J24" s="10">
        <v>6.4012903225806452</v>
      </c>
      <c r="K24" s="10">
        <v>6.4012903225806452</v>
      </c>
      <c r="L24" s="10">
        <v>15.31881290322581</v>
      </c>
      <c r="M24" s="6">
        <v>6.24</v>
      </c>
      <c r="N24" s="10">
        <v>12.244301075268821</v>
      </c>
      <c r="O24" s="6">
        <v>4.8258064516129027</v>
      </c>
      <c r="P24">
        <v>4.731182795698925</v>
      </c>
      <c r="Q24">
        <v>3.1225806451612899</v>
      </c>
      <c r="R24">
        <v>3.7470967741935479</v>
      </c>
      <c r="S24">
        <v>17</v>
      </c>
      <c r="T24">
        <v>15</v>
      </c>
      <c r="U24">
        <v>19</v>
      </c>
      <c r="V24">
        <v>28.29</v>
      </c>
    </row>
    <row r="25" spans="1:22" x14ac:dyDescent="0.3">
      <c r="A25" s="12" t="s">
        <v>157</v>
      </c>
      <c r="B25" s="9">
        <v>6.24</v>
      </c>
      <c r="C25" s="54">
        <v>3.9312</v>
      </c>
      <c r="D25" s="9">
        <v>13.348800000000001</v>
      </c>
      <c r="E25" s="54">
        <v>8.6189999999999998</v>
      </c>
      <c r="F25" s="55">
        <v>12.39</v>
      </c>
      <c r="G25" s="55">
        <v>7.5</v>
      </c>
      <c r="H25" s="55">
        <v>8.9880000000000013</v>
      </c>
      <c r="I25" s="9">
        <v>8.9</v>
      </c>
      <c r="J25" s="55">
        <v>6.7650000000000006</v>
      </c>
      <c r="K25" s="55">
        <v>6.7650000000000006</v>
      </c>
      <c r="L25" s="55">
        <v>16.1892</v>
      </c>
      <c r="M25" s="55">
        <v>6.24</v>
      </c>
      <c r="N25" s="55">
        <v>12.94</v>
      </c>
      <c r="O25" s="6">
        <v>5.0999999999999996</v>
      </c>
      <c r="P25">
        <v>5</v>
      </c>
      <c r="Q25">
        <v>3.3</v>
      </c>
      <c r="R25">
        <v>3.96</v>
      </c>
      <c r="S25">
        <v>17</v>
      </c>
      <c r="T25">
        <v>15</v>
      </c>
      <c r="U25">
        <v>19</v>
      </c>
      <c r="V25">
        <v>28.29</v>
      </c>
    </row>
    <row r="26" spans="1:22" x14ac:dyDescent="0.3">
      <c r="A26" s="12" t="s">
        <v>158</v>
      </c>
      <c r="B26" s="9">
        <v>6.24</v>
      </c>
      <c r="C26" s="54">
        <v>3.9312</v>
      </c>
      <c r="D26" s="9">
        <v>13.348800000000001</v>
      </c>
      <c r="E26" s="54">
        <v>8.6189999999999998</v>
      </c>
      <c r="F26" s="55">
        <v>12.39</v>
      </c>
      <c r="G26" s="55">
        <v>7.5</v>
      </c>
      <c r="H26" s="55">
        <v>8.9880000000000013</v>
      </c>
      <c r="I26" s="9">
        <v>8.9</v>
      </c>
      <c r="J26" s="55">
        <v>6.7650000000000006</v>
      </c>
      <c r="K26" s="55">
        <v>6.7650000000000006</v>
      </c>
      <c r="L26" s="55">
        <v>16.1892</v>
      </c>
      <c r="M26" s="55">
        <v>6.24</v>
      </c>
      <c r="N26" s="55">
        <v>12.94</v>
      </c>
      <c r="O26" s="6">
        <v>5.0999999999999996</v>
      </c>
      <c r="P26">
        <v>5</v>
      </c>
      <c r="Q26">
        <v>3.3</v>
      </c>
      <c r="R26">
        <v>3.96</v>
      </c>
      <c r="S26">
        <v>17</v>
      </c>
      <c r="T26">
        <v>15</v>
      </c>
      <c r="U26">
        <v>19</v>
      </c>
      <c r="V26">
        <v>28.29</v>
      </c>
    </row>
    <row r="27" spans="1:22" x14ac:dyDescent="0.3">
      <c r="A27" s="8" t="s">
        <v>159</v>
      </c>
      <c r="B27" s="9">
        <v>6.24</v>
      </c>
      <c r="C27" s="9">
        <v>3.7198451612903218</v>
      </c>
      <c r="D27" s="9">
        <v>13.348800000000001</v>
      </c>
      <c r="E27" s="9">
        <v>8.1556129032258067</v>
      </c>
      <c r="F27" s="10">
        <v>11.723870967741931</v>
      </c>
      <c r="G27" s="10">
        <v>7.05</v>
      </c>
      <c r="H27" s="10">
        <v>8.5047741935483874</v>
      </c>
      <c r="I27" s="9">
        <v>8.9</v>
      </c>
      <c r="J27" s="10">
        <v>6.4012903225806452</v>
      </c>
      <c r="K27" s="10">
        <v>6.4012903225806452</v>
      </c>
      <c r="L27" s="10">
        <v>15.31881290322581</v>
      </c>
      <c r="M27" s="6">
        <v>6.24</v>
      </c>
      <c r="N27" s="10">
        <v>12.244301075268821</v>
      </c>
      <c r="O27" s="6">
        <v>4.8258064516129027</v>
      </c>
      <c r="P27">
        <v>4.731182795698925</v>
      </c>
      <c r="Q27">
        <v>3.1225806451612899</v>
      </c>
      <c r="R27">
        <v>3.7470967741935479</v>
      </c>
      <c r="S27">
        <v>17</v>
      </c>
      <c r="T27">
        <v>15</v>
      </c>
      <c r="U27">
        <v>19</v>
      </c>
      <c r="V27">
        <v>28.29</v>
      </c>
    </row>
    <row r="28" spans="1:22" x14ac:dyDescent="0.3">
      <c r="A28" s="12" t="s">
        <v>160</v>
      </c>
      <c r="B28" s="9">
        <v>6.24</v>
      </c>
      <c r="C28" s="54">
        <v>3.9312</v>
      </c>
      <c r="D28" s="9">
        <v>13.348800000000001</v>
      </c>
      <c r="E28" s="54">
        <v>8.6189999999999998</v>
      </c>
      <c r="F28" s="55">
        <v>12.39</v>
      </c>
      <c r="G28" s="55">
        <v>7.5</v>
      </c>
      <c r="H28" s="55">
        <v>8.9880000000000013</v>
      </c>
      <c r="I28" s="9">
        <v>8.9</v>
      </c>
      <c r="J28" s="55">
        <v>6.7650000000000006</v>
      </c>
      <c r="K28" s="55">
        <v>6.7650000000000006</v>
      </c>
      <c r="L28" s="55">
        <v>16.1892</v>
      </c>
      <c r="M28" s="55">
        <v>6.24</v>
      </c>
      <c r="N28" s="55">
        <v>12.94</v>
      </c>
      <c r="O28" s="6">
        <v>5.0999999999999996</v>
      </c>
      <c r="P28">
        <v>5</v>
      </c>
      <c r="Q28">
        <v>3.3</v>
      </c>
      <c r="R28">
        <v>3.96</v>
      </c>
      <c r="S28">
        <v>17</v>
      </c>
      <c r="T28">
        <v>15</v>
      </c>
      <c r="U28">
        <v>19</v>
      </c>
      <c r="V28">
        <v>28.29</v>
      </c>
    </row>
    <row r="29" spans="1:22" x14ac:dyDescent="0.3">
      <c r="A29" s="65" t="s">
        <v>161</v>
      </c>
      <c r="B29" s="66">
        <v>6.24</v>
      </c>
      <c r="C29" s="67">
        <v>3.9312</v>
      </c>
      <c r="D29" s="66">
        <v>13.348800000000001</v>
      </c>
      <c r="E29" s="67">
        <v>8.6189999999999998</v>
      </c>
      <c r="F29" s="68">
        <v>12.39</v>
      </c>
      <c r="G29" s="68">
        <v>7.5</v>
      </c>
      <c r="H29" s="68">
        <v>8.9880000000000013</v>
      </c>
      <c r="I29" s="66">
        <v>8.9</v>
      </c>
      <c r="J29" s="68">
        <v>6.7650000000000006</v>
      </c>
      <c r="K29" s="68">
        <v>6.7650000000000006</v>
      </c>
      <c r="L29" s="68">
        <v>16.1892</v>
      </c>
      <c r="M29" s="68">
        <v>6.24</v>
      </c>
      <c r="N29" s="55">
        <v>12.94</v>
      </c>
      <c r="O29" s="6">
        <v>5.0999999999999996</v>
      </c>
      <c r="P29">
        <v>5</v>
      </c>
      <c r="Q29">
        <v>3.3</v>
      </c>
      <c r="R29">
        <v>3.96</v>
      </c>
      <c r="S29">
        <v>17</v>
      </c>
      <c r="T29">
        <v>15</v>
      </c>
      <c r="U29">
        <v>19</v>
      </c>
      <c r="V29">
        <v>28.29</v>
      </c>
    </row>
    <row r="30" spans="1:22" x14ac:dyDescent="0.3">
      <c r="A30" s="8" t="s">
        <v>162</v>
      </c>
      <c r="B30" s="9">
        <v>6.24</v>
      </c>
      <c r="C30" s="9">
        <v>3.7198451612903218</v>
      </c>
      <c r="D30" s="9">
        <v>13.348800000000001</v>
      </c>
      <c r="E30" s="9">
        <v>8.1556129032258067</v>
      </c>
      <c r="F30" s="10">
        <v>11.723870967741931</v>
      </c>
      <c r="G30" s="10">
        <v>7.05</v>
      </c>
      <c r="H30" s="10">
        <v>8.5047741935483874</v>
      </c>
      <c r="I30" s="9">
        <v>8.9</v>
      </c>
      <c r="J30" s="10">
        <v>6.4012903225806452</v>
      </c>
      <c r="K30" s="10">
        <v>6.4012903225806452</v>
      </c>
      <c r="L30" s="10">
        <v>15.31881290322581</v>
      </c>
      <c r="M30" s="6">
        <v>6.24</v>
      </c>
      <c r="N30" s="10">
        <v>12.244301075268821</v>
      </c>
      <c r="O30" s="6">
        <v>4.8258064516129027</v>
      </c>
      <c r="P30">
        <v>4.731182795698925</v>
      </c>
      <c r="Q30">
        <v>3.1225806451612899</v>
      </c>
      <c r="R30">
        <v>3.7470967741935479</v>
      </c>
      <c r="S30">
        <v>17</v>
      </c>
      <c r="T30">
        <v>15</v>
      </c>
      <c r="U30">
        <v>19</v>
      </c>
      <c r="V30">
        <v>28.29</v>
      </c>
    </row>
    <row r="31" spans="1:22" x14ac:dyDescent="0.3">
      <c r="A31" s="56" t="s">
        <v>163</v>
      </c>
      <c r="B31" s="93">
        <v>5.4131999999999998</v>
      </c>
      <c r="C31" s="93">
        <v>2.9293780645161291</v>
      </c>
      <c r="D31" s="93">
        <v>11.580083999999999</v>
      </c>
      <c r="E31" s="93">
        <v>6.4225451612903228</v>
      </c>
      <c r="F31" s="93">
        <v>9.2325483870967737</v>
      </c>
      <c r="G31" s="93">
        <v>5.9</v>
      </c>
      <c r="H31" s="93">
        <v>6.6975096774193554</v>
      </c>
      <c r="I31" s="93">
        <v>7.7207499999999998</v>
      </c>
      <c r="J31" s="94">
        <v>5.0410161290322577</v>
      </c>
      <c r="K31" s="94">
        <v>5.0410161290322577</v>
      </c>
      <c r="L31" s="94">
        <v>12.06356516129032</v>
      </c>
      <c r="M31" s="94">
        <v>5.4131999999999998</v>
      </c>
      <c r="N31">
        <v>9.6423870967741934</v>
      </c>
      <c r="O31">
        <v>3.8003225806451608</v>
      </c>
      <c r="P31">
        <v>3.725806451612903</v>
      </c>
      <c r="Q31">
        <v>2.4590322580645161</v>
      </c>
      <c r="R31">
        <v>2.9508387096774191</v>
      </c>
      <c r="S31">
        <v>14.7475</v>
      </c>
      <c r="T31">
        <v>13.012499999999999</v>
      </c>
      <c r="U31">
        <v>16.482500000000002</v>
      </c>
      <c r="V31">
        <v>24.541575000000002</v>
      </c>
    </row>
    <row r="33" spans="1:15" x14ac:dyDescent="0.3">
      <c r="A33" s="58" t="s">
        <v>84</v>
      </c>
      <c r="B33" s="59">
        <v>8.99</v>
      </c>
      <c r="C33" s="60">
        <v>5.49</v>
      </c>
      <c r="D33" s="60">
        <v>18.989999999999998</v>
      </c>
      <c r="E33" s="60">
        <v>12.99</v>
      </c>
      <c r="F33" s="60">
        <v>17.989999999999998</v>
      </c>
      <c r="G33" s="60">
        <v>13.89</v>
      </c>
      <c r="H33" s="60">
        <v>12.9</v>
      </c>
      <c r="I33" s="60">
        <v>11.99</v>
      </c>
      <c r="J33" s="60">
        <v>9.99</v>
      </c>
      <c r="K33" s="60">
        <v>9.99</v>
      </c>
      <c r="L33" s="60">
        <v>24.99</v>
      </c>
      <c r="M33" s="60">
        <v>9.49</v>
      </c>
      <c r="N33" s="6">
        <v>18.989999999999998</v>
      </c>
      <c r="O33" s="6"/>
    </row>
    <row r="34" spans="1:15" x14ac:dyDescent="0.3">
      <c r="I34" t="s">
        <v>186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V34"/>
  <sheetViews>
    <sheetView zoomScaleNormal="100" workbookViewId="0">
      <selection activeCell="C19" sqref="C19"/>
    </sheetView>
  </sheetViews>
  <sheetFormatPr defaultRowHeight="14.4" x14ac:dyDescent="0.3"/>
  <cols>
    <col min="1" max="3" width="13.33203125" bestFit="1" customWidth="1"/>
    <col min="4" max="4" width="14.33203125" bestFit="1" customWidth="1"/>
    <col min="5" max="6" width="13.33203125" bestFit="1" customWidth="1"/>
    <col min="7" max="7" width="14.332031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33203125" customWidth="1"/>
    <col min="13" max="15" width="13.33203125" bestFit="1" customWidth="1"/>
  </cols>
  <sheetData>
    <row r="1" spans="1:22" x14ac:dyDescent="0.3">
      <c r="A1" s="86" t="s">
        <v>187</v>
      </c>
      <c r="B1" s="86" t="s">
        <v>187</v>
      </c>
      <c r="C1" s="86" t="s">
        <v>187</v>
      </c>
      <c r="D1" s="86" t="s">
        <v>187</v>
      </c>
      <c r="E1" s="86" t="s">
        <v>187</v>
      </c>
      <c r="F1" s="86" t="s">
        <v>187</v>
      </c>
      <c r="G1" s="86" t="s">
        <v>187</v>
      </c>
      <c r="H1" s="86" t="s">
        <v>187</v>
      </c>
      <c r="I1" s="86" t="s">
        <v>187</v>
      </c>
      <c r="J1" s="86" t="s">
        <v>187</v>
      </c>
      <c r="K1" s="86" t="s">
        <v>187</v>
      </c>
      <c r="L1" s="86" t="s">
        <v>187</v>
      </c>
      <c r="M1" s="86" t="s">
        <v>187</v>
      </c>
      <c r="N1" s="86" t="s">
        <v>187</v>
      </c>
      <c r="O1" s="86" t="s">
        <v>187</v>
      </c>
      <c r="P1" t="s">
        <v>187</v>
      </c>
      <c r="Q1" t="s">
        <v>187</v>
      </c>
      <c r="R1" t="s">
        <v>187</v>
      </c>
      <c r="S1" t="s">
        <v>187</v>
      </c>
      <c r="T1" t="s">
        <v>187</v>
      </c>
      <c r="U1" t="s">
        <v>187</v>
      </c>
      <c r="V1" t="s">
        <v>187</v>
      </c>
    </row>
    <row r="2" spans="1:22" ht="31.2" customHeight="1" x14ac:dyDescent="0.3">
      <c r="A2" s="52" t="s">
        <v>126</v>
      </c>
      <c r="B2" s="87" t="s">
        <v>165</v>
      </c>
      <c r="C2" s="52" t="s">
        <v>166</v>
      </c>
      <c r="D2" s="87" t="s">
        <v>167</v>
      </c>
      <c r="E2" s="52" t="s">
        <v>168</v>
      </c>
      <c r="F2" s="52" t="s">
        <v>169</v>
      </c>
      <c r="G2" s="1" t="s">
        <v>170</v>
      </c>
      <c r="H2" s="1" t="s">
        <v>171</v>
      </c>
      <c r="I2" s="53" t="s">
        <v>172</v>
      </c>
      <c r="J2" s="83" t="s">
        <v>173</v>
      </c>
      <c r="K2" s="84" t="s">
        <v>174</v>
      </c>
      <c r="L2" s="84" t="s">
        <v>175</v>
      </c>
      <c r="M2" s="1" t="s">
        <v>176</v>
      </c>
      <c r="N2" s="1" t="s">
        <v>177</v>
      </c>
      <c r="O2" s="1" t="s">
        <v>178</v>
      </c>
      <c r="P2" t="s">
        <v>179</v>
      </c>
      <c r="Q2" t="s">
        <v>180</v>
      </c>
      <c r="R2" t="s">
        <v>181</v>
      </c>
      <c r="S2" t="s">
        <v>182</v>
      </c>
      <c r="T2" t="s">
        <v>184</v>
      </c>
      <c r="U2" t="s">
        <v>183</v>
      </c>
      <c r="V2" t="s">
        <v>185</v>
      </c>
    </row>
    <row r="3" spans="1:22" x14ac:dyDescent="0.3">
      <c r="A3" s="8" t="s">
        <v>136</v>
      </c>
      <c r="B3" s="9">
        <v>9.49</v>
      </c>
      <c r="C3" s="88">
        <v>5.99</v>
      </c>
      <c r="D3" s="9">
        <v>19.989999999999998</v>
      </c>
      <c r="E3" s="88">
        <v>12.49</v>
      </c>
      <c r="F3" s="88">
        <v>18.989999999999998</v>
      </c>
      <c r="G3" s="88">
        <v>13.89</v>
      </c>
      <c r="H3" s="88">
        <v>13.49</v>
      </c>
      <c r="I3" s="9">
        <v>13.49</v>
      </c>
      <c r="J3" s="9">
        <v>9.99</v>
      </c>
      <c r="K3" s="89">
        <v>9.99</v>
      </c>
      <c r="L3" s="89">
        <v>23.99</v>
      </c>
      <c r="M3" s="10">
        <v>9.49</v>
      </c>
      <c r="N3" s="10">
        <v>18.899999999999999</v>
      </c>
      <c r="O3" s="10">
        <v>8.99</v>
      </c>
      <c r="P3">
        <v>7.6</v>
      </c>
      <c r="Q3">
        <v>5.19</v>
      </c>
      <c r="R3">
        <v>5.99</v>
      </c>
      <c r="S3">
        <v>35</v>
      </c>
      <c r="T3">
        <v>35</v>
      </c>
      <c r="U3">
        <v>26</v>
      </c>
      <c r="V3">
        <v>47</v>
      </c>
    </row>
    <row r="4" spans="1:22" x14ac:dyDescent="0.3">
      <c r="A4" s="8" t="s">
        <v>137</v>
      </c>
      <c r="B4" s="9">
        <v>9.49</v>
      </c>
      <c r="C4" s="88">
        <v>5.99</v>
      </c>
      <c r="D4" s="9">
        <v>19.989999999999998</v>
      </c>
      <c r="E4" s="88">
        <v>12.49</v>
      </c>
      <c r="F4" s="88">
        <v>18.989999999999998</v>
      </c>
      <c r="G4" s="88">
        <v>13.89</v>
      </c>
      <c r="H4" s="88">
        <v>13.49</v>
      </c>
      <c r="I4" s="9">
        <v>13.49</v>
      </c>
      <c r="J4" s="9">
        <v>9.99</v>
      </c>
      <c r="K4" s="89">
        <v>9.99</v>
      </c>
      <c r="L4" s="89">
        <v>23.99</v>
      </c>
      <c r="M4" s="10">
        <v>9.49</v>
      </c>
      <c r="N4" s="10">
        <v>18.899999999999999</v>
      </c>
      <c r="O4" s="10">
        <v>8.99</v>
      </c>
      <c r="P4">
        <v>7.6</v>
      </c>
      <c r="Q4">
        <v>5.19</v>
      </c>
      <c r="R4">
        <v>5.99</v>
      </c>
      <c r="S4">
        <v>35</v>
      </c>
      <c r="T4">
        <v>35</v>
      </c>
      <c r="U4">
        <v>26</v>
      </c>
      <c r="V4">
        <v>47</v>
      </c>
    </row>
    <row r="5" spans="1:22" x14ac:dyDescent="0.3">
      <c r="A5" s="8" t="s">
        <v>138</v>
      </c>
      <c r="B5" s="9">
        <v>9.49</v>
      </c>
      <c r="C5" s="88">
        <v>5.99</v>
      </c>
      <c r="D5" s="9">
        <v>19.989999999999998</v>
      </c>
      <c r="E5" s="88">
        <v>12.49</v>
      </c>
      <c r="F5" s="88">
        <v>18.989999999999998</v>
      </c>
      <c r="G5" s="88">
        <v>13.89</v>
      </c>
      <c r="H5" s="88">
        <v>13.49</v>
      </c>
      <c r="I5" s="9">
        <v>13.49</v>
      </c>
      <c r="J5" s="9">
        <v>9.99</v>
      </c>
      <c r="K5" s="89">
        <v>9.99</v>
      </c>
      <c r="L5" s="89">
        <v>23.99</v>
      </c>
      <c r="M5" s="10">
        <v>9.49</v>
      </c>
      <c r="N5" s="10">
        <v>18.899999999999999</v>
      </c>
      <c r="O5" s="10">
        <v>8.99</v>
      </c>
      <c r="P5">
        <v>7.6</v>
      </c>
      <c r="Q5">
        <v>5.19</v>
      </c>
      <c r="R5">
        <v>5.99</v>
      </c>
      <c r="S5">
        <v>35</v>
      </c>
      <c r="T5">
        <v>35</v>
      </c>
      <c r="U5">
        <v>26</v>
      </c>
      <c r="V5">
        <v>47</v>
      </c>
    </row>
    <row r="6" spans="1:22" x14ac:dyDescent="0.3">
      <c r="A6" s="8" t="s">
        <v>139</v>
      </c>
      <c r="B6" s="9">
        <v>9.49</v>
      </c>
      <c r="C6" s="88">
        <v>5.99</v>
      </c>
      <c r="D6" s="9">
        <v>19.989999999999998</v>
      </c>
      <c r="E6" s="88">
        <v>12.49</v>
      </c>
      <c r="F6" s="88">
        <v>18.989999999999998</v>
      </c>
      <c r="G6" s="88">
        <v>13.89</v>
      </c>
      <c r="H6" s="88">
        <v>13.49</v>
      </c>
      <c r="I6" s="9">
        <v>13.49</v>
      </c>
      <c r="J6" s="9">
        <v>9.99</v>
      </c>
      <c r="K6" s="89">
        <v>9.99</v>
      </c>
      <c r="L6" s="89">
        <v>23.99</v>
      </c>
      <c r="M6" s="10">
        <v>9.49</v>
      </c>
      <c r="N6" s="10">
        <v>18.899999999999999</v>
      </c>
      <c r="O6" s="10">
        <v>8.99</v>
      </c>
      <c r="P6">
        <v>7.6</v>
      </c>
      <c r="Q6">
        <v>5.19</v>
      </c>
      <c r="R6">
        <v>5.99</v>
      </c>
      <c r="S6">
        <v>35</v>
      </c>
      <c r="T6">
        <v>35</v>
      </c>
      <c r="U6">
        <v>26</v>
      </c>
      <c r="V6">
        <v>47</v>
      </c>
    </row>
    <row r="7" spans="1:22" x14ac:dyDescent="0.3">
      <c r="A7" s="8" t="s">
        <v>140</v>
      </c>
      <c r="B7" s="9">
        <v>9.49</v>
      </c>
      <c r="C7" s="88">
        <v>5.99</v>
      </c>
      <c r="D7" s="9">
        <v>19.989999999999998</v>
      </c>
      <c r="E7" s="88">
        <v>12.49</v>
      </c>
      <c r="F7" s="88">
        <v>18.989999999999998</v>
      </c>
      <c r="G7" s="88">
        <v>13.89</v>
      </c>
      <c r="H7" s="88">
        <v>13.49</v>
      </c>
      <c r="I7" s="9">
        <v>13.49</v>
      </c>
      <c r="J7" s="9">
        <v>9.99</v>
      </c>
      <c r="K7" s="89">
        <v>9.99</v>
      </c>
      <c r="L7" s="89">
        <v>23.99</v>
      </c>
      <c r="M7" s="10">
        <v>9.49</v>
      </c>
      <c r="N7" s="10">
        <v>18.899999999999999</v>
      </c>
      <c r="O7" s="10">
        <v>8.99</v>
      </c>
      <c r="P7">
        <v>7.6</v>
      </c>
      <c r="Q7">
        <v>5.19</v>
      </c>
      <c r="R7">
        <v>5.99</v>
      </c>
      <c r="S7">
        <v>35</v>
      </c>
      <c r="T7">
        <v>35</v>
      </c>
      <c r="U7">
        <v>26</v>
      </c>
      <c r="V7">
        <v>47</v>
      </c>
    </row>
    <row r="8" spans="1:22" x14ac:dyDescent="0.3">
      <c r="A8" s="8" t="s">
        <v>141</v>
      </c>
      <c r="B8" s="9">
        <v>9.49</v>
      </c>
      <c r="C8" s="88">
        <v>5.99</v>
      </c>
      <c r="D8" s="9">
        <v>19.989999999999998</v>
      </c>
      <c r="E8" s="88">
        <v>12.49</v>
      </c>
      <c r="F8" s="88">
        <v>18.989999999999998</v>
      </c>
      <c r="G8" s="88">
        <v>13.89</v>
      </c>
      <c r="H8" s="88">
        <v>13.49</v>
      </c>
      <c r="I8" s="9">
        <v>13.49</v>
      </c>
      <c r="J8" s="9">
        <v>9.99</v>
      </c>
      <c r="K8" s="89">
        <v>9.99</v>
      </c>
      <c r="L8" s="89">
        <v>23.99</v>
      </c>
      <c r="M8" s="10">
        <v>9.49</v>
      </c>
      <c r="N8" s="10">
        <v>18.899999999999999</v>
      </c>
      <c r="O8" s="10">
        <v>8.99</v>
      </c>
      <c r="P8">
        <v>7.6</v>
      </c>
      <c r="Q8">
        <v>5.19</v>
      </c>
      <c r="R8">
        <v>5.99</v>
      </c>
      <c r="S8">
        <v>35</v>
      </c>
      <c r="T8">
        <v>35</v>
      </c>
      <c r="U8">
        <v>26</v>
      </c>
      <c r="V8">
        <v>47</v>
      </c>
    </row>
    <row r="9" spans="1:22" x14ac:dyDescent="0.3">
      <c r="A9" s="8" t="s">
        <v>142</v>
      </c>
      <c r="B9" s="9">
        <v>9.49</v>
      </c>
      <c r="C9" s="88">
        <v>5.99</v>
      </c>
      <c r="D9" s="9">
        <v>19.989999999999998</v>
      </c>
      <c r="E9" s="88">
        <v>12.49</v>
      </c>
      <c r="F9" s="88">
        <v>18.989999999999998</v>
      </c>
      <c r="G9" s="88">
        <v>13.89</v>
      </c>
      <c r="H9" s="88">
        <v>13.49</v>
      </c>
      <c r="I9" s="9">
        <v>13.49</v>
      </c>
      <c r="J9" s="9">
        <v>9.99</v>
      </c>
      <c r="K9" s="89">
        <v>9.99</v>
      </c>
      <c r="L9" s="89">
        <v>23.99</v>
      </c>
      <c r="M9" s="10">
        <v>9.49</v>
      </c>
      <c r="N9" s="10">
        <v>18.899999999999999</v>
      </c>
      <c r="O9" s="10">
        <v>8.99</v>
      </c>
      <c r="P9">
        <v>7.6</v>
      </c>
      <c r="Q9">
        <v>5.19</v>
      </c>
      <c r="R9">
        <v>5.99</v>
      </c>
      <c r="S9">
        <v>35</v>
      </c>
      <c r="T9">
        <v>35</v>
      </c>
      <c r="U9">
        <v>26</v>
      </c>
      <c r="V9">
        <v>47</v>
      </c>
    </row>
    <row r="10" spans="1:22" ht="18" customHeight="1" x14ac:dyDescent="0.35">
      <c r="A10" s="11" t="s">
        <v>143</v>
      </c>
      <c r="B10" s="9">
        <v>9.49</v>
      </c>
      <c r="C10" s="88">
        <v>5.99</v>
      </c>
      <c r="D10" s="9">
        <v>19.989999999999998</v>
      </c>
      <c r="E10" s="88">
        <v>12.49</v>
      </c>
      <c r="F10" s="88">
        <v>18.989999999999998</v>
      </c>
      <c r="G10" s="88">
        <v>13.89</v>
      </c>
      <c r="H10" s="88">
        <v>13.49</v>
      </c>
      <c r="I10" s="9">
        <v>13.49</v>
      </c>
      <c r="J10" s="92">
        <v>9.99</v>
      </c>
      <c r="K10" s="92">
        <v>9.99</v>
      </c>
      <c r="L10" s="92">
        <v>23.99</v>
      </c>
      <c r="M10" s="10">
        <v>9.49</v>
      </c>
      <c r="N10" s="10">
        <v>18.899999999999999</v>
      </c>
      <c r="O10" s="10">
        <v>8.99</v>
      </c>
      <c r="P10">
        <v>7.6</v>
      </c>
      <c r="Q10">
        <v>5.19</v>
      </c>
      <c r="R10">
        <v>5.99</v>
      </c>
      <c r="S10">
        <v>35</v>
      </c>
      <c r="T10">
        <v>35</v>
      </c>
      <c r="U10">
        <v>26</v>
      </c>
      <c r="V10">
        <v>47</v>
      </c>
    </row>
    <row r="11" spans="1:22" x14ac:dyDescent="0.3">
      <c r="A11" s="8" t="s">
        <v>144</v>
      </c>
      <c r="B11" s="9">
        <v>9.49</v>
      </c>
      <c r="C11" s="88">
        <v>5.99</v>
      </c>
      <c r="D11" s="9">
        <v>19.989999999999998</v>
      </c>
      <c r="E11" s="88">
        <v>12.49</v>
      </c>
      <c r="F11" s="88">
        <v>18.989999999999998</v>
      </c>
      <c r="G11" s="88">
        <v>13.89</v>
      </c>
      <c r="H11" s="88">
        <v>13.49</v>
      </c>
      <c r="I11" s="9">
        <v>13.49</v>
      </c>
      <c r="J11" s="9">
        <v>9.99</v>
      </c>
      <c r="K11" s="89">
        <v>9.99</v>
      </c>
      <c r="L11" s="89">
        <v>23.99</v>
      </c>
      <c r="M11" s="10">
        <v>9.49</v>
      </c>
      <c r="N11" s="10">
        <v>18.899999999999999</v>
      </c>
      <c r="O11" s="10">
        <v>8.99</v>
      </c>
      <c r="P11">
        <v>7.6</v>
      </c>
      <c r="Q11">
        <v>5.19</v>
      </c>
      <c r="R11">
        <v>5.99</v>
      </c>
      <c r="S11">
        <v>35</v>
      </c>
      <c r="T11">
        <v>35</v>
      </c>
      <c r="U11">
        <v>26</v>
      </c>
      <c r="V11">
        <v>47</v>
      </c>
    </row>
    <row r="12" spans="1:22" x14ac:dyDescent="0.3">
      <c r="A12" s="8" t="s">
        <v>145</v>
      </c>
      <c r="B12" s="9">
        <v>9.49</v>
      </c>
      <c r="C12" s="88">
        <v>5.99</v>
      </c>
      <c r="D12" s="9">
        <v>19.989999999999998</v>
      </c>
      <c r="E12" s="88">
        <v>12.49</v>
      </c>
      <c r="F12" s="88">
        <v>18.989999999999998</v>
      </c>
      <c r="G12" s="88">
        <v>13.89</v>
      </c>
      <c r="H12" s="88">
        <v>13.49</v>
      </c>
      <c r="I12" s="9">
        <v>13.49</v>
      </c>
      <c r="J12" s="9">
        <v>9.99</v>
      </c>
      <c r="K12" s="89">
        <v>9.99</v>
      </c>
      <c r="L12" s="89">
        <v>23.99</v>
      </c>
      <c r="M12" s="10">
        <v>9.49</v>
      </c>
      <c r="N12" s="10">
        <v>18.899999999999999</v>
      </c>
      <c r="O12" s="10">
        <v>8.99</v>
      </c>
      <c r="P12">
        <v>7.6</v>
      </c>
      <c r="Q12">
        <v>5.19</v>
      </c>
      <c r="R12">
        <v>5.99</v>
      </c>
      <c r="S12">
        <v>35</v>
      </c>
      <c r="T12">
        <v>35</v>
      </c>
      <c r="U12">
        <v>26</v>
      </c>
      <c r="V12">
        <v>47</v>
      </c>
    </row>
    <row r="13" spans="1:22" x14ac:dyDescent="0.3">
      <c r="A13" s="12" t="s">
        <v>146</v>
      </c>
      <c r="B13" s="9">
        <v>9.49</v>
      </c>
      <c r="C13" s="54">
        <v>5.99</v>
      </c>
      <c r="D13" s="9">
        <v>19.989999999999998</v>
      </c>
      <c r="E13" s="54">
        <v>12.49</v>
      </c>
      <c r="F13" s="54">
        <v>18.989999999999998</v>
      </c>
      <c r="G13" s="54">
        <v>13.89</v>
      </c>
      <c r="H13" s="54">
        <v>13.49</v>
      </c>
      <c r="I13" s="9">
        <v>13.49</v>
      </c>
      <c r="J13" s="55">
        <v>9.99</v>
      </c>
      <c r="K13" s="55">
        <v>9.99</v>
      </c>
      <c r="L13" s="55">
        <v>23.99</v>
      </c>
      <c r="M13" s="55">
        <v>9.49</v>
      </c>
      <c r="N13" s="10">
        <v>18.899999999999999</v>
      </c>
      <c r="O13" s="55">
        <v>8.99</v>
      </c>
      <c r="P13">
        <v>7.6</v>
      </c>
      <c r="Q13">
        <v>5.19</v>
      </c>
      <c r="R13">
        <v>5.99</v>
      </c>
      <c r="S13">
        <v>35</v>
      </c>
      <c r="T13">
        <v>35</v>
      </c>
      <c r="U13">
        <v>26</v>
      </c>
      <c r="V13">
        <v>47</v>
      </c>
    </row>
    <row r="14" spans="1:22" x14ac:dyDescent="0.3">
      <c r="A14" s="8" t="s">
        <v>147</v>
      </c>
      <c r="B14" s="9">
        <v>9.49</v>
      </c>
      <c r="C14" s="88">
        <v>5.99</v>
      </c>
      <c r="D14" s="9">
        <v>19.989999999999998</v>
      </c>
      <c r="E14" s="88">
        <v>12.49</v>
      </c>
      <c r="F14" s="88">
        <v>18.989999999999998</v>
      </c>
      <c r="G14" s="88">
        <v>13.89</v>
      </c>
      <c r="H14" s="88">
        <v>13.49</v>
      </c>
      <c r="I14" s="9">
        <v>13.49</v>
      </c>
      <c r="J14" s="9">
        <v>9.99</v>
      </c>
      <c r="K14" s="89">
        <v>9.99</v>
      </c>
      <c r="L14" s="89">
        <v>23.99</v>
      </c>
      <c r="M14" s="10">
        <v>9.49</v>
      </c>
      <c r="N14" s="10">
        <v>18.899999999999999</v>
      </c>
      <c r="O14" s="10">
        <v>8.99</v>
      </c>
      <c r="P14">
        <v>7.6</v>
      </c>
      <c r="Q14">
        <v>5.19</v>
      </c>
      <c r="R14">
        <v>5.99</v>
      </c>
      <c r="S14">
        <v>35</v>
      </c>
      <c r="T14">
        <v>35</v>
      </c>
      <c r="U14">
        <v>26</v>
      </c>
      <c r="V14">
        <v>47</v>
      </c>
    </row>
    <row r="15" spans="1:22" x14ac:dyDescent="0.3">
      <c r="A15" s="8" t="s">
        <v>148</v>
      </c>
      <c r="B15" s="9">
        <v>9.49</v>
      </c>
      <c r="C15" s="88">
        <v>5.99</v>
      </c>
      <c r="D15" s="9">
        <v>19.989999999999998</v>
      </c>
      <c r="E15" s="88">
        <v>12.49</v>
      </c>
      <c r="F15" s="88">
        <v>18.989999999999998</v>
      </c>
      <c r="G15" s="88">
        <v>13.89</v>
      </c>
      <c r="H15" s="88">
        <v>13.49</v>
      </c>
      <c r="I15" s="9">
        <v>13.49</v>
      </c>
      <c r="J15" s="9">
        <v>9.99</v>
      </c>
      <c r="K15" s="89">
        <v>9.99</v>
      </c>
      <c r="L15" s="89">
        <v>23.99</v>
      </c>
      <c r="M15" s="10">
        <v>9.49</v>
      </c>
      <c r="N15" s="10">
        <v>18.899999999999999</v>
      </c>
      <c r="O15" s="10">
        <v>8.99</v>
      </c>
      <c r="P15">
        <v>7.6</v>
      </c>
      <c r="Q15">
        <v>5.19</v>
      </c>
      <c r="R15">
        <v>5.99</v>
      </c>
      <c r="S15">
        <v>35</v>
      </c>
      <c r="T15">
        <v>35</v>
      </c>
      <c r="U15">
        <v>26</v>
      </c>
      <c r="V15">
        <v>47</v>
      </c>
    </row>
    <row r="16" spans="1:22" x14ac:dyDescent="0.3">
      <c r="A16" s="8" t="s">
        <v>149</v>
      </c>
      <c r="B16" s="9">
        <v>9.49</v>
      </c>
      <c r="C16" s="88">
        <v>5.99</v>
      </c>
      <c r="D16" s="9">
        <v>19.989999999999998</v>
      </c>
      <c r="E16" s="88">
        <v>12.49</v>
      </c>
      <c r="F16" s="88">
        <v>18.989999999999998</v>
      </c>
      <c r="G16" s="88">
        <v>13.89</v>
      </c>
      <c r="H16" s="88">
        <v>13.49</v>
      </c>
      <c r="I16" s="9">
        <v>13.49</v>
      </c>
      <c r="J16" s="9">
        <v>9.99</v>
      </c>
      <c r="K16" s="89">
        <v>9.99</v>
      </c>
      <c r="L16" s="89">
        <v>23.99</v>
      </c>
      <c r="M16" s="10">
        <v>9.49</v>
      </c>
      <c r="N16" s="10">
        <v>18.899999999999999</v>
      </c>
      <c r="O16" s="10">
        <v>8.99</v>
      </c>
      <c r="P16">
        <v>7.6</v>
      </c>
      <c r="Q16">
        <v>5.19</v>
      </c>
      <c r="R16">
        <v>5.99</v>
      </c>
      <c r="S16">
        <v>35</v>
      </c>
      <c r="T16">
        <v>35</v>
      </c>
      <c r="U16">
        <v>26</v>
      </c>
      <c r="V16">
        <v>47</v>
      </c>
    </row>
    <row r="17" spans="1:22" x14ac:dyDescent="0.3">
      <c r="A17" s="8" t="s">
        <v>150</v>
      </c>
      <c r="B17" s="9">
        <v>9.49</v>
      </c>
      <c r="C17" s="88">
        <v>5.99</v>
      </c>
      <c r="D17" s="9">
        <v>19.989999999999998</v>
      </c>
      <c r="E17" s="88">
        <v>12.49</v>
      </c>
      <c r="F17" s="88">
        <v>18.989999999999998</v>
      </c>
      <c r="G17" s="88">
        <v>13.89</v>
      </c>
      <c r="H17" s="88">
        <v>13.49</v>
      </c>
      <c r="I17" s="9">
        <v>13.49</v>
      </c>
      <c r="J17" s="9">
        <v>9.99</v>
      </c>
      <c r="K17" s="89">
        <v>9.99</v>
      </c>
      <c r="L17" s="89">
        <v>23.99</v>
      </c>
      <c r="M17" s="10">
        <v>9.49</v>
      </c>
      <c r="N17" s="10">
        <v>18.899999999999999</v>
      </c>
      <c r="O17" s="10">
        <v>8.99</v>
      </c>
      <c r="P17">
        <v>7.6</v>
      </c>
      <c r="Q17">
        <v>5.19</v>
      </c>
      <c r="R17">
        <v>5.99</v>
      </c>
      <c r="S17">
        <v>35</v>
      </c>
      <c r="T17">
        <v>35</v>
      </c>
      <c r="U17">
        <v>26</v>
      </c>
      <c r="V17">
        <v>47</v>
      </c>
    </row>
    <row r="18" spans="1:22" x14ac:dyDescent="0.3">
      <c r="A18" s="8" t="s">
        <v>151</v>
      </c>
      <c r="B18" s="9">
        <v>9.49</v>
      </c>
      <c r="C18" s="88">
        <v>5.99</v>
      </c>
      <c r="D18" s="9">
        <v>19.989999999999998</v>
      </c>
      <c r="E18" s="88">
        <v>12.49</v>
      </c>
      <c r="F18" s="88">
        <v>18.989999999999998</v>
      </c>
      <c r="G18" s="88">
        <v>13.89</v>
      </c>
      <c r="H18" s="88">
        <v>13.49</v>
      </c>
      <c r="I18" s="9">
        <v>13.49</v>
      </c>
      <c r="J18" s="9">
        <v>9.99</v>
      </c>
      <c r="K18" s="89">
        <v>9.99</v>
      </c>
      <c r="L18" s="89">
        <v>23.99</v>
      </c>
      <c r="M18" s="10">
        <v>9.49</v>
      </c>
      <c r="N18" s="10">
        <v>18.899999999999999</v>
      </c>
      <c r="O18" s="10">
        <v>8.99</v>
      </c>
      <c r="P18">
        <v>7.6</v>
      </c>
      <c r="Q18">
        <v>5.19</v>
      </c>
      <c r="R18">
        <v>5.99</v>
      </c>
      <c r="S18">
        <v>35</v>
      </c>
      <c r="T18">
        <v>35</v>
      </c>
      <c r="U18">
        <v>26</v>
      </c>
      <c r="V18">
        <v>47</v>
      </c>
    </row>
    <row r="19" spans="1:22" x14ac:dyDescent="0.3">
      <c r="A19" s="8" t="s">
        <v>152</v>
      </c>
      <c r="B19" s="9">
        <v>9.49</v>
      </c>
      <c r="C19" s="88">
        <v>5.99</v>
      </c>
      <c r="D19" s="9">
        <v>19.989999999999998</v>
      </c>
      <c r="E19" s="88">
        <v>12.49</v>
      </c>
      <c r="F19" s="88">
        <v>18.989999999999998</v>
      </c>
      <c r="G19" s="88">
        <v>13.89</v>
      </c>
      <c r="H19" s="88">
        <v>13.49</v>
      </c>
      <c r="I19" s="9">
        <v>13.49</v>
      </c>
      <c r="J19" s="9">
        <v>9.99</v>
      </c>
      <c r="K19" s="89">
        <v>9.99</v>
      </c>
      <c r="L19" s="89">
        <v>23.99</v>
      </c>
      <c r="M19" s="10">
        <v>9.49</v>
      </c>
      <c r="N19" s="10">
        <v>18.899999999999999</v>
      </c>
      <c r="O19" s="10">
        <v>8.99</v>
      </c>
      <c r="P19">
        <v>7.6</v>
      </c>
      <c r="Q19">
        <v>5.19</v>
      </c>
      <c r="R19">
        <v>5.99</v>
      </c>
      <c r="S19">
        <v>35</v>
      </c>
      <c r="T19">
        <v>35</v>
      </c>
      <c r="U19">
        <v>26</v>
      </c>
      <c r="V19">
        <v>47</v>
      </c>
    </row>
    <row r="20" spans="1:22" x14ac:dyDescent="0.3">
      <c r="A20" s="13" t="s">
        <v>5</v>
      </c>
      <c r="B20" s="14">
        <v>9.49</v>
      </c>
      <c r="C20" s="54">
        <v>5.99</v>
      </c>
      <c r="D20" s="14">
        <v>19.989999999999998</v>
      </c>
      <c r="E20" s="54">
        <v>12.49</v>
      </c>
      <c r="F20" s="54">
        <v>18.989999999999998</v>
      </c>
      <c r="G20" s="54">
        <v>13.89</v>
      </c>
      <c r="H20" s="54">
        <v>13.49</v>
      </c>
      <c r="I20" s="9">
        <v>13.49</v>
      </c>
      <c r="J20" s="55">
        <v>9.99</v>
      </c>
      <c r="K20" s="55">
        <v>9.99</v>
      </c>
      <c r="L20" s="55">
        <v>23.99</v>
      </c>
      <c r="M20" s="55">
        <v>9.49</v>
      </c>
      <c r="N20" s="10">
        <v>18.899999999999999</v>
      </c>
      <c r="O20" s="55">
        <v>8.99</v>
      </c>
      <c r="P20">
        <v>7.6</v>
      </c>
      <c r="Q20">
        <v>5.19</v>
      </c>
      <c r="R20">
        <v>5.99</v>
      </c>
      <c r="S20">
        <v>35</v>
      </c>
      <c r="T20">
        <v>35</v>
      </c>
      <c r="U20">
        <v>26</v>
      </c>
      <c r="V20">
        <v>47</v>
      </c>
    </row>
    <row r="21" spans="1:22" x14ac:dyDescent="0.3">
      <c r="A21" s="12" t="s">
        <v>153</v>
      </c>
      <c r="B21" s="9">
        <v>9.49</v>
      </c>
      <c r="C21" s="54">
        <v>5.99</v>
      </c>
      <c r="D21" s="9">
        <v>19.989999999999998</v>
      </c>
      <c r="E21" s="54">
        <v>12.49</v>
      </c>
      <c r="F21" s="54">
        <v>18.989999999999998</v>
      </c>
      <c r="G21" s="54">
        <v>13.89</v>
      </c>
      <c r="H21" s="54">
        <v>13.49</v>
      </c>
      <c r="I21" s="9">
        <v>13.49</v>
      </c>
      <c r="J21" s="55">
        <v>9.99</v>
      </c>
      <c r="K21" s="55">
        <v>9.99</v>
      </c>
      <c r="L21" s="55">
        <v>23.99</v>
      </c>
      <c r="M21" s="55">
        <v>9.49</v>
      </c>
      <c r="N21" s="10">
        <v>18.899999999999999</v>
      </c>
      <c r="O21" s="55">
        <v>8.99</v>
      </c>
      <c r="P21">
        <v>7.6</v>
      </c>
      <c r="Q21">
        <v>5.19</v>
      </c>
      <c r="R21">
        <v>5.99</v>
      </c>
      <c r="S21">
        <v>35</v>
      </c>
      <c r="T21">
        <v>35</v>
      </c>
      <c r="U21">
        <v>26</v>
      </c>
      <c r="V21">
        <v>47</v>
      </c>
    </row>
    <row r="22" spans="1:22" x14ac:dyDescent="0.3">
      <c r="A22" s="8" t="s">
        <v>154</v>
      </c>
      <c r="B22" s="9">
        <v>9.49</v>
      </c>
      <c r="C22" s="88">
        <v>5.99</v>
      </c>
      <c r="D22" s="9">
        <v>19.989999999999998</v>
      </c>
      <c r="E22" s="88">
        <v>12.49</v>
      </c>
      <c r="F22" s="88">
        <v>18.989999999999998</v>
      </c>
      <c r="G22" s="88">
        <v>13.89</v>
      </c>
      <c r="H22" s="88">
        <v>13.49</v>
      </c>
      <c r="I22" s="9">
        <v>13.49</v>
      </c>
      <c r="J22" s="9">
        <v>9.99</v>
      </c>
      <c r="K22" s="89">
        <v>9.99</v>
      </c>
      <c r="L22" s="89">
        <v>23.99</v>
      </c>
      <c r="M22" s="10">
        <v>9.49</v>
      </c>
      <c r="N22" s="10">
        <v>18.899999999999999</v>
      </c>
      <c r="O22" s="10">
        <v>8.99</v>
      </c>
      <c r="P22">
        <v>7.6</v>
      </c>
      <c r="Q22">
        <v>5.19</v>
      </c>
      <c r="R22">
        <v>5.99</v>
      </c>
      <c r="S22">
        <v>35</v>
      </c>
      <c r="T22">
        <v>35</v>
      </c>
      <c r="U22">
        <v>26</v>
      </c>
      <c r="V22">
        <v>47</v>
      </c>
    </row>
    <row r="23" spans="1:22" x14ac:dyDescent="0.3">
      <c r="A23" s="8" t="s">
        <v>155</v>
      </c>
      <c r="B23" s="9">
        <v>9.49</v>
      </c>
      <c r="C23" s="88">
        <v>5.99</v>
      </c>
      <c r="D23" s="9">
        <v>19.989999999999998</v>
      </c>
      <c r="E23" s="88">
        <v>12.49</v>
      </c>
      <c r="F23" s="88">
        <v>18.989999999999998</v>
      </c>
      <c r="G23" s="88">
        <v>13.89</v>
      </c>
      <c r="H23" s="88">
        <v>13.49</v>
      </c>
      <c r="I23" s="9">
        <v>13.49</v>
      </c>
      <c r="J23" s="9">
        <v>9.99</v>
      </c>
      <c r="K23" s="89">
        <v>9.99</v>
      </c>
      <c r="L23" s="89">
        <v>23.99</v>
      </c>
      <c r="M23" s="10">
        <v>9.49</v>
      </c>
      <c r="N23" s="10">
        <v>18.899999999999999</v>
      </c>
      <c r="O23" s="10">
        <v>8.99</v>
      </c>
      <c r="P23">
        <v>7.6</v>
      </c>
      <c r="Q23">
        <v>5.19</v>
      </c>
      <c r="R23">
        <v>5.99</v>
      </c>
      <c r="S23">
        <v>35</v>
      </c>
      <c r="T23">
        <v>35</v>
      </c>
      <c r="U23">
        <v>26</v>
      </c>
      <c r="V23">
        <v>47</v>
      </c>
    </row>
    <row r="24" spans="1:22" x14ac:dyDescent="0.3">
      <c r="A24" s="8" t="s">
        <v>156</v>
      </c>
      <c r="B24" s="9">
        <v>9.49</v>
      </c>
      <c r="C24" s="88">
        <v>5.99</v>
      </c>
      <c r="D24" s="9">
        <v>19.989999999999998</v>
      </c>
      <c r="E24" s="88">
        <v>12.49</v>
      </c>
      <c r="F24" s="88">
        <v>18.989999999999998</v>
      </c>
      <c r="G24" s="88">
        <v>13.89</v>
      </c>
      <c r="H24" s="88">
        <v>13.49</v>
      </c>
      <c r="I24" s="9">
        <v>13.49</v>
      </c>
      <c r="J24" s="9">
        <v>9.99</v>
      </c>
      <c r="K24" s="89">
        <v>9.99</v>
      </c>
      <c r="L24" s="89">
        <v>23.99</v>
      </c>
      <c r="M24" s="10">
        <v>9.49</v>
      </c>
      <c r="N24" s="10">
        <v>18.899999999999999</v>
      </c>
      <c r="O24" s="10">
        <v>8.99</v>
      </c>
      <c r="P24">
        <v>7.6</v>
      </c>
      <c r="Q24">
        <v>5.19</v>
      </c>
      <c r="R24">
        <v>5.99</v>
      </c>
      <c r="S24">
        <v>35</v>
      </c>
      <c r="T24">
        <v>35</v>
      </c>
      <c r="U24">
        <v>26</v>
      </c>
      <c r="V24">
        <v>47</v>
      </c>
    </row>
    <row r="25" spans="1:22" x14ac:dyDescent="0.3">
      <c r="A25" s="12" t="s">
        <v>157</v>
      </c>
      <c r="B25" s="9">
        <v>9.49</v>
      </c>
      <c r="C25" s="54">
        <v>5.99</v>
      </c>
      <c r="D25" s="9">
        <v>19.989999999999998</v>
      </c>
      <c r="E25" s="54">
        <v>12.49</v>
      </c>
      <c r="F25" s="54">
        <v>18.989999999999998</v>
      </c>
      <c r="G25" s="54">
        <v>13.89</v>
      </c>
      <c r="H25" s="54">
        <v>13.49</v>
      </c>
      <c r="I25" s="9">
        <v>13.49</v>
      </c>
      <c r="J25" s="55">
        <v>9.99</v>
      </c>
      <c r="K25" s="55">
        <v>9.99</v>
      </c>
      <c r="L25" s="55">
        <v>23.99</v>
      </c>
      <c r="M25" s="55">
        <v>9.49</v>
      </c>
      <c r="N25" s="10">
        <v>18.899999999999999</v>
      </c>
      <c r="O25" s="55">
        <v>8.99</v>
      </c>
      <c r="P25">
        <v>7.6</v>
      </c>
      <c r="Q25">
        <v>5.19</v>
      </c>
      <c r="R25">
        <v>5.99</v>
      </c>
      <c r="S25">
        <v>35</v>
      </c>
      <c r="T25">
        <v>35</v>
      </c>
      <c r="U25">
        <v>26</v>
      </c>
      <c r="V25">
        <v>47</v>
      </c>
    </row>
    <row r="26" spans="1:22" x14ac:dyDescent="0.3">
      <c r="A26" s="12" t="s">
        <v>158</v>
      </c>
      <c r="B26" s="9">
        <v>9.49</v>
      </c>
      <c r="C26" s="54">
        <v>5.99</v>
      </c>
      <c r="D26" s="9">
        <v>19.989999999999998</v>
      </c>
      <c r="E26" s="54">
        <v>12.49</v>
      </c>
      <c r="F26" s="54">
        <v>18.989999999999998</v>
      </c>
      <c r="G26" s="54">
        <v>13.89</v>
      </c>
      <c r="H26" s="54">
        <v>13.49</v>
      </c>
      <c r="I26" s="9">
        <v>13.49</v>
      </c>
      <c r="J26" s="55">
        <v>9.99</v>
      </c>
      <c r="K26" s="55">
        <v>9.99</v>
      </c>
      <c r="L26" s="55">
        <v>23.99</v>
      </c>
      <c r="M26" s="55">
        <v>9.49</v>
      </c>
      <c r="N26" s="10">
        <v>18.899999999999999</v>
      </c>
      <c r="O26" s="55">
        <v>8.99</v>
      </c>
      <c r="P26">
        <v>7.6</v>
      </c>
      <c r="Q26">
        <v>5.19</v>
      </c>
      <c r="R26">
        <v>5.99</v>
      </c>
      <c r="S26">
        <v>35</v>
      </c>
      <c r="T26">
        <v>35</v>
      </c>
      <c r="U26">
        <v>26</v>
      </c>
      <c r="V26">
        <v>47</v>
      </c>
    </row>
    <row r="27" spans="1:22" x14ac:dyDescent="0.3">
      <c r="A27" s="8" t="s">
        <v>159</v>
      </c>
      <c r="B27" s="9">
        <v>9.49</v>
      </c>
      <c r="C27" s="88">
        <v>5.99</v>
      </c>
      <c r="D27" s="9">
        <v>19.989999999999998</v>
      </c>
      <c r="E27" s="88">
        <v>12.49</v>
      </c>
      <c r="F27" s="88">
        <v>18.989999999999998</v>
      </c>
      <c r="G27" s="88">
        <v>13.89</v>
      </c>
      <c r="H27" s="88">
        <v>13.49</v>
      </c>
      <c r="I27" s="9">
        <v>13.49</v>
      </c>
      <c r="J27" s="9">
        <v>9.99</v>
      </c>
      <c r="K27" s="89">
        <v>9.99</v>
      </c>
      <c r="L27" s="89">
        <v>23.99</v>
      </c>
      <c r="M27" s="10">
        <v>9.49</v>
      </c>
      <c r="N27" s="10">
        <v>18.899999999999999</v>
      </c>
      <c r="O27" s="10">
        <v>8.99</v>
      </c>
      <c r="P27">
        <v>7.6</v>
      </c>
      <c r="Q27">
        <v>5.19</v>
      </c>
      <c r="R27">
        <v>5.99</v>
      </c>
      <c r="S27">
        <v>35</v>
      </c>
      <c r="T27">
        <v>35</v>
      </c>
      <c r="U27">
        <v>26</v>
      </c>
      <c r="V27">
        <v>47</v>
      </c>
    </row>
    <row r="28" spans="1:22" x14ac:dyDescent="0.3">
      <c r="A28" s="12" t="s">
        <v>160</v>
      </c>
      <c r="B28" s="9">
        <v>9.49</v>
      </c>
      <c r="C28" s="54">
        <v>5.99</v>
      </c>
      <c r="D28" s="9">
        <v>19.989999999999998</v>
      </c>
      <c r="E28" s="54">
        <v>12.49</v>
      </c>
      <c r="F28" s="54">
        <v>18.989999999999998</v>
      </c>
      <c r="G28" s="54">
        <v>13.89</v>
      </c>
      <c r="H28" s="54">
        <v>13.49</v>
      </c>
      <c r="I28" s="9">
        <v>13.49</v>
      </c>
      <c r="J28" s="55">
        <v>9.99</v>
      </c>
      <c r="K28" s="55">
        <v>9.99</v>
      </c>
      <c r="L28" s="55">
        <v>23.99</v>
      </c>
      <c r="M28" s="55">
        <v>9.49</v>
      </c>
      <c r="N28" s="10">
        <v>18.899999999999999</v>
      </c>
      <c r="O28" s="55">
        <v>8.99</v>
      </c>
      <c r="P28">
        <v>7.6</v>
      </c>
      <c r="Q28">
        <v>5.19</v>
      </c>
      <c r="R28">
        <v>5.99</v>
      </c>
      <c r="S28">
        <v>35</v>
      </c>
      <c r="T28">
        <v>35</v>
      </c>
      <c r="U28">
        <v>26</v>
      </c>
      <c r="V28">
        <v>47</v>
      </c>
    </row>
    <row r="29" spans="1:22" x14ac:dyDescent="0.3">
      <c r="A29" s="90" t="s">
        <v>161</v>
      </c>
      <c r="B29" s="9">
        <v>9.49</v>
      </c>
      <c r="C29" s="54">
        <v>5.99</v>
      </c>
      <c r="D29" s="9">
        <v>19.989999999999998</v>
      </c>
      <c r="E29" s="54">
        <v>12.49</v>
      </c>
      <c r="F29" s="54">
        <v>18.989999999999998</v>
      </c>
      <c r="G29" s="54">
        <v>13.89</v>
      </c>
      <c r="H29" s="54">
        <v>13.49</v>
      </c>
      <c r="I29" s="9">
        <v>13.49</v>
      </c>
      <c r="J29" s="55">
        <v>9.99</v>
      </c>
      <c r="K29" s="55">
        <v>9.99</v>
      </c>
      <c r="L29" s="55">
        <v>23.99</v>
      </c>
      <c r="M29" s="55">
        <v>9.49</v>
      </c>
      <c r="N29" s="10">
        <v>18.899999999999999</v>
      </c>
      <c r="O29" s="55">
        <v>8.99</v>
      </c>
      <c r="P29">
        <v>7.6</v>
      </c>
      <c r="Q29">
        <v>5.19</v>
      </c>
      <c r="R29">
        <v>5.99</v>
      </c>
      <c r="S29">
        <v>35</v>
      </c>
      <c r="T29">
        <v>35</v>
      </c>
      <c r="U29">
        <v>26</v>
      </c>
      <c r="V29">
        <v>47</v>
      </c>
    </row>
    <row r="30" spans="1:22" x14ac:dyDescent="0.3">
      <c r="A30" s="8" t="s">
        <v>162</v>
      </c>
      <c r="B30" s="9">
        <v>9.49</v>
      </c>
      <c r="C30" s="88">
        <v>5.99</v>
      </c>
      <c r="D30" s="9">
        <v>19.989999999999998</v>
      </c>
      <c r="E30" s="88">
        <v>12.49</v>
      </c>
      <c r="F30" s="88">
        <v>18.989999999999998</v>
      </c>
      <c r="G30" s="88">
        <v>13.89</v>
      </c>
      <c r="H30" s="88">
        <v>13.49</v>
      </c>
      <c r="I30" s="9">
        <v>13.49</v>
      </c>
      <c r="J30" s="9">
        <v>9.99</v>
      </c>
      <c r="K30" s="89">
        <v>9.99</v>
      </c>
      <c r="L30" s="89">
        <v>23.99</v>
      </c>
      <c r="M30" s="10">
        <v>9.49</v>
      </c>
      <c r="N30" s="10">
        <v>18.899999999999999</v>
      </c>
      <c r="O30" s="10">
        <v>8.99</v>
      </c>
      <c r="P30">
        <v>7.6</v>
      </c>
      <c r="Q30">
        <v>5.19</v>
      </c>
      <c r="R30">
        <v>5.99</v>
      </c>
      <c r="S30">
        <v>35</v>
      </c>
      <c r="T30">
        <v>35</v>
      </c>
      <c r="U30">
        <v>26</v>
      </c>
      <c r="V30">
        <v>47</v>
      </c>
    </row>
    <row r="31" spans="1:22" x14ac:dyDescent="0.3">
      <c r="A31" s="56" t="s">
        <v>163</v>
      </c>
      <c r="B31" s="91"/>
      <c r="C31" s="57"/>
      <c r="D31" s="91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</row>
    <row r="33" spans="1:15" x14ac:dyDescent="0.3">
      <c r="A33" s="58" t="s">
        <v>84</v>
      </c>
      <c r="B33" s="59">
        <v>9.49</v>
      </c>
      <c r="C33" s="60">
        <v>5.79</v>
      </c>
      <c r="D33" s="60">
        <v>19.989999999999998</v>
      </c>
      <c r="E33" s="60">
        <v>13.69</v>
      </c>
      <c r="F33" s="60">
        <v>17.989999999999998</v>
      </c>
      <c r="G33" s="60">
        <v>13.89</v>
      </c>
      <c r="H33" s="60">
        <v>13.49</v>
      </c>
      <c r="I33" s="60">
        <v>12.49</v>
      </c>
      <c r="J33" s="60">
        <v>9.99</v>
      </c>
      <c r="K33" s="60">
        <v>9.99</v>
      </c>
      <c r="L33" s="60">
        <v>24.99</v>
      </c>
      <c r="M33" s="60">
        <v>9.49</v>
      </c>
      <c r="N33" s="60">
        <v>18.989999999999998</v>
      </c>
      <c r="O33" s="60">
        <v>0</v>
      </c>
    </row>
    <row r="34" spans="1:15" x14ac:dyDescent="0.3">
      <c r="I34" t="s">
        <v>186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V34"/>
  <sheetViews>
    <sheetView zoomScale="70" zoomScaleNormal="70" workbookViewId="0">
      <selection activeCell="E23" sqref="E23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109375" customWidth="1"/>
    <col min="13" max="15" width="13.109375" bestFit="1" customWidth="1"/>
  </cols>
  <sheetData>
    <row r="1" spans="1:22" x14ac:dyDescent="0.3">
      <c r="A1" s="86" t="s">
        <v>187</v>
      </c>
      <c r="B1" s="86" t="s">
        <v>187</v>
      </c>
      <c r="C1" s="86" t="s">
        <v>187</v>
      </c>
      <c r="D1" s="86" t="s">
        <v>187</v>
      </c>
      <c r="E1" s="86" t="s">
        <v>187</v>
      </c>
      <c r="F1" s="86" t="s">
        <v>187</v>
      </c>
      <c r="G1" s="86" t="s">
        <v>187</v>
      </c>
      <c r="H1" s="86" t="s">
        <v>187</v>
      </c>
      <c r="I1" s="86" t="s">
        <v>187</v>
      </c>
      <c r="J1" s="86" t="s">
        <v>187</v>
      </c>
      <c r="K1" s="86" t="s">
        <v>187</v>
      </c>
      <c r="L1" s="86" t="s">
        <v>187</v>
      </c>
      <c r="M1" s="86" t="s">
        <v>187</v>
      </c>
      <c r="N1" s="86" t="s">
        <v>187</v>
      </c>
      <c r="O1" s="86" t="s">
        <v>187</v>
      </c>
      <c r="P1" t="s">
        <v>187</v>
      </c>
      <c r="Q1" t="s">
        <v>187</v>
      </c>
      <c r="R1" t="s">
        <v>187</v>
      </c>
      <c r="S1" t="s">
        <v>187</v>
      </c>
      <c r="T1" t="s">
        <v>187</v>
      </c>
      <c r="U1" t="s">
        <v>187</v>
      </c>
      <c r="V1" t="s">
        <v>187</v>
      </c>
    </row>
    <row r="2" spans="1:22" ht="31.2" customHeight="1" x14ac:dyDescent="0.3">
      <c r="A2" s="52" t="s">
        <v>126</v>
      </c>
      <c r="B2" s="111" t="s">
        <v>165</v>
      </c>
      <c r="C2" s="112" t="s">
        <v>166</v>
      </c>
      <c r="D2" s="111" t="s">
        <v>167</v>
      </c>
      <c r="E2" s="111" t="s">
        <v>168</v>
      </c>
      <c r="F2" s="112" t="s">
        <v>169</v>
      </c>
      <c r="G2" s="111" t="s">
        <v>170</v>
      </c>
      <c r="H2" s="112" t="s">
        <v>171</v>
      </c>
      <c r="I2" s="111" t="s">
        <v>172</v>
      </c>
      <c r="J2" s="113" t="s">
        <v>173</v>
      </c>
      <c r="K2" s="113" t="s">
        <v>174</v>
      </c>
      <c r="L2" s="113" t="s">
        <v>175</v>
      </c>
      <c r="M2" s="111" t="s">
        <v>176</v>
      </c>
      <c r="N2" s="112" t="s">
        <v>177</v>
      </c>
      <c r="O2" s="111" t="s">
        <v>178</v>
      </c>
      <c r="P2" s="111" t="s">
        <v>179</v>
      </c>
      <c r="Q2" s="111" t="s">
        <v>180</v>
      </c>
      <c r="R2" s="111" t="s">
        <v>181</v>
      </c>
      <c r="S2" s="111" t="s">
        <v>182</v>
      </c>
      <c r="T2" s="111" t="s">
        <v>184</v>
      </c>
      <c r="U2" s="111" t="s">
        <v>183</v>
      </c>
      <c r="V2" t="s">
        <v>185</v>
      </c>
    </row>
    <row r="3" spans="1:22" x14ac:dyDescent="0.3">
      <c r="A3" s="8" t="s">
        <v>136</v>
      </c>
      <c r="B3" s="9">
        <v>9.49</v>
      </c>
      <c r="C3" s="88">
        <v>5.99</v>
      </c>
      <c r="D3" s="9">
        <v>19.989999999999998</v>
      </c>
      <c r="E3" s="88">
        <v>12.49</v>
      </c>
      <c r="F3" s="88">
        <v>18.989999999999998</v>
      </c>
      <c r="G3" s="88">
        <v>13.89</v>
      </c>
      <c r="H3" s="88">
        <v>13.49</v>
      </c>
      <c r="I3" s="9">
        <v>13.49</v>
      </c>
      <c r="J3" s="9">
        <v>9.99</v>
      </c>
      <c r="K3" s="89">
        <v>9.99</v>
      </c>
      <c r="L3" s="89">
        <v>23.99</v>
      </c>
      <c r="M3" s="10">
        <v>9.49</v>
      </c>
      <c r="N3" s="10">
        <v>18.899999999999999</v>
      </c>
      <c r="O3" s="10">
        <v>8.99</v>
      </c>
      <c r="P3">
        <v>7.6</v>
      </c>
      <c r="Q3">
        <v>5.19</v>
      </c>
      <c r="R3">
        <v>5.99</v>
      </c>
      <c r="S3">
        <v>35</v>
      </c>
      <c r="T3">
        <v>35</v>
      </c>
      <c r="U3">
        <v>26</v>
      </c>
      <c r="V3">
        <v>47</v>
      </c>
    </row>
    <row r="4" spans="1:22" x14ac:dyDescent="0.3">
      <c r="A4" s="8" t="s">
        <v>137</v>
      </c>
      <c r="B4" s="9">
        <v>9.49</v>
      </c>
      <c r="C4" s="88">
        <v>5.99</v>
      </c>
      <c r="D4" s="9">
        <v>19.989999999999998</v>
      </c>
      <c r="E4" s="88">
        <v>12.49</v>
      </c>
      <c r="F4" s="88">
        <v>18.989999999999998</v>
      </c>
      <c r="G4" s="88">
        <v>13.89</v>
      </c>
      <c r="H4" s="88">
        <v>13.49</v>
      </c>
      <c r="I4" s="9">
        <v>13.49</v>
      </c>
      <c r="J4" s="9">
        <v>9.99</v>
      </c>
      <c r="K4" s="89">
        <v>9.99</v>
      </c>
      <c r="L4" s="89">
        <v>23.99</v>
      </c>
      <c r="M4" s="10">
        <v>9.49</v>
      </c>
      <c r="N4" s="10">
        <v>18.899999999999999</v>
      </c>
      <c r="O4" s="10">
        <v>8.99</v>
      </c>
      <c r="P4">
        <v>7.6</v>
      </c>
      <c r="Q4">
        <v>5.19</v>
      </c>
      <c r="R4">
        <v>5.99</v>
      </c>
      <c r="S4">
        <v>35</v>
      </c>
      <c r="T4">
        <v>35</v>
      </c>
      <c r="U4">
        <v>26</v>
      </c>
      <c r="V4">
        <v>47</v>
      </c>
    </row>
    <row r="5" spans="1:22" x14ac:dyDescent="0.3">
      <c r="A5" s="8" t="s">
        <v>138</v>
      </c>
      <c r="B5" s="9">
        <v>9.49</v>
      </c>
      <c r="C5" s="88">
        <v>5.99</v>
      </c>
      <c r="D5" s="9">
        <v>19.989999999999998</v>
      </c>
      <c r="E5" s="88">
        <v>12.49</v>
      </c>
      <c r="F5" s="88">
        <v>18.989999999999998</v>
      </c>
      <c r="G5" s="88">
        <v>13.89</v>
      </c>
      <c r="H5" s="88">
        <v>13.49</v>
      </c>
      <c r="I5" s="9">
        <v>13.49</v>
      </c>
      <c r="J5" s="9">
        <v>9.99</v>
      </c>
      <c r="K5" s="89">
        <v>9.99</v>
      </c>
      <c r="L5" s="89">
        <v>23.99</v>
      </c>
      <c r="M5" s="10">
        <v>9.49</v>
      </c>
      <c r="N5" s="10">
        <v>18.899999999999999</v>
      </c>
      <c r="O5" s="10">
        <v>8.99</v>
      </c>
      <c r="P5">
        <v>7.6</v>
      </c>
      <c r="Q5">
        <v>5.19</v>
      </c>
      <c r="R5">
        <v>5.99</v>
      </c>
      <c r="S5">
        <v>35</v>
      </c>
      <c r="T5">
        <v>35</v>
      </c>
      <c r="U5">
        <v>26</v>
      </c>
      <c r="V5">
        <v>47</v>
      </c>
    </row>
    <row r="6" spans="1:22" x14ac:dyDescent="0.3">
      <c r="A6" s="8" t="s">
        <v>139</v>
      </c>
      <c r="B6" s="9">
        <v>9.49</v>
      </c>
      <c r="C6" s="88">
        <v>5.99</v>
      </c>
      <c r="D6" s="9">
        <v>19.989999999999998</v>
      </c>
      <c r="E6" s="88">
        <v>12.49</v>
      </c>
      <c r="F6" s="88">
        <v>18.989999999999998</v>
      </c>
      <c r="G6" s="88">
        <v>13.89</v>
      </c>
      <c r="H6" s="88">
        <v>13.49</v>
      </c>
      <c r="I6" s="9">
        <v>13.49</v>
      </c>
      <c r="J6" s="9">
        <v>9.99</v>
      </c>
      <c r="K6" s="89">
        <v>9.99</v>
      </c>
      <c r="L6" s="89">
        <v>23.99</v>
      </c>
      <c r="M6" s="10">
        <v>9.49</v>
      </c>
      <c r="N6" s="10">
        <v>18.899999999999999</v>
      </c>
      <c r="O6" s="10">
        <v>8.99</v>
      </c>
      <c r="P6">
        <v>7.6</v>
      </c>
      <c r="Q6">
        <v>5.19</v>
      </c>
      <c r="R6">
        <v>5.99</v>
      </c>
      <c r="S6">
        <v>35</v>
      </c>
      <c r="T6">
        <v>35</v>
      </c>
      <c r="U6">
        <v>26</v>
      </c>
      <c r="V6">
        <v>47</v>
      </c>
    </row>
    <row r="7" spans="1:22" x14ac:dyDescent="0.3">
      <c r="A7" s="8" t="s">
        <v>140</v>
      </c>
      <c r="B7" s="9">
        <v>9.49</v>
      </c>
      <c r="C7" s="88">
        <v>5.99</v>
      </c>
      <c r="D7" s="9">
        <v>19.989999999999998</v>
      </c>
      <c r="E7" s="88">
        <v>12.49</v>
      </c>
      <c r="F7" s="88">
        <v>18.989999999999998</v>
      </c>
      <c r="G7" s="88">
        <v>13.89</v>
      </c>
      <c r="H7" s="88">
        <v>13.49</v>
      </c>
      <c r="I7" s="9">
        <v>13.49</v>
      </c>
      <c r="J7" s="9">
        <v>9.99</v>
      </c>
      <c r="K7" s="89">
        <v>9.99</v>
      </c>
      <c r="L7" s="89">
        <v>23.99</v>
      </c>
      <c r="M7" s="10">
        <v>9.49</v>
      </c>
      <c r="N7" s="10">
        <v>18.899999999999999</v>
      </c>
      <c r="O7" s="10">
        <v>8.99</v>
      </c>
      <c r="P7">
        <v>7.6</v>
      </c>
      <c r="Q7">
        <v>5.19</v>
      </c>
      <c r="R7">
        <v>5.99</v>
      </c>
      <c r="S7">
        <v>35</v>
      </c>
      <c r="T7">
        <v>35</v>
      </c>
      <c r="U7">
        <v>26</v>
      </c>
      <c r="V7">
        <v>47</v>
      </c>
    </row>
    <row r="8" spans="1:22" x14ac:dyDescent="0.3">
      <c r="A8" s="8" t="s">
        <v>141</v>
      </c>
      <c r="B8" s="9">
        <v>9.49</v>
      </c>
      <c r="C8" s="88">
        <v>5.99</v>
      </c>
      <c r="D8" s="9">
        <v>19.989999999999998</v>
      </c>
      <c r="E8" s="88">
        <v>12.49</v>
      </c>
      <c r="F8" s="88">
        <v>18.989999999999998</v>
      </c>
      <c r="G8" s="88">
        <v>13.89</v>
      </c>
      <c r="H8" s="88">
        <v>13.49</v>
      </c>
      <c r="I8" s="9">
        <v>13.49</v>
      </c>
      <c r="J8" s="9">
        <v>9.99</v>
      </c>
      <c r="K8" s="89">
        <v>9.99</v>
      </c>
      <c r="L8" s="89">
        <v>23.99</v>
      </c>
      <c r="M8" s="10">
        <v>9.49</v>
      </c>
      <c r="N8" s="10">
        <v>18.899999999999999</v>
      </c>
      <c r="O8" s="10">
        <v>8.99</v>
      </c>
      <c r="P8">
        <v>7.6</v>
      </c>
      <c r="Q8">
        <v>5.19</v>
      </c>
      <c r="R8">
        <v>5.99</v>
      </c>
      <c r="S8">
        <v>35</v>
      </c>
      <c r="T8">
        <v>35</v>
      </c>
      <c r="U8">
        <v>26</v>
      </c>
      <c r="V8">
        <v>47</v>
      </c>
    </row>
    <row r="9" spans="1:22" x14ac:dyDescent="0.3">
      <c r="A9" s="8" t="s">
        <v>142</v>
      </c>
      <c r="B9" s="9">
        <v>9.49</v>
      </c>
      <c r="C9" s="88">
        <v>5.99</v>
      </c>
      <c r="D9" s="9">
        <v>19.989999999999998</v>
      </c>
      <c r="E9" s="88">
        <v>12.49</v>
      </c>
      <c r="F9" s="88">
        <v>18.989999999999998</v>
      </c>
      <c r="G9" s="88">
        <v>13.89</v>
      </c>
      <c r="H9" s="88">
        <v>13.49</v>
      </c>
      <c r="I9" s="9">
        <v>13.49</v>
      </c>
      <c r="J9" s="9">
        <v>9.99</v>
      </c>
      <c r="K9" s="89">
        <v>9.99</v>
      </c>
      <c r="L9" s="89">
        <v>23.99</v>
      </c>
      <c r="M9" s="10">
        <v>9.49</v>
      </c>
      <c r="N9" s="10">
        <v>18.899999999999999</v>
      </c>
      <c r="O9" s="10">
        <v>8.99</v>
      </c>
      <c r="P9">
        <v>7.6</v>
      </c>
      <c r="Q9">
        <v>5.19</v>
      </c>
      <c r="R9">
        <v>5.99</v>
      </c>
      <c r="S9">
        <v>35</v>
      </c>
      <c r="T9">
        <v>35</v>
      </c>
      <c r="U9">
        <v>26</v>
      </c>
      <c r="V9">
        <v>47</v>
      </c>
    </row>
    <row r="10" spans="1:22" ht="18" customHeight="1" x14ac:dyDescent="0.35">
      <c r="A10" s="11" t="s">
        <v>143</v>
      </c>
      <c r="B10" s="9">
        <v>9.49</v>
      </c>
      <c r="C10" s="88">
        <v>5.99</v>
      </c>
      <c r="D10" s="9">
        <v>19.989999999999998</v>
      </c>
      <c r="E10" s="88">
        <v>12.49</v>
      </c>
      <c r="F10" s="88">
        <v>18.989999999999998</v>
      </c>
      <c r="G10" s="88">
        <v>13.89</v>
      </c>
      <c r="H10" s="88">
        <v>13.49</v>
      </c>
      <c r="I10" s="9">
        <v>13.49</v>
      </c>
      <c r="J10" s="92">
        <v>9.99</v>
      </c>
      <c r="K10" s="92">
        <v>9.99</v>
      </c>
      <c r="L10" s="92">
        <v>23.99</v>
      </c>
      <c r="M10" s="10">
        <v>9.49</v>
      </c>
      <c r="N10" s="10">
        <v>18.899999999999999</v>
      </c>
      <c r="O10" s="10">
        <v>8.99</v>
      </c>
      <c r="P10">
        <v>7.6</v>
      </c>
      <c r="Q10">
        <v>5.19</v>
      </c>
      <c r="R10">
        <v>5.99</v>
      </c>
      <c r="S10">
        <v>35</v>
      </c>
      <c r="T10">
        <v>35</v>
      </c>
      <c r="U10">
        <v>26</v>
      </c>
      <c r="V10">
        <v>47</v>
      </c>
    </row>
    <row r="11" spans="1:22" x14ac:dyDescent="0.3">
      <c r="A11" s="8" t="s">
        <v>144</v>
      </c>
      <c r="B11" s="9">
        <v>9.49</v>
      </c>
      <c r="C11" s="88">
        <v>5.99</v>
      </c>
      <c r="D11" s="9">
        <v>19.989999999999998</v>
      </c>
      <c r="E11" s="88">
        <v>12.49</v>
      </c>
      <c r="F11" s="88">
        <v>18.989999999999998</v>
      </c>
      <c r="G11" s="88">
        <v>13.89</v>
      </c>
      <c r="H11" s="88">
        <v>13.49</v>
      </c>
      <c r="I11" s="9">
        <v>13.49</v>
      </c>
      <c r="J11" s="9">
        <v>9.99</v>
      </c>
      <c r="K11" s="89">
        <v>9.99</v>
      </c>
      <c r="L11" s="89">
        <v>23.99</v>
      </c>
      <c r="M11" s="10">
        <v>9.49</v>
      </c>
      <c r="N11" s="10">
        <v>18.899999999999999</v>
      </c>
      <c r="O11" s="10">
        <v>8.99</v>
      </c>
      <c r="P11">
        <v>7.6</v>
      </c>
      <c r="Q11">
        <v>5.19</v>
      </c>
      <c r="R11">
        <v>5.99</v>
      </c>
      <c r="S11">
        <v>35</v>
      </c>
      <c r="T11">
        <v>35</v>
      </c>
      <c r="U11">
        <v>26</v>
      </c>
      <c r="V11">
        <v>47</v>
      </c>
    </row>
    <row r="12" spans="1:22" x14ac:dyDescent="0.3">
      <c r="A12" s="8" t="s">
        <v>145</v>
      </c>
      <c r="B12" s="9">
        <v>9.49</v>
      </c>
      <c r="C12" s="88">
        <v>5.99</v>
      </c>
      <c r="D12" s="9">
        <v>19.989999999999998</v>
      </c>
      <c r="E12" s="88">
        <v>12.49</v>
      </c>
      <c r="F12" s="88">
        <v>18.989999999999998</v>
      </c>
      <c r="G12" s="88">
        <v>13.89</v>
      </c>
      <c r="H12" s="88">
        <v>13.49</v>
      </c>
      <c r="I12" s="9">
        <v>13.49</v>
      </c>
      <c r="J12" s="9">
        <v>9.99</v>
      </c>
      <c r="K12" s="89">
        <v>9.99</v>
      </c>
      <c r="L12" s="89">
        <v>23.99</v>
      </c>
      <c r="M12" s="10">
        <v>9.49</v>
      </c>
      <c r="N12" s="10">
        <v>18.899999999999999</v>
      </c>
      <c r="O12" s="10">
        <v>8.99</v>
      </c>
      <c r="P12">
        <v>7.6</v>
      </c>
      <c r="Q12">
        <v>5.19</v>
      </c>
      <c r="R12">
        <v>5.99</v>
      </c>
      <c r="S12">
        <v>35</v>
      </c>
      <c r="T12">
        <v>35</v>
      </c>
      <c r="U12">
        <v>26</v>
      </c>
      <c r="V12">
        <v>47</v>
      </c>
    </row>
    <row r="13" spans="1:22" x14ac:dyDescent="0.3">
      <c r="A13" s="12" t="s">
        <v>146</v>
      </c>
      <c r="B13" s="9">
        <v>9.49</v>
      </c>
      <c r="C13" s="88">
        <v>5.99</v>
      </c>
      <c r="D13" s="9">
        <v>19.989999999999998</v>
      </c>
      <c r="E13" s="54">
        <v>12.49</v>
      </c>
      <c r="F13" s="88">
        <v>18.989999999999998</v>
      </c>
      <c r="G13" s="54">
        <v>13.89</v>
      </c>
      <c r="H13" s="88">
        <v>13.49</v>
      </c>
      <c r="I13" s="9">
        <v>13.49</v>
      </c>
      <c r="J13" s="55">
        <v>9.99</v>
      </c>
      <c r="K13" s="55">
        <v>9.99</v>
      </c>
      <c r="L13" s="55">
        <v>23.99</v>
      </c>
      <c r="M13" s="55">
        <v>9.49</v>
      </c>
      <c r="N13" s="10">
        <v>18.899999999999999</v>
      </c>
      <c r="O13" s="55">
        <v>8.99</v>
      </c>
      <c r="P13">
        <v>7.6</v>
      </c>
      <c r="Q13">
        <v>5.19</v>
      </c>
      <c r="R13">
        <v>5.99</v>
      </c>
      <c r="S13">
        <v>35</v>
      </c>
      <c r="T13">
        <v>35</v>
      </c>
      <c r="U13">
        <v>26</v>
      </c>
      <c r="V13">
        <v>47</v>
      </c>
    </row>
    <row r="14" spans="1:22" x14ac:dyDescent="0.3">
      <c r="A14" s="8" t="s">
        <v>147</v>
      </c>
      <c r="B14" s="9">
        <v>9.49</v>
      </c>
      <c r="C14" s="88">
        <v>5.99</v>
      </c>
      <c r="D14" s="9">
        <v>19.989999999999998</v>
      </c>
      <c r="E14" s="88">
        <v>12.49</v>
      </c>
      <c r="F14" s="88">
        <v>18.989999999999998</v>
      </c>
      <c r="G14" s="88">
        <v>13.89</v>
      </c>
      <c r="H14" s="88">
        <v>13.49</v>
      </c>
      <c r="I14" s="9">
        <v>13.49</v>
      </c>
      <c r="J14" s="9">
        <v>9.99</v>
      </c>
      <c r="K14" s="89">
        <v>9.99</v>
      </c>
      <c r="L14" s="89">
        <v>23.99</v>
      </c>
      <c r="M14" s="10">
        <v>9.49</v>
      </c>
      <c r="N14" s="10">
        <v>18.899999999999999</v>
      </c>
      <c r="O14" s="10">
        <v>8.99</v>
      </c>
      <c r="P14">
        <v>7.6</v>
      </c>
      <c r="Q14">
        <v>5.19</v>
      </c>
      <c r="R14">
        <v>5.99</v>
      </c>
      <c r="S14">
        <v>35</v>
      </c>
      <c r="T14">
        <v>35</v>
      </c>
      <c r="U14">
        <v>26</v>
      </c>
      <c r="V14">
        <v>47</v>
      </c>
    </row>
    <row r="15" spans="1:22" x14ac:dyDescent="0.3">
      <c r="A15" s="8" t="s">
        <v>148</v>
      </c>
      <c r="B15" s="9">
        <v>9.49</v>
      </c>
      <c r="C15" s="88">
        <v>5.99</v>
      </c>
      <c r="D15" s="9">
        <v>19.989999999999998</v>
      </c>
      <c r="E15" s="88">
        <v>12.49</v>
      </c>
      <c r="F15" s="88">
        <v>18.989999999999998</v>
      </c>
      <c r="G15" s="88">
        <v>13.89</v>
      </c>
      <c r="H15" s="88">
        <v>13.49</v>
      </c>
      <c r="I15" s="9">
        <v>13.49</v>
      </c>
      <c r="J15" s="9">
        <v>9.99</v>
      </c>
      <c r="K15" s="89">
        <v>9.99</v>
      </c>
      <c r="L15" s="89">
        <v>23.99</v>
      </c>
      <c r="M15" s="10">
        <v>9.49</v>
      </c>
      <c r="N15" s="10">
        <v>18.899999999999999</v>
      </c>
      <c r="O15" s="10">
        <v>8.99</v>
      </c>
      <c r="P15">
        <v>7.6</v>
      </c>
      <c r="Q15">
        <v>5.19</v>
      </c>
      <c r="R15">
        <v>5.99</v>
      </c>
      <c r="S15">
        <v>35</v>
      </c>
      <c r="T15">
        <v>35</v>
      </c>
      <c r="U15">
        <v>26</v>
      </c>
      <c r="V15">
        <v>47</v>
      </c>
    </row>
    <row r="16" spans="1:22" x14ac:dyDescent="0.3">
      <c r="A16" s="8" t="s">
        <v>149</v>
      </c>
      <c r="B16" s="9">
        <v>9.49</v>
      </c>
      <c r="C16" s="88">
        <v>5.99</v>
      </c>
      <c r="D16" s="9">
        <v>19.989999999999998</v>
      </c>
      <c r="E16" s="88">
        <v>12.49</v>
      </c>
      <c r="F16" s="88">
        <v>18.989999999999998</v>
      </c>
      <c r="G16" s="88">
        <v>13.89</v>
      </c>
      <c r="H16" s="88">
        <v>13.49</v>
      </c>
      <c r="I16" s="9">
        <v>13.49</v>
      </c>
      <c r="J16" s="9">
        <v>9.99</v>
      </c>
      <c r="K16" s="89">
        <v>9.99</v>
      </c>
      <c r="L16" s="89">
        <v>23.99</v>
      </c>
      <c r="M16" s="10">
        <v>9.49</v>
      </c>
      <c r="N16" s="10">
        <v>18.899999999999999</v>
      </c>
      <c r="O16" s="10">
        <v>8.99</v>
      </c>
      <c r="P16">
        <v>7.6</v>
      </c>
      <c r="Q16">
        <v>5.19</v>
      </c>
      <c r="R16">
        <v>5.99</v>
      </c>
      <c r="S16">
        <v>35</v>
      </c>
      <c r="T16">
        <v>35</v>
      </c>
      <c r="U16">
        <v>26</v>
      </c>
      <c r="V16">
        <v>47</v>
      </c>
    </row>
    <row r="17" spans="1:22" x14ac:dyDescent="0.3">
      <c r="A17" s="8" t="s">
        <v>150</v>
      </c>
      <c r="B17" s="9">
        <v>9.49</v>
      </c>
      <c r="C17" s="88">
        <v>5.99</v>
      </c>
      <c r="D17" s="9">
        <v>19.989999999999998</v>
      </c>
      <c r="E17" s="88">
        <v>12.49</v>
      </c>
      <c r="F17" s="88">
        <v>18.989999999999998</v>
      </c>
      <c r="G17" s="88">
        <v>13.89</v>
      </c>
      <c r="H17" s="88">
        <v>13.49</v>
      </c>
      <c r="I17" s="9">
        <v>13.49</v>
      </c>
      <c r="J17" s="9">
        <v>9.99</v>
      </c>
      <c r="K17" s="89">
        <v>9.99</v>
      </c>
      <c r="L17" s="89">
        <v>23.99</v>
      </c>
      <c r="M17" s="10">
        <v>9.49</v>
      </c>
      <c r="N17" s="10">
        <v>18.899999999999999</v>
      </c>
      <c r="O17" s="10">
        <v>8.99</v>
      </c>
      <c r="P17">
        <v>7.6</v>
      </c>
      <c r="Q17">
        <v>5.19</v>
      </c>
      <c r="R17">
        <v>5.99</v>
      </c>
      <c r="S17">
        <v>35</v>
      </c>
      <c r="T17">
        <v>35</v>
      </c>
      <c r="U17">
        <v>26</v>
      </c>
      <c r="V17">
        <v>47</v>
      </c>
    </row>
    <row r="18" spans="1:22" x14ac:dyDescent="0.3">
      <c r="A18" s="8" t="s">
        <v>151</v>
      </c>
      <c r="B18" s="9">
        <v>9.49</v>
      </c>
      <c r="C18" s="88">
        <v>5.99</v>
      </c>
      <c r="D18" s="9">
        <v>19.989999999999998</v>
      </c>
      <c r="E18" s="88">
        <v>12.49</v>
      </c>
      <c r="F18" s="88">
        <v>18.989999999999998</v>
      </c>
      <c r="G18" s="88">
        <v>13.89</v>
      </c>
      <c r="H18" s="88">
        <v>13.49</v>
      </c>
      <c r="I18" s="9">
        <v>13.49</v>
      </c>
      <c r="J18" s="9">
        <v>9.99</v>
      </c>
      <c r="K18" s="89">
        <v>9.99</v>
      </c>
      <c r="L18" s="89">
        <v>23.99</v>
      </c>
      <c r="M18" s="10">
        <v>9.49</v>
      </c>
      <c r="N18" s="10">
        <v>18.899999999999999</v>
      </c>
      <c r="O18" s="10">
        <v>8.99</v>
      </c>
      <c r="P18">
        <v>7.6</v>
      </c>
      <c r="Q18">
        <v>5.19</v>
      </c>
      <c r="R18">
        <v>5.99</v>
      </c>
      <c r="S18">
        <v>35</v>
      </c>
      <c r="T18">
        <v>35</v>
      </c>
      <c r="U18">
        <v>26</v>
      </c>
      <c r="V18">
        <v>47</v>
      </c>
    </row>
    <row r="19" spans="1:22" x14ac:dyDescent="0.3">
      <c r="A19" s="8" t="s">
        <v>152</v>
      </c>
      <c r="B19" s="9">
        <v>9.49</v>
      </c>
      <c r="C19" s="88">
        <v>5.99</v>
      </c>
      <c r="D19" s="9">
        <v>19.989999999999998</v>
      </c>
      <c r="E19" s="88">
        <v>12.49</v>
      </c>
      <c r="F19" s="88">
        <v>18.989999999999998</v>
      </c>
      <c r="G19" s="88">
        <v>13.89</v>
      </c>
      <c r="H19" s="88">
        <v>13.49</v>
      </c>
      <c r="I19" s="9">
        <v>13.49</v>
      </c>
      <c r="J19" s="9">
        <v>9.99</v>
      </c>
      <c r="K19" s="89">
        <v>9.99</v>
      </c>
      <c r="L19" s="89">
        <v>23.99</v>
      </c>
      <c r="M19" s="10">
        <v>9.49</v>
      </c>
      <c r="N19" s="10">
        <v>18.899999999999999</v>
      </c>
      <c r="O19" s="10">
        <v>8.99</v>
      </c>
      <c r="P19">
        <v>7.6</v>
      </c>
      <c r="Q19">
        <v>5.19</v>
      </c>
      <c r="R19">
        <v>5.99</v>
      </c>
      <c r="S19">
        <v>35</v>
      </c>
      <c r="T19">
        <v>35</v>
      </c>
      <c r="U19">
        <v>26</v>
      </c>
      <c r="V19">
        <v>47</v>
      </c>
    </row>
    <row r="20" spans="1:22" x14ac:dyDescent="0.3">
      <c r="A20" s="13" t="s">
        <v>5</v>
      </c>
      <c r="B20" s="14">
        <v>9.49</v>
      </c>
      <c r="C20" s="88">
        <v>5.99</v>
      </c>
      <c r="D20" s="14">
        <v>19.989999999999998</v>
      </c>
      <c r="E20" s="54">
        <v>12.49</v>
      </c>
      <c r="F20" s="88">
        <v>18.989999999999998</v>
      </c>
      <c r="G20" s="54">
        <v>13.89</v>
      </c>
      <c r="H20" s="88">
        <v>13.49</v>
      </c>
      <c r="I20" s="9">
        <v>13.49</v>
      </c>
      <c r="J20" s="55">
        <v>9.99</v>
      </c>
      <c r="K20" s="55">
        <v>9.99</v>
      </c>
      <c r="L20" s="55">
        <v>23.99</v>
      </c>
      <c r="M20" s="55">
        <v>9.49</v>
      </c>
      <c r="N20" s="10">
        <v>18.899999999999999</v>
      </c>
      <c r="O20" s="55">
        <v>8.99</v>
      </c>
      <c r="P20">
        <v>7.6</v>
      </c>
      <c r="Q20">
        <v>5.19</v>
      </c>
      <c r="R20">
        <v>5.99</v>
      </c>
      <c r="S20">
        <v>35</v>
      </c>
      <c r="T20">
        <v>35</v>
      </c>
      <c r="U20">
        <v>26</v>
      </c>
      <c r="V20">
        <v>47</v>
      </c>
    </row>
    <row r="21" spans="1:22" x14ac:dyDescent="0.3">
      <c r="A21" s="12" t="s">
        <v>153</v>
      </c>
      <c r="B21" s="9">
        <v>9.49</v>
      </c>
      <c r="C21" s="88">
        <v>5.99</v>
      </c>
      <c r="D21" s="9">
        <v>19.989999999999998</v>
      </c>
      <c r="E21" s="54">
        <v>12.49</v>
      </c>
      <c r="F21" s="88">
        <v>18.989999999999998</v>
      </c>
      <c r="G21" s="54">
        <v>13.89</v>
      </c>
      <c r="H21" s="88">
        <v>13.49</v>
      </c>
      <c r="I21" s="9">
        <v>13.49</v>
      </c>
      <c r="J21" s="55">
        <v>9.99</v>
      </c>
      <c r="K21" s="55">
        <v>9.99</v>
      </c>
      <c r="L21" s="55">
        <v>23.99</v>
      </c>
      <c r="M21" s="55">
        <v>9.49</v>
      </c>
      <c r="N21" s="10">
        <v>18.899999999999999</v>
      </c>
      <c r="O21" s="55">
        <v>8.99</v>
      </c>
      <c r="P21">
        <v>7.6</v>
      </c>
      <c r="Q21">
        <v>5.19</v>
      </c>
      <c r="R21">
        <v>5.99</v>
      </c>
      <c r="S21">
        <v>35</v>
      </c>
      <c r="T21">
        <v>35</v>
      </c>
      <c r="U21">
        <v>26</v>
      </c>
      <c r="V21">
        <v>47</v>
      </c>
    </row>
    <row r="22" spans="1:22" x14ac:dyDescent="0.3">
      <c r="A22" s="8" t="s">
        <v>154</v>
      </c>
      <c r="B22" s="9">
        <v>9.49</v>
      </c>
      <c r="C22" s="88">
        <v>5.99</v>
      </c>
      <c r="D22" s="9">
        <v>19.989999999999998</v>
      </c>
      <c r="E22" s="88">
        <v>12.49</v>
      </c>
      <c r="F22" s="88">
        <v>18.989999999999998</v>
      </c>
      <c r="G22" s="88">
        <v>13.89</v>
      </c>
      <c r="H22" s="88">
        <v>13.49</v>
      </c>
      <c r="I22" s="9">
        <v>13.49</v>
      </c>
      <c r="J22" s="9">
        <v>9.99</v>
      </c>
      <c r="K22" s="89">
        <v>9.99</v>
      </c>
      <c r="L22" s="89">
        <v>23.99</v>
      </c>
      <c r="M22" s="10">
        <v>9.49</v>
      </c>
      <c r="N22" s="10">
        <v>18.899999999999999</v>
      </c>
      <c r="O22" s="10">
        <v>8.99</v>
      </c>
      <c r="P22">
        <v>7.6</v>
      </c>
      <c r="Q22">
        <v>5.19</v>
      </c>
      <c r="R22">
        <v>5.99</v>
      </c>
      <c r="S22">
        <v>35</v>
      </c>
      <c r="T22">
        <v>35</v>
      </c>
      <c r="U22">
        <v>26</v>
      </c>
      <c r="V22">
        <v>47</v>
      </c>
    </row>
    <row r="23" spans="1:22" x14ac:dyDescent="0.3">
      <c r="A23" s="8" t="s">
        <v>155</v>
      </c>
      <c r="B23" s="9">
        <v>9.49</v>
      </c>
      <c r="C23" s="88">
        <v>5.99</v>
      </c>
      <c r="D23" s="9">
        <v>19.989999999999998</v>
      </c>
      <c r="E23" s="88">
        <v>12.49</v>
      </c>
      <c r="F23" s="88">
        <v>18.989999999999998</v>
      </c>
      <c r="G23" s="88">
        <v>13.89</v>
      </c>
      <c r="H23" s="88">
        <v>13.49</v>
      </c>
      <c r="I23" s="9">
        <v>13.49</v>
      </c>
      <c r="J23" s="9">
        <v>9.99</v>
      </c>
      <c r="K23" s="89">
        <v>9.99</v>
      </c>
      <c r="L23" s="89">
        <v>23.99</v>
      </c>
      <c r="M23" s="10">
        <v>9.49</v>
      </c>
      <c r="N23" s="10">
        <v>18.899999999999999</v>
      </c>
      <c r="O23" s="10">
        <v>8.99</v>
      </c>
      <c r="P23">
        <v>7.6</v>
      </c>
      <c r="Q23">
        <v>5.19</v>
      </c>
      <c r="R23">
        <v>5.99</v>
      </c>
      <c r="S23">
        <v>35</v>
      </c>
      <c r="T23">
        <v>35</v>
      </c>
      <c r="U23">
        <v>26</v>
      </c>
      <c r="V23">
        <v>47</v>
      </c>
    </row>
    <row r="24" spans="1:22" x14ac:dyDescent="0.3">
      <c r="A24" s="8" t="s">
        <v>156</v>
      </c>
      <c r="B24" s="9">
        <v>9.49</v>
      </c>
      <c r="C24" s="88">
        <v>5.99</v>
      </c>
      <c r="D24" s="9">
        <v>19.989999999999998</v>
      </c>
      <c r="E24" s="88">
        <v>12.49</v>
      </c>
      <c r="F24" s="88">
        <v>18.989999999999998</v>
      </c>
      <c r="G24" s="88">
        <v>13.89</v>
      </c>
      <c r="H24" s="88">
        <v>13.49</v>
      </c>
      <c r="I24" s="9">
        <v>13.49</v>
      </c>
      <c r="J24" s="9">
        <v>9.99</v>
      </c>
      <c r="K24" s="89">
        <v>9.99</v>
      </c>
      <c r="L24" s="89">
        <v>23.99</v>
      </c>
      <c r="M24" s="10">
        <v>9.49</v>
      </c>
      <c r="N24" s="10">
        <v>18.899999999999999</v>
      </c>
      <c r="O24" s="10">
        <v>8.99</v>
      </c>
      <c r="P24">
        <v>7.6</v>
      </c>
      <c r="Q24">
        <v>5.19</v>
      </c>
      <c r="R24">
        <v>5.99</v>
      </c>
      <c r="S24">
        <v>35</v>
      </c>
      <c r="T24">
        <v>35</v>
      </c>
      <c r="U24">
        <v>26</v>
      </c>
      <c r="V24">
        <v>47</v>
      </c>
    </row>
    <row r="25" spans="1:22" x14ac:dyDescent="0.3">
      <c r="A25" s="12" t="s">
        <v>157</v>
      </c>
      <c r="B25" s="9">
        <v>9.49</v>
      </c>
      <c r="C25" s="88">
        <v>5.99</v>
      </c>
      <c r="D25" s="9">
        <v>19.989999999999998</v>
      </c>
      <c r="E25" s="54">
        <v>12.49</v>
      </c>
      <c r="F25" s="88">
        <v>18.989999999999998</v>
      </c>
      <c r="G25" s="54">
        <v>13.89</v>
      </c>
      <c r="H25" s="88">
        <v>13.49</v>
      </c>
      <c r="I25" s="9">
        <v>13.49</v>
      </c>
      <c r="J25" s="55">
        <v>9.99</v>
      </c>
      <c r="K25" s="55">
        <v>9.99</v>
      </c>
      <c r="L25" s="55">
        <v>23.99</v>
      </c>
      <c r="M25" s="55">
        <v>9.49</v>
      </c>
      <c r="N25" s="10">
        <v>18.899999999999999</v>
      </c>
      <c r="O25" s="55">
        <v>8.99</v>
      </c>
      <c r="P25">
        <v>7.6</v>
      </c>
      <c r="Q25">
        <v>5.19</v>
      </c>
      <c r="R25">
        <v>5.99</v>
      </c>
      <c r="S25">
        <v>35</v>
      </c>
      <c r="T25">
        <v>35</v>
      </c>
      <c r="U25">
        <v>26</v>
      </c>
      <c r="V25">
        <v>47</v>
      </c>
    </row>
    <row r="26" spans="1:22" x14ac:dyDescent="0.3">
      <c r="A26" s="12" t="s">
        <v>158</v>
      </c>
      <c r="B26" s="9">
        <v>9.49</v>
      </c>
      <c r="C26" s="88">
        <v>5.99</v>
      </c>
      <c r="D26" s="9">
        <v>19.989999999999998</v>
      </c>
      <c r="E26" s="54">
        <v>12.49</v>
      </c>
      <c r="F26" s="88">
        <v>18.989999999999998</v>
      </c>
      <c r="G26" s="54">
        <v>13.89</v>
      </c>
      <c r="H26" s="88">
        <v>13.49</v>
      </c>
      <c r="I26" s="9">
        <v>13.49</v>
      </c>
      <c r="J26" s="55">
        <v>9.99</v>
      </c>
      <c r="K26" s="55">
        <v>9.99</v>
      </c>
      <c r="L26" s="55">
        <v>23.99</v>
      </c>
      <c r="M26" s="55">
        <v>9.49</v>
      </c>
      <c r="N26" s="10">
        <v>18.899999999999999</v>
      </c>
      <c r="O26" s="55">
        <v>8.99</v>
      </c>
      <c r="P26">
        <v>7.6</v>
      </c>
      <c r="Q26">
        <v>5.19</v>
      </c>
      <c r="R26">
        <v>5.99</v>
      </c>
      <c r="S26">
        <v>35</v>
      </c>
      <c r="T26">
        <v>35</v>
      </c>
      <c r="U26">
        <v>26</v>
      </c>
      <c r="V26">
        <v>47</v>
      </c>
    </row>
    <row r="27" spans="1:22" x14ac:dyDescent="0.3">
      <c r="A27" s="8" t="s">
        <v>159</v>
      </c>
      <c r="B27" s="9">
        <v>9.49</v>
      </c>
      <c r="C27" s="88">
        <v>5.99</v>
      </c>
      <c r="D27" s="9">
        <v>19.989999999999998</v>
      </c>
      <c r="E27" s="88">
        <v>12.49</v>
      </c>
      <c r="F27" s="88">
        <v>18.989999999999998</v>
      </c>
      <c r="G27" s="88">
        <v>13.89</v>
      </c>
      <c r="H27" s="88">
        <v>13.49</v>
      </c>
      <c r="I27" s="9">
        <v>13.49</v>
      </c>
      <c r="J27" s="9">
        <v>9.99</v>
      </c>
      <c r="K27" s="89">
        <v>9.99</v>
      </c>
      <c r="L27" s="89">
        <v>23.99</v>
      </c>
      <c r="M27" s="10">
        <v>9.49</v>
      </c>
      <c r="N27" s="10">
        <v>18.899999999999999</v>
      </c>
      <c r="O27" s="10">
        <v>8.99</v>
      </c>
      <c r="P27">
        <v>7.6</v>
      </c>
      <c r="Q27">
        <v>5.19</v>
      </c>
      <c r="R27">
        <v>5.99</v>
      </c>
      <c r="S27">
        <v>35</v>
      </c>
      <c r="T27">
        <v>35</v>
      </c>
      <c r="U27">
        <v>26</v>
      </c>
      <c r="V27">
        <v>47</v>
      </c>
    </row>
    <row r="28" spans="1:22" x14ac:dyDescent="0.3">
      <c r="A28" s="12" t="s">
        <v>160</v>
      </c>
      <c r="B28" s="9">
        <v>9.49</v>
      </c>
      <c r="C28" s="88">
        <v>5.99</v>
      </c>
      <c r="D28" s="9">
        <v>19.989999999999998</v>
      </c>
      <c r="E28" s="54">
        <v>12.49</v>
      </c>
      <c r="F28" s="88">
        <v>18.989999999999998</v>
      </c>
      <c r="G28" s="54">
        <v>13.89</v>
      </c>
      <c r="H28" s="88">
        <v>13.49</v>
      </c>
      <c r="I28" s="9">
        <v>13.49</v>
      </c>
      <c r="J28" s="55">
        <v>9.99</v>
      </c>
      <c r="K28" s="55">
        <v>9.99</v>
      </c>
      <c r="L28" s="55">
        <v>23.99</v>
      </c>
      <c r="M28" s="55">
        <v>9.49</v>
      </c>
      <c r="N28" s="10">
        <v>18.899999999999999</v>
      </c>
      <c r="O28" s="55">
        <v>8.99</v>
      </c>
      <c r="P28">
        <v>7.6</v>
      </c>
      <c r="Q28">
        <v>5.19</v>
      </c>
      <c r="R28">
        <v>5.99</v>
      </c>
      <c r="S28">
        <v>35</v>
      </c>
      <c r="T28">
        <v>35</v>
      </c>
      <c r="U28">
        <v>26</v>
      </c>
      <c r="V28">
        <v>47</v>
      </c>
    </row>
    <row r="29" spans="1:22" x14ac:dyDescent="0.3">
      <c r="A29" s="90" t="s">
        <v>161</v>
      </c>
      <c r="B29" s="9">
        <v>9.49</v>
      </c>
      <c r="C29" s="88">
        <v>5.99</v>
      </c>
      <c r="D29" s="9">
        <v>19.989999999999998</v>
      </c>
      <c r="E29" s="54">
        <v>12.49</v>
      </c>
      <c r="F29" s="88">
        <v>18.989999999999998</v>
      </c>
      <c r="G29" s="54">
        <v>13.89</v>
      </c>
      <c r="H29" s="88">
        <v>13.49</v>
      </c>
      <c r="I29" s="9">
        <v>13.49</v>
      </c>
      <c r="J29" s="55">
        <v>9.99</v>
      </c>
      <c r="K29" s="55">
        <v>9.99</v>
      </c>
      <c r="L29" s="55">
        <v>23.99</v>
      </c>
      <c r="M29" s="55">
        <v>9.49</v>
      </c>
      <c r="N29" s="10">
        <v>18.899999999999999</v>
      </c>
      <c r="O29" s="55">
        <v>8.99</v>
      </c>
      <c r="P29">
        <v>7.6</v>
      </c>
      <c r="Q29">
        <v>5.19</v>
      </c>
      <c r="R29">
        <v>5.99</v>
      </c>
      <c r="S29">
        <v>35</v>
      </c>
      <c r="T29">
        <v>35</v>
      </c>
      <c r="U29">
        <v>26</v>
      </c>
      <c r="V29">
        <v>47</v>
      </c>
    </row>
    <row r="30" spans="1:22" x14ac:dyDescent="0.3">
      <c r="A30" s="8" t="s">
        <v>162</v>
      </c>
      <c r="B30" s="9">
        <v>9.49</v>
      </c>
      <c r="C30" s="88">
        <v>5.99</v>
      </c>
      <c r="D30" s="9">
        <v>19.989999999999998</v>
      </c>
      <c r="E30" s="88">
        <v>12.49</v>
      </c>
      <c r="F30" s="88">
        <v>18.989999999999998</v>
      </c>
      <c r="G30" s="88">
        <v>13.89</v>
      </c>
      <c r="H30" s="88">
        <v>13.49</v>
      </c>
      <c r="I30" s="9">
        <v>13.49</v>
      </c>
      <c r="J30" s="9">
        <v>9.99</v>
      </c>
      <c r="K30" s="89">
        <v>9.99</v>
      </c>
      <c r="L30" s="89">
        <v>23.99</v>
      </c>
      <c r="M30" s="10">
        <v>9.49</v>
      </c>
      <c r="N30" s="10">
        <v>18.899999999999999</v>
      </c>
      <c r="O30" s="10">
        <v>8.99</v>
      </c>
      <c r="P30">
        <v>7.6</v>
      </c>
      <c r="Q30">
        <v>5.19</v>
      </c>
      <c r="R30">
        <v>5.99</v>
      </c>
      <c r="S30">
        <v>35</v>
      </c>
      <c r="T30">
        <v>35</v>
      </c>
      <c r="U30">
        <v>26</v>
      </c>
      <c r="V30">
        <v>47</v>
      </c>
    </row>
    <row r="31" spans="1:22" x14ac:dyDescent="0.3">
      <c r="A31" s="56" t="s">
        <v>163</v>
      </c>
      <c r="B31" s="91"/>
      <c r="C31" s="57"/>
      <c r="D31" s="91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</row>
    <row r="33" spans="1:15" x14ac:dyDescent="0.3">
      <c r="A33" s="58" t="s">
        <v>84</v>
      </c>
      <c r="B33" s="59">
        <v>9.49</v>
      </c>
      <c r="C33" s="60">
        <v>5.79</v>
      </c>
      <c r="D33" s="60">
        <v>19.989999999999998</v>
      </c>
      <c r="E33" s="60">
        <v>13.69</v>
      </c>
      <c r="F33" s="60">
        <v>17.989999999999998</v>
      </c>
      <c r="G33" s="60">
        <v>13.89</v>
      </c>
      <c r="H33" s="60">
        <v>13.49</v>
      </c>
      <c r="I33" s="60">
        <v>12.49</v>
      </c>
      <c r="J33" s="60">
        <v>9.99</v>
      </c>
      <c r="K33" s="60">
        <v>9.99</v>
      </c>
      <c r="L33" s="60">
        <v>24.99</v>
      </c>
      <c r="M33" s="60">
        <v>9.49</v>
      </c>
      <c r="N33" s="60">
        <v>18.989999999999998</v>
      </c>
      <c r="O33" s="60">
        <v>0</v>
      </c>
    </row>
    <row r="34" spans="1:15" x14ac:dyDescent="0.3">
      <c r="I34" t="s">
        <v>186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0"/>
  <sheetViews>
    <sheetView workbookViewId="0"/>
  </sheetViews>
  <sheetFormatPr defaultRowHeight="14.4" x14ac:dyDescent="0.3"/>
  <cols>
    <col min="1" max="1" width="9" customWidth="1"/>
    <col min="2" max="2" width="25.44140625" customWidth="1"/>
    <col min="3" max="3" width="18.5546875" customWidth="1"/>
    <col min="4" max="4" width="16" customWidth="1"/>
    <col min="5" max="5" width="17" customWidth="1"/>
    <col min="6" max="6" width="20.5546875" customWidth="1"/>
    <col min="7" max="7" width="21.5546875" customWidth="1"/>
    <col min="8" max="8" width="10.5546875" customWidth="1"/>
    <col min="9" max="9" width="12.5546875" customWidth="1"/>
    <col min="10" max="10" width="13.5546875" customWidth="1"/>
  </cols>
  <sheetData>
    <row r="1" spans="1:10" ht="15.6" customHeight="1" x14ac:dyDescent="0.3">
      <c r="A1" s="178" t="s">
        <v>126</v>
      </c>
      <c r="B1" s="179" t="s">
        <v>127</v>
      </c>
      <c r="C1" s="179" t="s">
        <v>128</v>
      </c>
      <c r="D1" s="180" t="s">
        <v>129</v>
      </c>
      <c r="E1" s="180" t="s">
        <v>130</v>
      </c>
      <c r="F1" s="180" t="s">
        <v>131</v>
      </c>
      <c r="G1" s="180" t="s">
        <v>132</v>
      </c>
      <c r="H1" s="180" t="s">
        <v>133</v>
      </c>
      <c r="I1" s="180" t="s">
        <v>134</v>
      </c>
      <c r="J1" s="180" t="s">
        <v>135</v>
      </c>
    </row>
    <row r="2" spans="1:10" x14ac:dyDescent="0.3">
      <c r="A2" s="181" t="s">
        <v>136</v>
      </c>
      <c r="B2" s="182">
        <v>7.0000000000000007E-2</v>
      </c>
      <c r="C2" s="182">
        <v>7.0000000000000007E-2</v>
      </c>
      <c r="D2" s="183"/>
      <c r="E2" s="183"/>
      <c r="F2" s="183"/>
      <c r="G2" s="183"/>
      <c r="H2" s="4">
        <f>PREÇOS!O3</f>
        <v>4.8258064516129027</v>
      </c>
      <c r="I2" s="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81" t="s">
        <v>137</v>
      </c>
      <c r="B3" s="182">
        <v>7.0000000000000007E-2</v>
      </c>
      <c r="C3" s="182">
        <v>0.19</v>
      </c>
      <c r="D3" s="183">
        <v>0.54320000000000002</v>
      </c>
      <c r="E3" s="183"/>
      <c r="F3" s="183">
        <v>0.79400000000000004</v>
      </c>
      <c r="G3" s="183"/>
      <c r="H3" s="4">
        <f>PREÇOS!O4</f>
        <v>4.8258064516129027</v>
      </c>
      <c r="I3" s="4">
        <f t="shared" si="0"/>
        <v>1.3071179354838711</v>
      </c>
      <c r="J3" s="4">
        <f t="shared" si="1"/>
        <v>1.3071179354838711</v>
      </c>
    </row>
    <row r="4" spans="1:10" x14ac:dyDescent="0.3">
      <c r="A4" s="181" t="s">
        <v>138</v>
      </c>
      <c r="B4" s="182">
        <v>7.0000000000000007E-2</v>
      </c>
      <c r="C4" s="182">
        <v>0.18</v>
      </c>
      <c r="D4" s="183"/>
      <c r="E4" s="183"/>
      <c r="F4" s="183"/>
      <c r="G4" s="183"/>
      <c r="H4" s="4">
        <f>PREÇOS!O5</f>
        <v>4.8258064516129027</v>
      </c>
      <c r="I4" s="4">
        <f t="shared" si="0"/>
        <v>0</v>
      </c>
      <c r="J4" s="4">
        <f t="shared" si="1"/>
        <v>0</v>
      </c>
    </row>
    <row r="5" spans="1:10" x14ac:dyDescent="0.3">
      <c r="A5" s="181" t="s">
        <v>139</v>
      </c>
      <c r="B5" s="182">
        <v>7.0000000000000007E-2</v>
      </c>
      <c r="C5" s="182">
        <v>0.18</v>
      </c>
      <c r="D5" s="183">
        <v>0.41</v>
      </c>
      <c r="E5" s="183"/>
      <c r="F5" s="183">
        <v>0.59909999999999997</v>
      </c>
      <c r="G5" s="183"/>
      <c r="H5" s="4">
        <f>PREÇOS!O6</f>
        <v>4.8258064516129027</v>
      </c>
      <c r="I5" s="4">
        <f t="shared" si="0"/>
        <v>1.0512440258064513</v>
      </c>
      <c r="J5" s="4">
        <f t="shared" si="1"/>
        <v>1.0512440258064513</v>
      </c>
    </row>
    <row r="6" spans="1:10" x14ac:dyDescent="0.3">
      <c r="A6" s="181" t="s">
        <v>140</v>
      </c>
      <c r="B6" s="182">
        <v>7.0000000000000007E-2</v>
      </c>
      <c r="C6" s="182">
        <v>7.0000000000000007E-2</v>
      </c>
      <c r="D6" s="183"/>
      <c r="E6" s="183"/>
      <c r="F6" s="183"/>
      <c r="G6" s="183"/>
      <c r="H6" s="4">
        <f>PREÇOS!O7</f>
        <v>4.8258064516129027</v>
      </c>
      <c r="I6" s="4">
        <f t="shared" si="0"/>
        <v>0</v>
      </c>
      <c r="J6" s="4">
        <f t="shared" si="1"/>
        <v>0</v>
      </c>
    </row>
    <row r="7" spans="1:10" x14ac:dyDescent="0.3">
      <c r="A7" s="181" t="s">
        <v>141</v>
      </c>
      <c r="B7" s="182">
        <v>7.0000000000000007E-2</v>
      </c>
      <c r="C7" s="182">
        <v>7.0000000000000007E-2</v>
      </c>
      <c r="D7" s="183"/>
      <c r="E7" s="183"/>
      <c r="F7" s="183"/>
      <c r="G7" s="183"/>
      <c r="H7" s="4">
        <f>PREÇOS!O8</f>
        <v>4.8258064516129027</v>
      </c>
      <c r="I7" s="4">
        <f t="shared" si="0"/>
        <v>0</v>
      </c>
      <c r="J7" s="4">
        <f t="shared" si="1"/>
        <v>0</v>
      </c>
    </row>
    <row r="8" spans="1:10" x14ac:dyDescent="0.3">
      <c r="A8" s="181" t="s">
        <v>142</v>
      </c>
      <c r="B8" s="182">
        <v>7.0000000000000007E-2</v>
      </c>
      <c r="C8" s="182">
        <v>7.0000000000000007E-2</v>
      </c>
      <c r="D8" s="183"/>
      <c r="E8" s="183"/>
      <c r="F8" s="183"/>
      <c r="G8" s="183"/>
      <c r="H8" s="4">
        <f>PREÇOS!O9</f>
        <v>4.8258064516129027</v>
      </c>
      <c r="I8" s="4">
        <f t="shared" si="0"/>
        <v>0</v>
      </c>
      <c r="J8" s="4">
        <f t="shared" si="1"/>
        <v>0</v>
      </c>
    </row>
    <row r="9" spans="1:10" x14ac:dyDescent="0.3">
      <c r="A9" s="181" t="s">
        <v>143</v>
      </c>
      <c r="B9" s="182">
        <v>7.0000000000000007E-2</v>
      </c>
      <c r="C9" s="184">
        <v>7.0000000000000007E-2</v>
      </c>
      <c r="D9" s="183"/>
      <c r="E9" s="183"/>
      <c r="F9" s="183"/>
      <c r="G9" s="183"/>
      <c r="H9" s="4">
        <f>PREÇOS!O10</f>
        <v>4.8258064516129027</v>
      </c>
      <c r="I9" s="4">
        <f t="shared" si="0"/>
        <v>0</v>
      </c>
      <c r="J9" s="4">
        <f t="shared" si="1"/>
        <v>0</v>
      </c>
    </row>
    <row r="10" spans="1:10" x14ac:dyDescent="0.3">
      <c r="A10" s="181" t="s">
        <v>144</v>
      </c>
      <c r="B10" s="182">
        <v>7.0000000000000007E-2</v>
      </c>
      <c r="C10" s="184">
        <v>7.0000000000000007E-2</v>
      </c>
      <c r="D10" s="183"/>
      <c r="E10" s="183"/>
      <c r="F10" s="183"/>
      <c r="G10" s="183"/>
      <c r="H10" s="4">
        <f>PREÇOS!O11</f>
        <v>4.8258064516129027</v>
      </c>
      <c r="I10" s="4">
        <f t="shared" si="0"/>
        <v>0</v>
      </c>
      <c r="J10" s="4">
        <f t="shared" si="1"/>
        <v>0</v>
      </c>
    </row>
    <row r="11" spans="1:10" x14ac:dyDescent="0.3">
      <c r="A11" s="181" t="s">
        <v>145</v>
      </c>
      <c r="B11" s="182">
        <v>7.0000000000000007E-2</v>
      </c>
      <c r="C11" s="184">
        <v>7.0000000000000007E-2</v>
      </c>
      <c r="D11" s="183"/>
      <c r="E11" s="183"/>
      <c r="F11" s="183"/>
      <c r="G11" s="183"/>
      <c r="H11" s="4">
        <f>PREÇOS!O12</f>
        <v>4.8258064516129027</v>
      </c>
      <c r="I11" s="4">
        <f t="shared" si="0"/>
        <v>0</v>
      </c>
      <c r="J11" s="4">
        <f t="shared" si="1"/>
        <v>0</v>
      </c>
    </row>
    <row r="12" spans="1:10" x14ac:dyDescent="0.3">
      <c r="A12" s="181" t="s">
        <v>146</v>
      </c>
      <c r="B12" s="182">
        <v>0.12</v>
      </c>
      <c r="C12" s="184">
        <v>0.18</v>
      </c>
      <c r="D12" s="183">
        <v>0.4</v>
      </c>
      <c r="E12" s="183"/>
      <c r="F12" s="183">
        <v>0.50239999999999996</v>
      </c>
      <c r="G12" s="183"/>
      <c r="H12" s="4">
        <f>PREÇOS!O13</f>
        <v>5.0999999999999996</v>
      </c>
      <c r="I12" s="4">
        <f t="shared" si="0"/>
        <v>0.76720319999999964</v>
      </c>
      <c r="J12" s="4">
        <f t="shared" si="1"/>
        <v>0.76720319999999964</v>
      </c>
    </row>
    <row r="13" spans="1:10" x14ac:dyDescent="0.3">
      <c r="A13" s="181" t="s">
        <v>147</v>
      </c>
      <c r="B13" s="182">
        <v>7.0000000000000007E-2</v>
      </c>
      <c r="C13" s="184">
        <v>7.0000000000000007E-2</v>
      </c>
      <c r="D13" s="183"/>
      <c r="E13" s="183"/>
      <c r="F13" s="183"/>
      <c r="G13" s="183"/>
      <c r="H13" s="4">
        <f>PREÇOS!O14</f>
        <v>4.8258064516129027</v>
      </c>
      <c r="I13" s="4">
        <f t="shared" si="0"/>
        <v>0</v>
      </c>
      <c r="J13" s="4">
        <f t="shared" si="1"/>
        <v>0</v>
      </c>
    </row>
    <row r="14" spans="1:10" x14ac:dyDescent="0.3">
      <c r="A14" s="181" t="s">
        <v>148</v>
      </c>
      <c r="B14" s="182">
        <v>7.0000000000000007E-2</v>
      </c>
      <c r="C14" s="184">
        <v>0.17</v>
      </c>
      <c r="D14" s="183">
        <v>0.45519999999999999</v>
      </c>
      <c r="E14" s="183"/>
      <c r="F14" s="183">
        <v>0.63049999999999995</v>
      </c>
      <c r="G14" s="183"/>
      <c r="H14" s="4">
        <f>PREÇOS!O15</f>
        <v>4.8258064516129027</v>
      </c>
      <c r="I14" s="4">
        <f t="shared" si="0"/>
        <v>0.99983470967741928</v>
      </c>
      <c r="J14" s="4">
        <f t="shared" si="1"/>
        <v>0.99983470967741928</v>
      </c>
    </row>
    <row r="15" spans="1:10" x14ac:dyDescent="0.3">
      <c r="A15" s="181" t="s">
        <v>149</v>
      </c>
      <c r="B15" s="182">
        <v>7.0000000000000007E-2</v>
      </c>
      <c r="C15" s="184">
        <v>7.0000000000000007E-2</v>
      </c>
      <c r="D15" s="183"/>
      <c r="E15" s="183"/>
      <c r="F15" s="183"/>
      <c r="G15" s="183"/>
      <c r="H15" s="4">
        <f>PREÇOS!O16</f>
        <v>4.8258064516129027</v>
      </c>
      <c r="I15" s="4">
        <f t="shared" si="0"/>
        <v>0</v>
      </c>
      <c r="J15" s="4">
        <f t="shared" si="1"/>
        <v>0</v>
      </c>
    </row>
    <row r="16" spans="1:10" x14ac:dyDescent="0.3">
      <c r="A16" s="181" t="s">
        <v>150</v>
      </c>
      <c r="B16" s="182">
        <v>7.0000000000000007E-2</v>
      </c>
      <c r="C16" s="184">
        <v>7.0000000000000007E-2</v>
      </c>
      <c r="D16" s="183"/>
      <c r="E16" s="183"/>
      <c r="F16" s="183"/>
      <c r="G16" s="183"/>
      <c r="H16" s="4">
        <f>PREÇOS!O17</f>
        <v>4.8258064516129027</v>
      </c>
      <c r="I16" s="4">
        <f t="shared" si="0"/>
        <v>0</v>
      </c>
      <c r="J16" s="4">
        <f t="shared" si="1"/>
        <v>0</v>
      </c>
    </row>
    <row r="17" spans="1:11" x14ac:dyDescent="0.3">
      <c r="A17" s="181" t="s">
        <v>151</v>
      </c>
      <c r="B17" s="182">
        <v>7.0000000000000007E-2</v>
      </c>
      <c r="C17" s="184">
        <v>7.0000000000000007E-2</v>
      </c>
      <c r="D17" s="183"/>
      <c r="E17" s="183"/>
      <c r="F17" s="183"/>
      <c r="G17" s="183"/>
      <c r="H17" s="4">
        <f>PREÇOS!O18</f>
        <v>4.8258064516129027</v>
      </c>
      <c r="I17" s="4">
        <f t="shared" si="0"/>
        <v>0</v>
      </c>
      <c r="J17" s="4">
        <f t="shared" si="1"/>
        <v>0</v>
      </c>
    </row>
    <row r="18" spans="1:11" x14ac:dyDescent="0.3">
      <c r="A18" s="181" t="s">
        <v>152</v>
      </c>
      <c r="B18" s="182">
        <v>7.0000000000000007E-2</v>
      </c>
      <c r="C18" s="184">
        <v>7.0000000000000007E-2</v>
      </c>
      <c r="D18" s="183"/>
      <c r="E18" s="183"/>
      <c r="F18" s="183"/>
      <c r="G18" s="183"/>
      <c r="H18" s="4">
        <f>PREÇOS!O19</f>
        <v>4.8258064516129027</v>
      </c>
      <c r="I18" s="4">
        <f t="shared" si="0"/>
        <v>0</v>
      </c>
      <c r="J18" s="4">
        <f t="shared" si="1"/>
        <v>0</v>
      </c>
    </row>
    <row r="19" spans="1:11" x14ac:dyDescent="0.3">
      <c r="A19" s="75" t="s">
        <v>5</v>
      </c>
      <c r="B19" s="48">
        <v>0.12</v>
      </c>
      <c r="C19" s="76">
        <v>0.19500000000000001</v>
      </c>
      <c r="D19" s="47">
        <v>0.54320000000000002</v>
      </c>
      <c r="E19" s="47">
        <v>0.16300000000000001</v>
      </c>
      <c r="F19" s="47">
        <v>0.68700000000000006</v>
      </c>
      <c r="G19" s="47">
        <v>0.1968</v>
      </c>
      <c r="H19" s="4">
        <f>PREÇOS!O20</f>
        <v>5.0999999999999996</v>
      </c>
      <c r="I19" s="4">
        <f t="shared" si="0"/>
        <v>1.0657215</v>
      </c>
      <c r="J19" s="4">
        <f t="shared" si="1"/>
        <v>0.5782176</v>
      </c>
    </row>
    <row r="20" spans="1:11" x14ac:dyDescent="0.3">
      <c r="A20" s="75" t="s">
        <v>153</v>
      </c>
      <c r="B20" s="48">
        <v>0.12</v>
      </c>
      <c r="C20" s="76">
        <v>0.22</v>
      </c>
      <c r="D20" s="47">
        <v>0.4698</v>
      </c>
      <c r="E20" s="47"/>
      <c r="F20" s="47">
        <v>0.65820000000000001</v>
      </c>
      <c r="G20" s="47"/>
      <c r="H20" s="4">
        <f>PREÇOS!O21</f>
        <v>5.0999999999999996</v>
      </c>
      <c r="I20" s="4">
        <f t="shared" si="0"/>
        <v>1.2485003999999997</v>
      </c>
      <c r="J20" s="4">
        <f t="shared" si="1"/>
        <v>1.2485003999999997</v>
      </c>
    </row>
    <row r="21" spans="1:11" x14ac:dyDescent="0.3">
      <c r="A21" s="181" t="s">
        <v>154</v>
      </c>
      <c r="B21" s="182">
        <v>7.0000000000000007E-2</v>
      </c>
      <c r="C21" s="184">
        <v>7.0000000000000007E-2</v>
      </c>
      <c r="D21" s="183"/>
      <c r="E21" s="183"/>
      <c r="F21" s="183"/>
      <c r="G21" s="183"/>
      <c r="H21" s="4">
        <f>PREÇOS!O22</f>
        <v>4.8258064516129027</v>
      </c>
      <c r="I21" s="4">
        <f t="shared" si="0"/>
        <v>0</v>
      </c>
      <c r="J21" s="4">
        <f t="shared" si="1"/>
        <v>0</v>
      </c>
    </row>
    <row r="22" spans="1:11" x14ac:dyDescent="0.3">
      <c r="A22" s="181" t="s">
        <v>155</v>
      </c>
      <c r="B22" s="182">
        <v>7.0000000000000007E-2</v>
      </c>
      <c r="C22" s="184">
        <v>7.0000000000000007E-2</v>
      </c>
      <c r="D22" s="183"/>
      <c r="E22" s="183"/>
      <c r="F22" s="183"/>
      <c r="G22" s="183"/>
      <c r="H22" s="4">
        <f>PREÇOS!O23</f>
        <v>4.8258064516129027</v>
      </c>
      <c r="I22" s="4">
        <f t="shared" si="0"/>
        <v>0</v>
      </c>
      <c r="J22" s="4">
        <f t="shared" si="1"/>
        <v>0</v>
      </c>
    </row>
    <row r="23" spans="1:11" x14ac:dyDescent="0.3">
      <c r="A23" s="181" t="s">
        <v>156</v>
      </c>
      <c r="B23" s="182">
        <v>7.0000000000000007E-2</v>
      </c>
      <c r="C23" s="184">
        <v>7.0000000000000007E-2</v>
      </c>
      <c r="D23" s="183"/>
      <c r="E23" s="183"/>
      <c r="F23" s="183"/>
      <c r="G23" s="183"/>
      <c r="H23" s="4">
        <f>PREÇOS!O24</f>
        <v>4.8258064516129027</v>
      </c>
      <c r="I23" s="4">
        <f t="shared" si="0"/>
        <v>0</v>
      </c>
      <c r="J23" s="4">
        <f t="shared" si="1"/>
        <v>0</v>
      </c>
    </row>
    <row r="24" spans="1:11" x14ac:dyDescent="0.3">
      <c r="A24" s="181" t="s">
        <v>157</v>
      </c>
      <c r="B24" s="182">
        <v>0.12</v>
      </c>
      <c r="C24" s="184">
        <v>0.12</v>
      </c>
      <c r="D24" s="183"/>
      <c r="E24" s="183"/>
      <c r="F24" s="183"/>
      <c r="G24" s="183"/>
      <c r="H24" s="4">
        <f>PREÇOS!O25</f>
        <v>5.0999999999999996</v>
      </c>
      <c r="I24" s="4">
        <f t="shared" si="0"/>
        <v>0</v>
      </c>
      <c r="J24" s="4">
        <f t="shared" si="1"/>
        <v>0</v>
      </c>
    </row>
    <row r="25" spans="1:11" x14ac:dyDescent="0.3">
      <c r="A25" s="181" t="s">
        <v>158</v>
      </c>
      <c r="B25" s="182">
        <v>0.12</v>
      </c>
      <c r="C25" s="184">
        <v>0.12</v>
      </c>
      <c r="D25" s="183"/>
      <c r="E25" s="183"/>
      <c r="F25" s="183"/>
      <c r="G25" s="183"/>
      <c r="H25" s="4">
        <f>PREÇOS!O26</f>
        <v>5.0999999999999996</v>
      </c>
      <c r="I25" s="4">
        <f t="shared" si="0"/>
        <v>0</v>
      </c>
      <c r="J25" s="4">
        <f t="shared" si="1"/>
        <v>0</v>
      </c>
    </row>
    <row r="26" spans="1:11" x14ac:dyDescent="0.3">
      <c r="A26" s="181" t="s">
        <v>159</v>
      </c>
      <c r="B26" s="182">
        <v>7.0000000000000007E-2</v>
      </c>
      <c r="C26" s="184">
        <v>7.0000000000000007E-2</v>
      </c>
      <c r="D26" s="183"/>
      <c r="E26" s="183"/>
      <c r="F26" s="183"/>
      <c r="G26" s="183"/>
      <c r="H26" s="4">
        <f>PREÇOS!O27</f>
        <v>4.8258064516129027</v>
      </c>
      <c r="I26" s="4">
        <f t="shared" si="0"/>
        <v>0</v>
      </c>
      <c r="J26" s="4">
        <f t="shared" si="1"/>
        <v>0</v>
      </c>
    </row>
    <row r="27" spans="1:11" x14ac:dyDescent="0.3">
      <c r="A27" s="181" t="s">
        <v>160</v>
      </c>
      <c r="B27" s="182">
        <v>0.12</v>
      </c>
      <c r="C27" s="184">
        <v>0.18</v>
      </c>
      <c r="D27" s="183"/>
      <c r="E27" s="183"/>
      <c r="F27" s="183"/>
      <c r="G27" s="183"/>
      <c r="H27" s="4">
        <f>PREÇOS!O28</f>
        <v>5.0999999999999996</v>
      </c>
      <c r="I27" s="4">
        <f t="shared" si="0"/>
        <v>0</v>
      </c>
      <c r="J27" s="4">
        <f t="shared" si="1"/>
        <v>0</v>
      </c>
      <c r="K27" t="s">
        <v>164</v>
      </c>
    </row>
    <row r="28" spans="1:11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</v>
      </c>
      <c r="G28" s="48">
        <f t="shared" si="2"/>
        <v>0</v>
      </c>
      <c r="H28" s="185">
        <f>PREÇOS!O29</f>
        <v>5.0999999999999996</v>
      </c>
      <c r="I28" s="185">
        <f t="shared" si="0"/>
        <v>0</v>
      </c>
      <c r="J28" s="185">
        <f t="shared" si="1"/>
        <v>0</v>
      </c>
    </row>
    <row r="29" spans="1:11" x14ac:dyDescent="0.3">
      <c r="A29" s="181" t="s">
        <v>162</v>
      </c>
      <c r="B29" s="182">
        <v>7.0000000000000007E-2</v>
      </c>
      <c r="C29" s="184">
        <v>7.0000000000000007E-2</v>
      </c>
      <c r="D29" s="183"/>
      <c r="E29" s="183"/>
      <c r="F29" s="183"/>
      <c r="G29" s="183"/>
      <c r="H29" s="4">
        <f>PREÇOS!O30</f>
        <v>4.8258064516129027</v>
      </c>
      <c r="I29" s="4">
        <f t="shared" si="0"/>
        <v>0</v>
      </c>
      <c r="J29" s="4">
        <f t="shared" si="1"/>
        <v>0</v>
      </c>
    </row>
    <row r="30" spans="1:11" x14ac:dyDescent="0.3">
      <c r="A30" s="3" t="s">
        <v>163</v>
      </c>
      <c r="H30" s="4">
        <f>PREÇOS!O31</f>
        <v>3.8003225806451608</v>
      </c>
      <c r="I30" s="4">
        <f t="shared" si="0"/>
        <v>0</v>
      </c>
      <c r="J30" s="4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0"/>
  <sheetViews>
    <sheetView workbookViewId="0"/>
  </sheetViews>
  <sheetFormatPr defaultRowHeight="14.4" x14ac:dyDescent="0.3"/>
  <cols>
    <col min="1" max="1" width="9" customWidth="1"/>
    <col min="2" max="2" width="25.44140625" customWidth="1"/>
    <col min="3" max="3" width="18.5546875" customWidth="1"/>
    <col min="4" max="4" width="16" customWidth="1"/>
    <col min="5" max="5" width="16.88671875" customWidth="1"/>
    <col min="6" max="6" width="20.5546875" customWidth="1"/>
    <col min="7" max="7" width="21.5546875" customWidth="1"/>
    <col min="8" max="8" width="8.5546875" customWidth="1"/>
    <col min="9" max="9" width="12.5546875" customWidth="1"/>
    <col min="10" max="10" width="13.5546875" customWidth="1"/>
  </cols>
  <sheetData>
    <row r="1" spans="1:10" ht="15.6" customHeight="1" x14ac:dyDescent="0.3">
      <c r="A1" s="178" t="s">
        <v>126</v>
      </c>
      <c r="B1" s="179" t="s">
        <v>127</v>
      </c>
      <c r="C1" s="179" t="s">
        <v>128</v>
      </c>
      <c r="D1" s="180" t="s">
        <v>129</v>
      </c>
      <c r="E1" s="180" t="s">
        <v>130</v>
      </c>
      <c r="F1" s="180" t="s">
        <v>131</v>
      </c>
      <c r="G1" s="180" t="s">
        <v>132</v>
      </c>
      <c r="H1" s="180" t="s">
        <v>133</v>
      </c>
      <c r="I1" s="180" t="s">
        <v>134</v>
      </c>
      <c r="J1" s="180" t="s">
        <v>135</v>
      </c>
    </row>
    <row r="2" spans="1:10" x14ac:dyDescent="0.3">
      <c r="A2" s="181" t="s">
        <v>136</v>
      </c>
      <c r="B2" s="182">
        <v>7.0000000000000007E-2</v>
      </c>
      <c r="C2" s="182">
        <v>0.19</v>
      </c>
      <c r="D2" s="183"/>
      <c r="E2" s="183"/>
      <c r="F2" s="183"/>
      <c r="G2" s="183"/>
      <c r="H2" s="7">
        <f>PREÇOS!P3</f>
        <v>4.731182795698925</v>
      </c>
      <c r="I2" s="4">
        <f t="shared" ref="I2:I29" si="0">IF(F2=0,,H2*(1+F2)*C2-(H2*B2))</f>
        <v>0</v>
      </c>
      <c r="J2" s="4">
        <f t="shared" ref="J2:J29" si="1">IF(G2=0,IF(F2=0,,H2*(1+F2)*C2-(H2*B2)),H2*(1+G2)*C2-(H2*B2))</f>
        <v>0</v>
      </c>
    </row>
    <row r="3" spans="1:10" x14ac:dyDescent="0.3">
      <c r="A3" s="75" t="s">
        <v>137</v>
      </c>
      <c r="B3" s="48">
        <v>7.0000000000000007E-2</v>
      </c>
      <c r="C3" s="48">
        <v>0.2</v>
      </c>
      <c r="D3" s="47"/>
      <c r="E3" s="47"/>
      <c r="F3" s="47">
        <v>0.51129999999999998</v>
      </c>
      <c r="G3" s="47"/>
      <c r="H3" s="7">
        <f>PREÇOS!P4</f>
        <v>4.731182795698925</v>
      </c>
      <c r="I3" s="4">
        <f t="shared" si="0"/>
        <v>1.0988645161290322</v>
      </c>
      <c r="J3" s="4">
        <f t="shared" si="1"/>
        <v>1.0988645161290322</v>
      </c>
    </row>
    <row r="4" spans="1:10" x14ac:dyDescent="0.3">
      <c r="A4" s="181" t="s">
        <v>138</v>
      </c>
      <c r="B4" s="182">
        <v>7.0000000000000007E-2</v>
      </c>
      <c r="C4" s="182">
        <v>0.2</v>
      </c>
      <c r="D4" s="183"/>
      <c r="E4" s="183"/>
      <c r="F4" s="183"/>
      <c r="G4" s="183"/>
      <c r="H4" s="7">
        <f>PREÇOS!P5</f>
        <v>4.731182795698925</v>
      </c>
      <c r="I4" s="4">
        <f t="shared" si="0"/>
        <v>0</v>
      </c>
      <c r="J4" s="4">
        <f t="shared" si="1"/>
        <v>0</v>
      </c>
    </row>
    <row r="5" spans="1:10" x14ac:dyDescent="0.3">
      <c r="A5" s="75" t="s">
        <v>139</v>
      </c>
      <c r="B5" s="48">
        <v>7.0000000000000007E-2</v>
      </c>
      <c r="C5" s="48">
        <v>0.18</v>
      </c>
      <c r="D5" s="47"/>
      <c r="E5" s="47"/>
      <c r="F5" s="47">
        <v>0.51980000000000004</v>
      </c>
      <c r="G5" s="47"/>
      <c r="H5" s="7">
        <f>PREÇOS!P6</f>
        <v>4.731182795698925</v>
      </c>
      <c r="I5" s="4">
        <f t="shared" si="0"/>
        <v>0.96309849462365582</v>
      </c>
      <c r="J5" s="4">
        <f t="shared" si="1"/>
        <v>0.96309849462365582</v>
      </c>
    </row>
    <row r="6" spans="1:10" x14ac:dyDescent="0.3">
      <c r="A6" s="181" t="s">
        <v>140</v>
      </c>
      <c r="B6" s="182">
        <v>7.0000000000000007E-2</v>
      </c>
      <c r="C6" s="182">
        <v>0.19</v>
      </c>
      <c r="D6" s="183"/>
      <c r="E6" s="183"/>
      <c r="F6" s="183"/>
      <c r="G6" s="183"/>
      <c r="H6" s="7">
        <f>PREÇOS!P7</f>
        <v>4.731182795698925</v>
      </c>
      <c r="I6" s="4">
        <f t="shared" si="0"/>
        <v>0</v>
      </c>
      <c r="J6" s="4">
        <f t="shared" si="1"/>
        <v>0</v>
      </c>
    </row>
    <row r="7" spans="1:10" x14ac:dyDescent="0.3">
      <c r="A7" s="181" t="s">
        <v>141</v>
      </c>
      <c r="B7" s="182">
        <v>7.0000000000000007E-2</v>
      </c>
      <c r="C7" s="182">
        <v>0.2</v>
      </c>
      <c r="D7" s="183"/>
      <c r="E7" s="183"/>
      <c r="F7" s="183"/>
      <c r="G7" s="183"/>
      <c r="H7" s="7">
        <f>PREÇOS!P8</f>
        <v>4.731182795698925</v>
      </c>
      <c r="I7" s="4">
        <f t="shared" si="0"/>
        <v>0</v>
      </c>
      <c r="J7" s="4">
        <f t="shared" si="1"/>
        <v>0</v>
      </c>
    </row>
    <row r="8" spans="1:10" x14ac:dyDescent="0.3">
      <c r="A8" s="181" t="s">
        <v>142</v>
      </c>
      <c r="B8" s="182">
        <v>7.0000000000000007E-2</v>
      </c>
      <c r="C8" s="182">
        <v>0.18</v>
      </c>
      <c r="D8" s="183"/>
      <c r="E8" s="183"/>
      <c r="F8" s="183"/>
      <c r="G8" s="183"/>
      <c r="H8" s="7">
        <f>PREÇOS!P9</f>
        <v>4.731182795698925</v>
      </c>
      <c r="I8" s="4">
        <f t="shared" si="0"/>
        <v>0</v>
      </c>
      <c r="J8" s="4">
        <f t="shared" si="1"/>
        <v>0</v>
      </c>
    </row>
    <row r="9" spans="1:10" x14ac:dyDescent="0.3">
      <c r="A9" s="181" t="s">
        <v>143</v>
      </c>
      <c r="B9" s="182">
        <v>7.0000000000000007E-2</v>
      </c>
      <c r="C9" s="182">
        <v>0.17</v>
      </c>
      <c r="D9" s="183"/>
      <c r="E9" s="183"/>
      <c r="F9" s="183"/>
      <c r="G9" s="183"/>
      <c r="H9" s="7">
        <f>PREÇOS!P10</f>
        <v>4.731182795698925</v>
      </c>
      <c r="I9" s="4">
        <f t="shared" si="0"/>
        <v>0</v>
      </c>
      <c r="J9" s="4">
        <f t="shared" si="1"/>
        <v>0</v>
      </c>
    </row>
    <row r="10" spans="1:10" x14ac:dyDescent="0.3">
      <c r="A10" s="181" t="s">
        <v>144</v>
      </c>
      <c r="B10" s="182">
        <v>7.0000000000000007E-2</v>
      </c>
      <c r="C10" s="182">
        <v>0.17</v>
      </c>
      <c r="D10" s="183"/>
      <c r="E10" s="183"/>
      <c r="F10" s="183"/>
      <c r="G10" s="183"/>
      <c r="H10" s="7">
        <f>PREÇOS!P11</f>
        <v>4.731182795698925</v>
      </c>
      <c r="I10" s="4">
        <f t="shared" si="0"/>
        <v>0</v>
      </c>
      <c r="J10" s="4">
        <f t="shared" si="1"/>
        <v>0</v>
      </c>
    </row>
    <row r="11" spans="1:10" x14ac:dyDescent="0.3">
      <c r="A11" s="181" t="s">
        <v>145</v>
      </c>
      <c r="B11" s="182">
        <v>7.0000000000000007E-2</v>
      </c>
      <c r="C11" s="182">
        <v>0.2</v>
      </c>
      <c r="D11" s="183"/>
      <c r="E11" s="183"/>
      <c r="F11" s="183"/>
      <c r="G11" s="183"/>
      <c r="H11" s="7">
        <f>PREÇOS!P12</f>
        <v>4.731182795698925</v>
      </c>
      <c r="I11" s="4">
        <f t="shared" si="0"/>
        <v>0</v>
      </c>
      <c r="J11" s="4">
        <f t="shared" si="1"/>
        <v>0</v>
      </c>
    </row>
    <row r="12" spans="1:10" x14ac:dyDescent="0.3">
      <c r="A12" s="75" t="s">
        <v>146</v>
      </c>
      <c r="B12" s="48">
        <v>0.12</v>
      </c>
      <c r="C12" s="48">
        <v>0.12</v>
      </c>
      <c r="D12" s="47"/>
      <c r="E12" s="47"/>
      <c r="F12" s="47">
        <v>0.25</v>
      </c>
      <c r="G12" s="47"/>
      <c r="H12" s="44">
        <f>PREÇOS!P13</f>
        <v>5</v>
      </c>
      <c r="I12" s="46">
        <f t="shared" si="0"/>
        <v>0.15000000000000002</v>
      </c>
      <c r="J12" s="46">
        <f t="shared" si="1"/>
        <v>0.15000000000000002</v>
      </c>
    </row>
    <row r="13" spans="1:10" x14ac:dyDescent="0.3">
      <c r="A13" s="181" t="s">
        <v>147</v>
      </c>
      <c r="B13" s="182">
        <v>7.0000000000000007E-2</v>
      </c>
      <c r="C13" s="182">
        <v>0.17</v>
      </c>
      <c r="D13" s="183"/>
      <c r="E13" s="183"/>
      <c r="F13" s="183"/>
      <c r="G13" s="183"/>
      <c r="H13" s="7">
        <f>PREÇOS!P14</f>
        <v>4.731182795698925</v>
      </c>
      <c r="I13" s="4">
        <f t="shared" si="0"/>
        <v>0</v>
      </c>
      <c r="J13" s="4">
        <f t="shared" si="1"/>
        <v>0</v>
      </c>
    </row>
    <row r="14" spans="1:10" x14ac:dyDescent="0.3">
      <c r="A14" s="75" t="s">
        <v>148</v>
      </c>
      <c r="B14" s="48">
        <v>7.0000000000000007E-2</v>
      </c>
      <c r="C14" s="48">
        <v>0.17</v>
      </c>
      <c r="D14" s="47"/>
      <c r="E14" s="47"/>
      <c r="F14" s="47">
        <v>0.39779999999999999</v>
      </c>
      <c r="G14" s="47"/>
      <c r="H14" s="7">
        <f>PREÇOS!P15</f>
        <v>4.731182795698925</v>
      </c>
      <c r="I14" s="4">
        <f t="shared" si="0"/>
        <v>0.79306924731182793</v>
      </c>
      <c r="J14" s="4">
        <f t="shared" si="1"/>
        <v>0.79306924731182793</v>
      </c>
    </row>
    <row r="15" spans="1:10" x14ac:dyDescent="0.3">
      <c r="A15" s="181" t="s">
        <v>149</v>
      </c>
      <c r="B15" s="182">
        <v>7.0000000000000007E-2</v>
      </c>
      <c r="C15" s="182">
        <v>0.19</v>
      </c>
      <c r="D15" s="183"/>
      <c r="E15" s="183"/>
      <c r="F15" s="183"/>
      <c r="G15" s="183"/>
      <c r="H15" s="7">
        <f>PREÇOS!P16</f>
        <v>4.731182795698925</v>
      </c>
      <c r="I15" s="4">
        <f t="shared" si="0"/>
        <v>0</v>
      </c>
      <c r="J15" s="4">
        <f t="shared" si="1"/>
        <v>0</v>
      </c>
    </row>
    <row r="16" spans="1:10" x14ac:dyDescent="0.3">
      <c r="A16" s="181" t="s">
        <v>150</v>
      </c>
      <c r="B16" s="182">
        <v>7.0000000000000007E-2</v>
      </c>
      <c r="C16" s="182">
        <v>0.18</v>
      </c>
      <c r="D16" s="183"/>
      <c r="E16" s="183"/>
      <c r="F16" s="183"/>
      <c r="G16" s="183"/>
      <c r="H16" s="7">
        <f>PREÇOS!P17</f>
        <v>4.731182795698925</v>
      </c>
      <c r="I16" s="4">
        <f t="shared" si="0"/>
        <v>0</v>
      </c>
      <c r="J16" s="4">
        <f t="shared" si="1"/>
        <v>0</v>
      </c>
    </row>
    <row r="17" spans="1:11" x14ac:dyDescent="0.3">
      <c r="A17" s="181" t="s">
        <v>151</v>
      </c>
      <c r="B17" s="182">
        <v>7.0000000000000007E-2</v>
      </c>
      <c r="C17" s="182">
        <v>0.18</v>
      </c>
      <c r="D17" s="183"/>
      <c r="E17" s="183"/>
      <c r="F17" s="183"/>
      <c r="G17" s="183"/>
      <c r="H17" s="7">
        <f>PREÇOS!P18</f>
        <v>4.731182795698925</v>
      </c>
      <c r="I17" s="4">
        <f t="shared" si="0"/>
        <v>0</v>
      </c>
      <c r="J17" s="4">
        <f t="shared" si="1"/>
        <v>0</v>
      </c>
    </row>
    <row r="18" spans="1:11" x14ac:dyDescent="0.3">
      <c r="A18" s="181" t="s">
        <v>152</v>
      </c>
      <c r="B18" s="182">
        <v>7.0000000000000007E-2</v>
      </c>
      <c r="C18" s="182">
        <v>0.21</v>
      </c>
      <c r="D18" s="183"/>
      <c r="E18" s="183"/>
      <c r="F18" s="183"/>
      <c r="G18" s="183"/>
      <c r="H18" s="7">
        <f>PREÇOS!P19</f>
        <v>4.731182795698925</v>
      </c>
      <c r="I18" s="4">
        <f t="shared" si="0"/>
        <v>0</v>
      </c>
      <c r="J18" s="4">
        <f t="shared" si="1"/>
        <v>0</v>
      </c>
    </row>
    <row r="19" spans="1:11" x14ac:dyDescent="0.3">
      <c r="A19" s="181" t="s">
        <v>5</v>
      </c>
      <c r="B19" s="182">
        <v>0.12</v>
      </c>
      <c r="C19" s="182">
        <v>0.12</v>
      </c>
      <c r="D19" s="183"/>
      <c r="E19" s="183"/>
      <c r="F19" s="183"/>
      <c r="G19" s="183"/>
      <c r="H19" s="44">
        <f>PREÇOS!P20</f>
        <v>5</v>
      </c>
      <c r="I19" s="46">
        <f t="shared" si="0"/>
        <v>0</v>
      </c>
      <c r="J19" s="46">
        <f t="shared" si="1"/>
        <v>0</v>
      </c>
    </row>
    <row r="20" spans="1:11" x14ac:dyDescent="0.3">
      <c r="A20" s="75" t="s">
        <v>153</v>
      </c>
      <c r="B20" s="48">
        <v>0.12</v>
      </c>
      <c r="C20" s="48">
        <v>0.22</v>
      </c>
      <c r="D20" s="47"/>
      <c r="E20" s="47"/>
      <c r="F20" s="47">
        <v>0.52529999999999999</v>
      </c>
      <c r="G20" s="47"/>
      <c r="H20" s="44">
        <f>PREÇOS!P21</f>
        <v>5</v>
      </c>
      <c r="I20" s="46">
        <f t="shared" si="0"/>
        <v>1.0778300000000001</v>
      </c>
      <c r="J20" s="46">
        <f t="shared" si="1"/>
        <v>1.0778300000000001</v>
      </c>
    </row>
    <row r="21" spans="1:11" x14ac:dyDescent="0.3">
      <c r="A21" s="181" t="s">
        <v>154</v>
      </c>
      <c r="B21" s="182">
        <v>7.0000000000000007E-2</v>
      </c>
      <c r="C21" s="182">
        <v>0.2</v>
      </c>
      <c r="D21" s="183"/>
      <c r="E21" s="183"/>
      <c r="F21" s="183"/>
      <c r="G21" s="183"/>
      <c r="H21" s="7">
        <f>PREÇOS!P22</f>
        <v>4.731182795698925</v>
      </c>
      <c r="I21" s="4">
        <f t="shared" si="0"/>
        <v>0</v>
      </c>
      <c r="J21" s="4">
        <f t="shared" si="1"/>
        <v>0</v>
      </c>
    </row>
    <row r="22" spans="1:11" x14ac:dyDescent="0.3">
      <c r="A22" s="181" t="s">
        <v>155</v>
      </c>
      <c r="B22" s="182">
        <v>7.0000000000000007E-2</v>
      </c>
      <c r="C22" s="182">
        <v>0.17499999999999999</v>
      </c>
      <c r="D22" s="183"/>
      <c r="E22" s="183"/>
      <c r="F22" s="183"/>
      <c r="G22" s="183"/>
      <c r="H22" s="7">
        <f>PREÇOS!P23</f>
        <v>4.731182795698925</v>
      </c>
      <c r="I22" s="4">
        <f t="shared" si="0"/>
        <v>0</v>
      </c>
      <c r="J22" s="4">
        <f t="shared" si="1"/>
        <v>0</v>
      </c>
    </row>
    <row r="23" spans="1:11" x14ac:dyDescent="0.3">
      <c r="A23" s="181" t="s">
        <v>156</v>
      </c>
      <c r="B23" s="182">
        <v>7.0000000000000007E-2</v>
      </c>
      <c r="C23" s="182">
        <v>0.2</v>
      </c>
      <c r="D23" s="183"/>
      <c r="E23" s="183"/>
      <c r="F23" s="183"/>
      <c r="G23" s="183"/>
      <c r="H23" s="7">
        <f>PREÇOS!P24</f>
        <v>4.731182795698925</v>
      </c>
      <c r="I23" s="4">
        <f t="shared" si="0"/>
        <v>0</v>
      </c>
      <c r="J23" s="4">
        <f t="shared" si="1"/>
        <v>0</v>
      </c>
    </row>
    <row r="24" spans="1:11" x14ac:dyDescent="0.3">
      <c r="A24" s="181" t="s">
        <v>157</v>
      </c>
      <c r="B24" s="182">
        <v>0.12</v>
      </c>
      <c r="C24" s="182">
        <v>0.17</v>
      </c>
      <c r="D24" s="183"/>
      <c r="E24" s="183"/>
      <c r="F24" s="183"/>
      <c r="G24" s="183"/>
      <c r="H24" s="44">
        <f>PREÇOS!P25</f>
        <v>5</v>
      </c>
      <c r="I24" s="46">
        <f t="shared" si="0"/>
        <v>0</v>
      </c>
      <c r="J24" s="46">
        <f t="shared" si="1"/>
        <v>0</v>
      </c>
    </row>
    <row r="25" spans="1:11" x14ac:dyDescent="0.3">
      <c r="A25" s="181" t="s">
        <v>158</v>
      </c>
      <c r="B25" s="182">
        <v>0.12</v>
      </c>
      <c r="C25" s="182">
        <v>0.17</v>
      </c>
      <c r="D25" s="183"/>
      <c r="E25" s="183"/>
      <c r="F25" s="183"/>
      <c r="G25" s="183"/>
      <c r="H25" s="44">
        <f>PREÇOS!P26</f>
        <v>5</v>
      </c>
      <c r="I25" s="46">
        <f t="shared" si="0"/>
        <v>0</v>
      </c>
      <c r="J25" s="46">
        <f t="shared" si="1"/>
        <v>0</v>
      </c>
    </row>
    <row r="26" spans="1:11" x14ac:dyDescent="0.3">
      <c r="A26" s="181" t="s">
        <v>159</v>
      </c>
      <c r="B26" s="182">
        <v>7.0000000000000007E-2</v>
      </c>
      <c r="C26" s="182">
        <v>0.2</v>
      </c>
      <c r="D26" s="183"/>
      <c r="E26" s="183"/>
      <c r="F26" s="183"/>
      <c r="G26" s="183"/>
      <c r="H26" s="7">
        <f>PREÇOS!P27</f>
        <v>4.731182795698925</v>
      </c>
      <c r="I26" s="4">
        <f t="shared" si="0"/>
        <v>0</v>
      </c>
      <c r="J26" s="4">
        <f t="shared" si="1"/>
        <v>0</v>
      </c>
    </row>
    <row r="27" spans="1:11" x14ac:dyDescent="0.3">
      <c r="A27" s="75" t="s">
        <v>160</v>
      </c>
      <c r="B27" s="48">
        <v>0.12</v>
      </c>
      <c r="C27" s="48">
        <v>0.18</v>
      </c>
      <c r="D27" s="47">
        <v>0.60770000000000002</v>
      </c>
      <c r="E27" s="47"/>
      <c r="F27" s="47">
        <v>0.60770000000000002</v>
      </c>
      <c r="G27" s="47"/>
      <c r="H27" s="44">
        <f>PREÇOS!P28</f>
        <v>5</v>
      </c>
      <c r="I27" s="46">
        <f t="shared" si="0"/>
        <v>0.84692999999999985</v>
      </c>
      <c r="J27" s="46">
        <f t="shared" si="1"/>
        <v>0.84692999999999985</v>
      </c>
      <c r="K27" s="186">
        <f>J27/H27</f>
        <v>0.16938599999999998</v>
      </c>
    </row>
    <row r="28" spans="1:11" x14ac:dyDescent="0.3">
      <c r="A28" s="75" t="s">
        <v>161</v>
      </c>
      <c r="B28" s="48">
        <f>B27</f>
        <v>0.12</v>
      </c>
      <c r="C28" s="48">
        <f>C27</f>
        <v>0.18</v>
      </c>
      <c r="D28" s="47">
        <v>0.60770000000000002</v>
      </c>
      <c r="E28" s="47"/>
      <c r="F28" s="47">
        <v>0.60770000000000002</v>
      </c>
      <c r="G28" s="48">
        <f>G27</f>
        <v>0</v>
      </c>
      <c r="H28" s="187">
        <f>PREÇOS!P29</f>
        <v>5</v>
      </c>
      <c r="I28" s="185">
        <f t="shared" si="0"/>
        <v>0.84692999999999985</v>
      </c>
      <c r="J28" s="185">
        <f t="shared" si="1"/>
        <v>0.84692999999999985</v>
      </c>
    </row>
    <row r="29" spans="1:11" x14ac:dyDescent="0.3">
      <c r="A29" s="181" t="s">
        <v>162</v>
      </c>
      <c r="B29" s="182">
        <v>7.0000000000000007E-2</v>
      </c>
      <c r="C29" s="182">
        <v>0.2</v>
      </c>
      <c r="D29" s="183"/>
      <c r="E29" s="183"/>
      <c r="F29" s="183"/>
      <c r="G29" s="183"/>
      <c r="H29" s="7">
        <f>PREÇOS!P30</f>
        <v>4.731182795698925</v>
      </c>
      <c r="I29" s="4">
        <f t="shared" si="0"/>
        <v>0</v>
      </c>
      <c r="J29" s="4">
        <f t="shared" si="1"/>
        <v>0</v>
      </c>
    </row>
    <row r="30" spans="1:11" x14ac:dyDescent="0.3">
      <c r="A30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</vt:i4>
      </vt:variant>
    </vt:vector>
  </HeadingPairs>
  <TitlesOfParts>
    <vt:vector size="17" baseType="lpstr">
      <vt:lpstr>Tabelas</vt:lpstr>
      <vt:lpstr>Cadastro</vt:lpstr>
      <vt:lpstr>Planilha1</vt:lpstr>
      <vt:lpstr>ST BISCOITINHOS</vt:lpstr>
      <vt:lpstr>ST PAPAPASTA</vt:lpstr>
      <vt:lpstr>ST PALITINHOS</vt:lpstr>
      <vt:lpstr>ST BISCOTTI</vt:lpstr>
      <vt:lpstr>ST CEREAL</vt:lpstr>
      <vt:lpstr>ST CEREAL SABOR POUCH 170</vt:lpstr>
      <vt:lpstr>ST MULTI 170 POUCH</vt:lpstr>
      <vt:lpstr>ST MULTI 500 POUCH</vt:lpstr>
      <vt:lpstr>PREÇOS</vt:lpstr>
      <vt:lpstr>PSC PAPAPA</vt:lpstr>
      <vt:lpstr>PSC</vt:lpstr>
      <vt:lpstr>ST EXTRUSADOS</vt:lpstr>
      <vt:lpstr>ST RECHEADOS</vt:lpstr>
      <vt:lpstr>ListaUF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Ericka Garrett</dc:creator>
  <cp:lastModifiedBy>João Vitor Tadra</cp:lastModifiedBy>
  <dcterms:created xsi:type="dcterms:W3CDTF">2022-06-23T15:46:56Z</dcterms:created>
  <dcterms:modified xsi:type="dcterms:W3CDTF">2026-06-12T11:36:20Z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