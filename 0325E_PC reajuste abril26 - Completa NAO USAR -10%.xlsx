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joao.vitor\Desktop\"/>
    </mc:Choice>
  </mc:AlternateContent>
  <xr:revisionPtr revIDLastSave="0" documentId="13_ncr:1_{3E72B503-118F-41F8-82C2-8EE4F7C26E55}" xr6:coauthVersionLast="47" xr6:coauthVersionMax="47" xr10:uidLastSave="{00000000-0000-0000-0000-000000000000}"/>
  <bookViews>
    <workbookView xWindow="-28920" yWindow="660" windowWidth="29040" windowHeight="15720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BISCOTTI" sheetId="8" state="hidden" r:id="rId6"/>
    <sheet name="ST CEREAL" sheetId="7" state="hidden" r:id="rId7"/>
    <sheet name="ST CEREAL SABOR POUCH 170" sheetId="9" state="hidden" r:id="rId8"/>
    <sheet name="ST MULTI 170 POUCH" sheetId="10" state="hidden" r:id="rId9"/>
    <sheet name="ST MULTI 500 POUCH" sheetId="11" state="hidden" r:id="rId10"/>
    <sheet name="PREÇOS" sheetId="4" state="hidden" r:id="rId11"/>
    <sheet name="PSC PAPAPA" sheetId="12" state="hidden" r:id="rId12"/>
    <sheet name="PSC" sheetId="13" state="hidden" r:id="rId13"/>
  </sheets>
  <externalReferences>
    <externalReference r:id="rId14"/>
    <externalReference r:id="rId15"/>
  </externalReferences>
  <definedNames>
    <definedName name="_xlnm._FilterDatabase" localSheetId="10" hidden="1">PREÇOS!$A$2:$F$2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2" i="1" l="1"/>
  <c r="L51" i="1"/>
  <c r="L50" i="1"/>
  <c r="L49" i="1"/>
  <c r="L47" i="1"/>
  <c r="L46" i="1"/>
  <c r="L45" i="1"/>
  <c r="L44" i="1"/>
  <c r="L43" i="1"/>
  <c r="L41" i="1"/>
  <c r="L40" i="1"/>
  <c r="L39" i="1"/>
  <c r="L38" i="1"/>
  <c r="L36" i="1"/>
  <c r="L35" i="1"/>
  <c r="L34" i="1"/>
  <c r="L32" i="1"/>
  <c r="L31" i="1"/>
  <c r="L29" i="1"/>
  <c r="L28" i="1"/>
  <c r="L26" i="1"/>
  <c r="L25" i="1"/>
  <c r="L24" i="1"/>
  <c r="L22" i="1"/>
  <c r="L21" i="1"/>
  <c r="L20" i="1"/>
  <c r="L19" i="1"/>
  <c r="L18" i="1"/>
  <c r="L17" i="1"/>
  <c r="L15" i="1"/>
  <c r="L14" i="1"/>
  <c r="L12" i="1"/>
  <c r="L11" i="1"/>
  <c r="G58" i="1"/>
  <c r="G59" i="1"/>
  <c r="G61" i="1"/>
  <c r="G62" i="1"/>
  <c r="G63" i="1"/>
  <c r="G64" i="1"/>
  <c r="G66" i="1"/>
  <c r="G68" i="1"/>
  <c r="G69" i="1"/>
  <c r="G70" i="1"/>
  <c r="G71" i="1"/>
  <c r="G72" i="1"/>
  <c r="G73" i="1"/>
  <c r="G74" i="1"/>
  <c r="G75" i="1"/>
  <c r="G76" i="1"/>
  <c r="G77" i="1"/>
  <c r="G78" i="1"/>
  <c r="G79" i="1"/>
  <c r="G55" i="1"/>
  <c r="G56" i="1"/>
  <c r="G54" i="1" l="1"/>
  <c r="L79" i="1"/>
  <c r="O79" i="1" s="1"/>
  <c r="K79" i="1"/>
  <c r="L78" i="1"/>
  <c r="M78" i="1" s="1"/>
  <c r="R78" i="1" s="1"/>
  <c r="K78" i="1"/>
  <c r="L77" i="1"/>
  <c r="K77" i="1"/>
  <c r="L76" i="1"/>
  <c r="M76" i="1" s="1"/>
  <c r="R76" i="1" s="1"/>
  <c r="K76" i="1"/>
  <c r="L75" i="1"/>
  <c r="M75" i="1" s="1"/>
  <c r="R75" i="1" s="1"/>
  <c r="K75" i="1"/>
  <c r="L74" i="1"/>
  <c r="K74" i="1"/>
  <c r="L73" i="1"/>
  <c r="O73" i="1" s="1"/>
  <c r="K73" i="1"/>
  <c r="L72" i="1"/>
  <c r="M72" i="1" s="1"/>
  <c r="R72" i="1" s="1"/>
  <c r="K72" i="1"/>
  <c r="L71" i="1"/>
  <c r="K71" i="1"/>
  <c r="L70" i="1"/>
  <c r="K70" i="1"/>
  <c r="L69" i="1"/>
  <c r="M69" i="1" s="1"/>
  <c r="R69" i="1" s="1"/>
  <c r="K69" i="1"/>
  <c r="L68" i="1"/>
  <c r="K68" i="1"/>
  <c r="L66" i="1"/>
  <c r="P66" i="1" s="1"/>
  <c r="S66" i="1" s="1"/>
  <c r="K66" i="1"/>
  <c r="L64" i="1"/>
  <c r="M64" i="1" s="1"/>
  <c r="R64" i="1" s="1"/>
  <c r="K64" i="1"/>
  <c r="L63" i="1"/>
  <c r="P63" i="1" s="1"/>
  <c r="S63" i="1" s="1"/>
  <c r="K63" i="1"/>
  <c r="L62" i="1"/>
  <c r="M62" i="1" s="1"/>
  <c r="R62" i="1" s="1"/>
  <c r="K62" i="1"/>
  <c r="L61" i="1"/>
  <c r="P61" i="1" s="1"/>
  <c r="S61" i="1" s="1"/>
  <c r="K61" i="1"/>
  <c r="N59" i="1"/>
  <c r="L59" i="1"/>
  <c r="K59" i="1"/>
  <c r="N58" i="1"/>
  <c r="L58" i="1"/>
  <c r="M58" i="1" s="1"/>
  <c r="R58" i="1" s="1"/>
  <c r="K58" i="1"/>
  <c r="N56" i="1"/>
  <c r="L56" i="1"/>
  <c r="M56" i="1" s="1"/>
  <c r="R56" i="1" s="1"/>
  <c r="K56" i="1"/>
  <c r="N55" i="1"/>
  <c r="L55" i="1"/>
  <c r="K55" i="1"/>
  <c r="N54" i="1"/>
  <c r="L54" i="1"/>
  <c r="M54" i="1" s="1"/>
  <c r="R54" i="1" s="1"/>
  <c r="K54" i="1"/>
  <c r="O69" i="1" l="1"/>
  <c r="P69" i="1" s="1"/>
  <c r="S69" i="1" s="1"/>
  <c r="P59" i="1"/>
  <c r="S59" i="1" s="1"/>
  <c r="O72" i="1"/>
  <c r="P72" i="1" s="1"/>
  <c r="S72" i="1" s="1"/>
  <c r="O78" i="1"/>
  <c r="P78" i="1" s="1"/>
  <c r="S78" i="1" s="1"/>
  <c r="P54" i="1"/>
  <c r="S54" i="1" s="1"/>
  <c r="P62" i="1"/>
  <c r="S62" i="1" s="1"/>
  <c r="O75" i="1"/>
  <c r="P75" i="1" s="1"/>
  <c r="S75" i="1" s="1"/>
  <c r="P58" i="1"/>
  <c r="S58" i="1" s="1"/>
  <c r="P55" i="1"/>
  <c r="S55" i="1" s="1"/>
  <c r="P64" i="1"/>
  <c r="S64" i="1" s="1"/>
  <c r="M77" i="1"/>
  <c r="R77" i="1" s="1"/>
  <c r="O68" i="1"/>
  <c r="P68" i="1" s="1"/>
  <c r="S68" i="1" s="1"/>
  <c r="O74" i="1"/>
  <c r="P74" i="1" s="1"/>
  <c r="S74" i="1" s="1"/>
  <c r="O77" i="1"/>
  <c r="P77" i="1" s="1"/>
  <c r="S77" i="1" s="1"/>
  <c r="P56" i="1"/>
  <c r="S56" i="1" s="1"/>
  <c r="M63" i="1"/>
  <c r="R63" i="1" s="1"/>
  <c r="M59" i="1"/>
  <c r="R59" i="1" s="1"/>
  <c r="O70" i="1"/>
  <c r="P70" i="1" s="1"/>
  <c r="S70" i="1" s="1"/>
  <c r="O76" i="1"/>
  <c r="P73" i="1"/>
  <c r="S73" i="1" s="1"/>
  <c r="P76" i="1"/>
  <c r="S76" i="1" s="1"/>
  <c r="P79" i="1"/>
  <c r="S79" i="1" s="1"/>
  <c r="M68" i="1"/>
  <c r="R68" i="1" s="1"/>
  <c r="M71" i="1"/>
  <c r="R71" i="1" s="1"/>
  <c r="M74" i="1"/>
  <c r="R74" i="1" s="1"/>
  <c r="M61" i="1"/>
  <c r="R61" i="1" s="1"/>
  <c r="O71" i="1"/>
  <c r="P71" i="1" s="1"/>
  <c r="S71" i="1" s="1"/>
  <c r="M70" i="1"/>
  <c r="R70" i="1" s="1"/>
  <c r="M73" i="1"/>
  <c r="R73" i="1" s="1"/>
  <c r="M79" i="1"/>
  <c r="R79" i="1" s="1"/>
  <c r="M55" i="1"/>
  <c r="R55" i="1" s="1"/>
  <c r="M66" i="1"/>
  <c r="R66" i="1" s="1"/>
  <c r="K49" i="1" l="1"/>
  <c r="K52" i="1"/>
  <c r="K51" i="1"/>
  <c r="K50" i="1"/>
  <c r="P50" i="1"/>
  <c r="S50" i="1" s="1"/>
  <c r="P51" i="1"/>
  <c r="S51" i="1" s="1"/>
  <c r="P52" i="1"/>
  <c r="S52" i="1" s="1"/>
  <c r="P49" i="1"/>
  <c r="S49" i="1" s="1"/>
  <c r="K46" i="1"/>
  <c r="K47" i="1"/>
  <c r="G46" i="1"/>
  <c r="G47" i="1"/>
  <c r="M15" i="1"/>
  <c r="M14" i="1"/>
  <c r="G15" i="1"/>
  <c r="G14" i="1"/>
  <c r="K15" i="1"/>
  <c r="K14" i="1"/>
  <c r="G45" i="1"/>
  <c r="G44" i="1"/>
  <c r="G43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2" i="1"/>
  <c r="G11" i="1"/>
  <c r="M50" i="1" l="1"/>
  <c r="R50" i="1" s="1"/>
  <c r="M49" i="1"/>
  <c r="R49" i="1" s="1"/>
  <c r="M51" i="1"/>
  <c r="R51" i="1" s="1"/>
  <c r="M52" i="1"/>
  <c r="R52" i="1" s="1"/>
  <c r="M47" i="1"/>
  <c r="R47" i="1" s="1"/>
  <c r="M46" i="1"/>
  <c r="R46" i="1" s="1"/>
  <c r="R14" i="1"/>
  <c r="P14" i="1"/>
  <c r="S14" i="1" s="1"/>
  <c r="R15" i="1"/>
  <c r="P15" i="1"/>
  <c r="S15" i="1" s="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J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J4" i="11" s="1"/>
  <c r="B3" i="1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I4" i="10" s="1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I12" i="10" l="1"/>
  <c r="J12" i="9"/>
  <c r="J4" i="9"/>
  <c r="J14" i="10"/>
  <c r="J14" i="9"/>
  <c r="I28" i="9"/>
  <c r="I12" i="11"/>
  <c r="J27" i="11"/>
  <c r="J3" i="11"/>
  <c r="I19" i="11"/>
  <c r="J14" i="11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R41" i="1" s="1"/>
  <c r="M38" i="1"/>
  <c r="R38" i="1" s="1"/>
  <c r="M40" i="1"/>
  <c r="R40" i="1" s="1"/>
  <c r="M39" i="1"/>
  <c r="R39" i="1" s="1"/>
  <c r="J12" i="11"/>
  <c r="I20" i="10"/>
  <c r="I28" i="10"/>
  <c r="J28" i="10"/>
  <c r="I19" i="10"/>
  <c r="I27" i="10"/>
  <c r="J3" i="10"/>
  <c r="I3" i="9"/>
  <c r="J19" i="9"/>
  <c r="J28" i="9"/>
  <c r="I20" i="9"/>
  <c r="C28" i="6"/>
  <c r="B28" i="6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N41" i="1" l="1"/>
  <c r="P41" i="1" s="1"/>
  <c r="S41" i="1" s="1"/>
  <c r="N40" i="1"/>
  <c r="P40" i="1" s="1"/>
  <c r="S40" i="1" s="1"/>
  <c r="I28" i="11"/>
  <c r="N39" i="1"/>
  <c r="P39" i="1" s="1"/>
  <c r="S39" i="1" s="1"/>
  <c r="N38" i="1"/>
  <c r="P38" i="1" s="1"/>
  <c r="S38" i="1" s="1"/>
  <c r="I27" i="6"/>
  <c r="J28" i="2"/>
  <c r="I28" i="6"/>
  <c r="I28" i="2"/>
  <c r="J28" i="6"/>
  <c r="J27" i="2"/>
  <c r="I27" i="8" l="1"/>
  <c r="J27" i="8"/>
  <c r="M17" i="1"/>
  <c r="K12" i="1"/>
  <c r="K11" i="1"/>
  <c r="J27" i="7" l="1"/>
  <c r="I27" i="7"/>
  <c r="J28" i="8"/>
  <c r="I28" i="8"/>
  <c r="M12" i="1"/>
  <c r="R12" i="1" s="1"/>
  <c r="M11" i="1"/>
  <c r="R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K43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N46" i="1" l="1"/>
  <c r="P46" i="1" s="1"/>
  <c r="S46" i="1" s="1"/>
  <c r="N47" i="1"/>
  <c r="P47" i="1" s="1"/>
  <c r="S47" i="1" s="1"/>
  <c r="I20" i="7"/>
  <c r="J3" i="8"/>
  <c r="I14" i="8"/>
  <c r="I5" i="8"/>
  <c r="J19" i="7"/>
  <c r="I12" i="8"/>
  <c r="I20" i="8"/>
  <c r="N44" i="1" s="1"/>
  <c r="J3" i="7"/>
  <c r="J14" i="7"/>
  <c r="I4" i="7"/>
  <c r="I12" i="7"/>
  <c r="M43" i="1"/>
  <c r="R43" i="1" s="1"/>
  <c r="M44" i="1"/>
  <c r="R44" i="1" s="1"/>
  <c r="M45" i="1"/>
  <c r="R45" i="1" s="1"/>
  <c r="N45" i="1" l="1"/>
  <c r="P45" i="1" s="1"/>
  <c r="S45" i="1" s="1"/>
  <c r="N43" i="1"/>
  <c r="P43" i="1" s="1"/>
  <c r="S43" i="1" s="1"/>
  <c r="P44" i="1"/>
  <c r="S44" i="1" s="1"/>
  <c r="M22" i="1"/>
  <c r="R22" i="1" s="1"/>
  <c r="K22" i="1"/>
  <c r="K36" i="1"/>
  <c r="K35" i="1"/>
  <c r="K34" i="1"/>
  <c r="K32" i="1"/>
  <c r="K29" i="1"/>
  <c r="K31" i="1"/>
  <c r="K28" i="1"/>
  <c r="K26" i="1"/>
  <c r="K25" i="1"/>
  <c r="K24" i="1"/>
  <c r="K21" i="1"/>
  <c r="K20" i="1"/>
  <c r="K19" i="1"/>
  <c r="K18" i="1"/>
  <c r="P22" i="1" l="1"/>
  <c r="S22" i="1" s="1"/>
  <c r="P35" i="1"/>
  <c r="S35" i="1" s="1"/>
  <c r="P34" i="1"/>
  <c r="S34" i="1" s="1"/>
  <c r="M32" i="1"/>
  <c r="R32" i="1" s="1"/>
  <c r="M28" i="1"/>
  <c r="R28" i="1" s="1"/>
  <c r="M25" i="1"/>
  <c r="R25" i="1" s="1"/>
  <c r="M20" i="1"/>
  <c r="R20" i="1" s="1"/>
  <c r="M19" i="1"/>
  <c r="M18" i="1"/>
  <c r="P18" i="1" s="1"/>
  <c r="M21" i="1"/>
  <c r="B9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P36" i="1" l="1"/>
  <c r="S36" i="1" s="1"/>
  <c r="M36" i="1"/>
  <c r="R36" i="1" s="1"/>
  <c r="R21" i="1"/>
  <c r="P21" i="1"/>
  <c r="S21" i="1" s="1"/>
  <c r="M31" i="1"/>
  <c r="R31" i="1" s="1"/>
  <c r="M29" i="1"/>
  <c r="R29" i="1" s="1"/>
  <c r="M26" i="1"/>
  <c r="R26" i="1" s="1"/>
  <c r="M24" i="1"/>
  <c r="R24" i="1" s="1"/>
  <c r="P19" i="1"/>
  <c r="S19" i="1" s="1"/>
  <c r="R19" i="1"/>
  <c r="R17" i="1"/>
  <c r="P17" i="1"/>
  <c r="S17" i="1" s="1"/>
  <c r="S18" i="1"/>
  <c r="R18" i="1"/>
  <c r="P20" i="1"/>
  <c r="S20" i="1" s="1"/>
  <c r="M35" i="1"/>
  <c r="R35" i="1" s="1"/>
  <c r="M34" i="1"/>
  <c r="R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S81" i="1" l="1"/>
  <c r="I19" i="6"/>
  <c r="I5" i="6"/>
  <c r="I3" i="6"/>
  <c r="I2" i="6"/>
  <c r="J14" i="6"/>
  <c r="I4" i="6"/>
  <c r="I12" i="6"/>
  <c r="I20" i="6"/>
  <c r="N25" i="1" l="1"/>
  <c r="P25" i="1" s="1"/>
  <c r="S25" i="1" s="1"/>
  <c r="N24" i="1"/>
  <c r="P24" i="1" s="1"/>
  <c r="S24" i="1" s="1"/>
  <c r="N26" i="1"/>
  <c r="P26" i="1" s="1"/>
  <c r="S26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P12" i="1" l="1"/>
  <c r="S12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P11" i="1" l="1"/>
  <c r="S11" i="1" s="1"/>
  <c r="N31" i="1"/>
  <c r="P31" i="1" s="1"/>
  <c r="S31" i="1" s="1"/>
  <c r="N32" i="1"/>
  <c r="P32" i="1" s="1"/>
  <c r="S32" i="1" s="1"/>
  <c r="N29" i="1"/>
  <c r="P29" i="1" s="1"/>
  <c r="S29" i="1" s="1"/>
  <c r="N28" i="1"/>
  <c r="P28" i="1" s="1"/>
  <c r="S28" i="1" s="1"/>
  <c r="S85" i="1" l="1"/>
  <c r="S8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<sst xmlns="http://schemas.openxmlformats.org/spreadsheetml/2006/main" count="752" uniqueCount="195">
  <si>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</si>
  <si>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</si>
  <si>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</si>
  <si>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</si>
  <si>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</si>
  <si>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</si>
  <si>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</si>
  <si>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>Endereço:</t>
  </si>
  <si>
    <t>Municipio:</t>
  </si>
  <si>
    <t>UF:</t>
  </si>
  <si>
    <t>PR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</si>
  <si>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</si>
  <si>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</si>
  <si>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</si>
  <si>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</si>
  <si>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</si>
  <si>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</si>
  <si>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</si>
  <si>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</si>
  <si>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</si>
  <si>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</si>
  <si>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</si>
  <si>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</si>
  <si>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</si>
  <si>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</si>
  <si>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</si>
  <si>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</si>
  <si>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</si>
  <si>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 UN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</si>
  <si>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</si>
  <si>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</si>
  <si>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</si>
  <si>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</si>
  <si>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</si>
  <si>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</si>
  <si>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</si>
  <si>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</si>
  <si>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</si>
  <si>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</si>
  <si>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</si>
  <si>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</si>
  <si>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</si>
  <si>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</si>
  <si>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</si>
  <si>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</si>
  <si>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</si>
  <si>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</si>
  <si>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</si>
  <si>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</si>
  <si>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</si>
  <si>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</si>
  <si>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</si>
  <si>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</si>
  <si>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</si>
  <si>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</si>
  <si>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</si>
  <si>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</si>
  <si>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</si>
  <si>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</si>
  <si>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</si>
  <si>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</si>
  <si>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</si>
  <si>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</si>
  <si>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</si>
  <si>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</si>
  <si>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</si>
  <si>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</si>
  <si>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</si>
  <si>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</si>
  <si>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</si>
  <si>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</si>
  <si>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</si>
  <si>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</si>
  <si>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</si>
  <si>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Cereal Infantil Papapá Aveia - Morango e Beterraba sache 170g</t>
  </si>
  <si>
    <t>12 x 170g</t>
  </si>
  <si>
    <t>19.01.10.30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</si>
  <si>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</si>
  <si>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</si>
  <si>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</si>
  <si>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</si>
  <si>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</si>
  <si>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</si>
  <si>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</si>
  <si>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</si>
  <si>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</si>
  <si>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</si>
  <si>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</si>
  <si>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</si>
  <si>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</si>
  <si>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</si>
  <si>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</si>
  <si>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</si>
  <si>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</si>
  <si>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</si>
  <si>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</si>
  <si>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</si>
  <si>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</si>
  <si>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</si>
  <si>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</si>
  <si>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</si>
  <si>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</si>
  <si>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</si>
  <si>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</si>
  <si>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</si>
  <si>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</si>
  <si>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</si>
  <si>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</si>
  <si>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</si>
  <si>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</si>
  <si>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</si>
  <si>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</si>
  <si>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</si>
  <si>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</si>
  <si>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</si>
  <si>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</si>
  <si>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</si>
  <si>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</si>
  <si>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</si>
  <si>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</si>
  <si>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</si>
  <si>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</si>
  <si>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</si>
  <si>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</si>
  <si>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</si>
  <si>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</si>
  <si>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</si>
  <si>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</si>
  <si>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</si>
  <si>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</si>
  <si>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</si>
  <si>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</si>
  <si>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</si>
  <si>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</si>
  <si>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</si>
  <si>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</si>
  <si>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0325E</t>
  </si>
  <si>
    <t>ESPECIAL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</si>
  <si>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</si>
  <si>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</si>
  <si>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</si>
  <si>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</si>
  <si>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</si>
  <si>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</si>
  <si>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</si>
  <si>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</si>
  <si>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</si>
  <si>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</si>
  <si>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</si>
  <si>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</si>
  <si>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</si>
  <si>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Novos Biscotti</t>
  </si>
  <si>
    <t>CONSUMIDOR</t>
  </si>
  <si>
    <t>icms 7%</t>
  </si>
  <si>
    <t>IPI</t>
  </si>
  <si>
    <t>Salgadinho Integral Orgânico Queijo Papapa Era Uma Vez 40g</t>
  </si>
  <si>
    <t>18 x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</si>
  <si>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</si>
  <si>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</si>
  <si>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</si>
  <si>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8x30g</t>
  </si>
  <si>
    <t>Biscoito Recheado de Morango Papapa Era Uma Vez 30g</t>
  </si>
  <si>
    <t>Bebida de Laranja Papapa Era Uma Vez 200ml</t>
  </si>
  <si>
    <t xml:space="preserve">27  x 200 ml </t>
  </si>
  <si>
    <t>8 meses</t>
  </si>
  <si>
    <t>2202.99.00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</si>
  <si>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</si>
  <si>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</si>
  <si>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</si>
  <si>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</si>
  <si>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</si>
  <si>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</si>
  <si>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</si>
  <si>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</si>
  <si>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</si>
  <si>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</si>
  <si>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</si>
  <si>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</si>
  <si>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</si>
  <si>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</si>
  <si>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</si>
  <si>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</si>
  <si>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</si>
  <si>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</si>
  <si>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</si>
  <si>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</si>
  <si>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(*) quando inside ST o valor do imposto é adicionado nesta coluna</t>
  </si>
  <si>
    <t>Salgadinhos</t>
  </si>
  <si>
    <t>Bisc. Recheados</t>
  </si>
  <si>
    <t>Sucos</t>
  </si>
  <si>
    <t>Achocolatado</t>
  </si>
  <si>
    <t>Puer. Talheres</t>
  </si>
  <si>
    <t>Puer. Bolw</t>
  </si>
  <si>
    <t>Puer. Babador</t>
  </si>
  <si>
    <t>Puer. Pratinho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</si>
</sst>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7FFD"/>
        <bgColor indexed="64"/>
      </patternFill>
    </fill>
    <fill>
      <patternFill patternType="solid">
        <fgColor rgb="FFDC7FFD"/>
        <bgColor rgb="FF000000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0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89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1" fillId="11" borderId="0" xfId="0" applyFont="1" applyFill="1" applyAlignment="1">
      <alignment horizontal="center" vertical="center"/>
    </xf>
    <xf numFmtId="44" fontId="11" fillId="0" borderId="0" xfId="1" applyFont="1" applyFill="1" applyBorder="1"/>
    <xf numFmtId="44" fontId="11" fillId="0" borderId="0" xfId="0" applyNumberFormat="1" applyFont="1"/>
    <xf numFmtId="0" fontId="12" fillId="11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44" fontId="11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4" fillId="9" borderId="17" xfId="7" applyNumberFormat="1" applyFont="1" applyBorder="1" applyAlignment="1" applyProtection="1">
      <alignment horizontal="center" vertical="center"/>
    </xf>
    <xf numFmtId="0" fontId="14" fillId="9" borderId="9" xfId="7" applyFont="1" applyBorder="1" applyAlignment="1" applyProtection="1">
      <alignment horizontal="center"/>
    </xf>
    <xf numFmtId="1" fontId="14" fillId="9" borderId="9" xfId="7" applyNumberFormat="1" applyFont="1" applyBorder="1" applyAlignment="1" applyProtection="1">
      <alignment horizontal="center" vertical="center"/>
    </xf>
    <xf numFmtId="9" fontId="14" fillId="9" borderId="9" xfId="7" applyNumberFormat="1" applyFont="1" applyBorder="1" applyAlignment="1" applyProtection="1">
      <alignment horizontal="center"/>
    </xf>
    <xf numFmtId="44" fontId="13" fillId="9" borderId="9" xfId="7" applyNumberFormat="1" applyFont="1" applyBorder="1" applyAlignment="1" applyProtection="1">
      <alignment horizontal="center" vertical="center"/>
    </xf>
    <xf numFmtId="44" fontId="13" fillId="9" borderId="9" xfId="7" applyNumberFormat="1" applyFont="1" applyBorder="1" applyAlignment="1" applyProtection="1">
      <alignment horizontal="center"/>
    </xf>
    <xf numFmtId="2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0" fontId="13" fillId="6" borderId="9" xfId="0" applyFont="1" applyFill="1" applyBorder="1" applyAlignment="1" applyProtection="1">
      <alignment horizontal="center"/>
      <protection locked="0"/>
    </xf>
    <xf numFmtId="44" fontId="14" fillId="9" borderId="5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/>
    </xf>
    <xf numFmtId="44" fontId="13" fillId="10" borderId="9" xfId="1" applyFont="1" applyFill="1" applyBorder="1" applyAlignment="1" applyProtection="1">
      <alignment horizontal="center" vertical="center"/>
    </xf>
    <xf numFmtId="44" fontId="13" fillId="10" borderId="9" xfId="1" applyFont="1" applyFill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/>
    </xf>
    <xf numFmtId="44" fontId="14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3" fillId="10" borderId="0" xfId="1" applyNumberFormat="1" applyFont="1" applyFill="1" applyBorder="1" applyAlignment="1" applyProtection="1">
      <alignment horizontal="center"/>
    </xf>
    <xf numFmtId="44" fontId="13" fillId="10" borderId="0" xfId="1" applyFont="1" applyFill="1" applyBorder="1" applyAlignment="1" applyProtection="1">
      <alignment horizontal="center" vertical="center"/>
    </xf>
    <xf numFmtId="44" fontId="13" fillId="10" borderId="0" xfId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9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4" fillId="10" borderId="9" xfId="0" applyNumberFormat="1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/>
    </xf>
    <xf numFmtId="9" fontId="14" fillId="10" borderId="9" xfId="0" applyNumberFormat="1" applyFont="1" applyFill="1" applyBorder="1" applyAlignment="1">
      <alignment horizontal="center"/>
    </xf>
    <xf numFmtId="2" fontId="14" fillId="10" borderId="9" xfId="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3" fillId="10" borderId="0" xfId="0" applyFont="1" applyFill="1" applyAlignment="1">
      <alignment horizontal="left" vertical="center"/>
    </xf>
    <xf numFmtId="0" fontId="13" fillId="0" borderId="0" xfId="0" applyFont="1"/>
    <xf numFmtId="1" fontId="14" fillId="10" borderId="0" xfId="0" applyNumberFormat="1" applyFont="1" applyFill="1" applyAlignment="1">
      <alignment horizontal="center" vertical="center"/>
    </xf>
    <xf numFmtId="0" fontId="14" fillId="10" borderId="0" xfId="0" applyFont="1" applyFill="1" applyAlignment="1">
      <alignment horizontal="center"/>
    </xf>
    <xf numFmtId="9" fontId="14" fillId="10" borderId="0" xfId="0" applyNumberFormat="1" applyFont="1" applyFill="1" applyAlignment="1">
      <alignment horizontal="center"/>
    </xf>
    <xf numFmtId="2" fontId="14" fillId="10" borderId="0" xfId="0" applyNumberFormat="1" applyFont="1" applyFill="1" applyAlignment="1">
      <alignment horizontal="center" vertical="center"/>
    </xf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11" fillId="0" borderId="0" xfId="0" applyFont="1"/>
    <xf numFmtId="0" fontId="20" fillId="0" borderId="13" xfId="0" applyFont="1" applyBorder="1" applyAlignment="1">
      <alignment horizontal="center" vertical="center"/>
    </xf>
    <xf numFmtId="0" fontId="21" fillId="15" borderId="13" xfId="0" applyFont="1" applyFill="1" applyBorder="1" applyAlignment="1">
      <alignment horizontal="center" vertical="center"/>
    </xf>
    <xf numFmtId="44" fontId="22" fillId="12" borderId="0" xfId="1" applyFont="1" applyFill="1" applyBorder="1"/>
    <xf numFmtId="44" fontId="22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0" fontId="10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4" fillId="9" borderId="17" xfId="7" applyFont="1" applyBorder="1" applyAlignment="1" applyProtection="1">
      <alignment horizontal="center"/>
    </xf>
    <xf numFmtId="9" fontId="14" fillId="9" borderId="17" xfId="7" applyNumberFormat="1" applyFont="1" applyBorder="1" applyAlignment="1" applyProtection="1">
      <alignment horizontal="center"/>
    </xf>
    <xf numFmtId="44" fontId="13" fillId="9" borderId="17" xfId="7" applyNumberFormat="1" applyFont="1" applyBorder="1" applyAlignment="1" applyProtection="1">
      <alignment horizontal="center" vertical="center"/>
    </xf>
    <xf numFmtId="44" fontId="13" fillId="9" borderId="17" xfId="7" applyNumberFormat="1" applyFont="1" applyBorder="1" applyAlignment="1" applyProtection="1">
      <alignment horizontal="center"/>
    </xf>
    <xf numFmtId="0" fontId="13" fillId="6" borderId="17" xfId="0" applyFont="1" applyFill="1" applyBorder="1" applyAlignment="1" applyProtection="1">
      <alignment horizontal="center"/>
      <protection locked="0"/>
    </xf>
    <xf numFmtId="44" fontId="14" fillId="9" borderId="15" xfId="7" applyNumberFormat="1" applyFont="1" applyBorder="1" applyAlignment="1" applyProtection="1">
      <alignment horizontal="center"/>
    </xf>
    <xf numFmtId="2" fontId="23" fillId="9" borderId="17" xfId="7" applyNumberFormat="1" applyFont="1" applyBorder="1" applyAlignment="1" applyProtection="1">
      <alignment horizontal="center" vertical="center"/>
    </xf>
    <xf numFmtId="2" fontId="23" fillId="10" borderId="9" xfId="0" applyNumberFormat="1" applyFont="1" applyFill="1" applyBorder="1" applyAlignment="1">
      <alignment horizontal="center" vertical="center"/>
    </xf>
    <xf numFmtId="0" fontId="11" fillId="20" borderId="0" xfId="0" applyFont="1" applyFill="1" applyAlignment="1">
      <alignment horizontal="center" vertical="center"/>
    </xf>
    <xf numFmtId="44" fontId="11" fillId="19" borderId="0" xfId="1" applyFont="1" applyFill="1" applyBorder="1"/>
    <xf numFmtId="44" fontId="22" fillId="20" borderId="0" xfId="1" applyFont="1" applyFill="1" applyBorder="1"/>
    <xf numFmtId="44" fontId="22" fillId="20" borderId="0" xfId="0" applyNumberFormat="1" applyFont="1" applyFill="1"/>
    <xf numFmtId="44" fontId="0" fillId="21" borderId="0" xfId="1" applyFont="1" applyFill="1"/>
    <xf numFmtId="44" fontId="1" fillId="21" borderId="0" xfId="1" applyFont="1" applyFill="1"/>
    <xf numFmtId="43" fontId="0" fillId="21" borderId="0" xfId="8" applyFont="1" applyFill="1"/>
    <xf numFmtId="0" fontId="0" fillId="22" borderId="0" xfId="0" applyFill="1" applyAlignment="1">
      <alignment horizontal="center" vertical="center"/>
    </xf>
    <xf numFmtId="9" fontId="1" fillId="22" borderId="0" xfId="2" applyFont="1" applyFill="1" applyAlignment="1">
      <alignment horizontal="center" vertical="center"/>
    </xf>
    <xf numFmtId="10" fontId="1" fillId="22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3" borderId="0" xfId="0" applyFill="1" applyAlignment="1">
      <alignment horizontal="center" vertical="center"/>
    </xf>
    <xf numFmtId="9" fontId="1" fillId="23" borderId="0" xfId="2" applyFont="1" applyFill="1" applyAlignment="1">
      <alignment horizontal="center" vertical="center"/>
    </xf>
    <xf numFmtId="10" fontId="1" fillId="23" borderId="0" xfId="2" applyNumberFormat="1" applyFont="1" applyFill="1" applyAlignment="1">
      <alignment horizontal="center" vertical="center"/>
    </xf>
    <xf numFmtId="164" fontId="1" fillId="22" borderId="0" xfId="2" applyNumberFormat="1" applyFont="1" applyFill="1" applyAlignment="1">
      <alignment horizontal="center" vertical="center"/>
    </xf>
    <xf numFmtId="0" fontId="11" fillId="16" borderId="0" xfId="0" applyFont="1" applyFill="1"/>
    <xf numFmtId="0" fontId="7" fillId="24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25" borderId="13" xfId="0" applyFont="1" applyFill="1" applyBorder="1" applyAlignment="1">
      <alignment horizontal="center" vertical="center" wrapText="1"/>
    </xf>
    <xf numFmtId="2" fontId="14" fillId="0" borderId="9" xfId="7" applyNumberFormat="1" applyFont="1" applyFill="1" applyBorder="1" applyAlignment="1" applyProtection="1">
      <alignment horizontal="center" vertical="center"/>
    </xf>
    <xf numFmtId="44" fontId="12" fillId="26" borderId="0" xfId="0" applyNumberFormat="1" applyFont="1" applyFill="1"/>
    <xf numFmtId="0" fontId="17" fillId="17" borderId="0" xfId="0" applyFont="1" applyFill="1" applyAlignment="1">
      <alignment horizontal="center"/>
    </xf>
    <xf numFmtId="0" fontId="7" fillId="0" borderId="13" xfId="0" applyFont="1" applyBorder="1" applyAlignment="1">
      <alignment horizontal="center" vertical="center"/>
    </xf>
    <xf numFmtId="44" fontId="22" fillId="0" borderId="0" xfId="1" applyFont="1" applyFill="1" applyBorder="1"/>
    <xf numFmtId="44" fontId="24" fillId="0" borderId="0" xfId="1" applyFont="1" applyFill="1" applyBorder="1"/>
    <xf numFmtId="0" fontId="11" fillId="27" borderId="0" xfId="0" applyFont="1" applyFill="1" applyAlignment="1">
      <alignment horizontal="center" vertical="center"/>
    </xf>
    <xf numFmtId="44" fontId="0" fillId="23" borderId="0" xfId="0" applyNumberFormat="1" applyFill="1"/>
    <xf numFmtId="44" fontId="25" fillId="26" borderId="0" xfId="0" applyNumberFormat="1" applyFont="1" applyFill="1"/>
    <xf numFmtId="0" fontId="0" fillId="16" borderId="0" xfId="0" applyFill="1"/>
    <xf numFmtId="0" fontId="17" fillId="16" borderId="0" xfId="0" applyFont="1" applyFill="1"/>
    <xf numFmtId="1" fontId="14" fillId="9" borderId="5" xfId="7" applyNumberFormat="1" applyFont="1" applyBorder="1" applyAlignment="1" applyProtection="1">
      <alignment horizontal="center" vertical="center"/>
    </xf>
    <xf numFmtId="1" fontId="14" fillId="9" borderId="3" xfId="7" applyNumberFormat="1" applyFont="1" applyBorder="1" applyAlignment="1" applyProtection="1">
      <alignment horizontal="center" vertical="center"/>
    </xf>
    <xf numFmtId="0" fontId="13" fillId="6" borderId="0" xfId="0" applyFont="1" applyFill="1" applyAlignment="1" applyProtection="1">
      <alignment horizontal="center"/>
      <protection locked="0"/>
    </xf>
    <xf numFmtId="1" fontId="14" fillId="0" borderId="9" xfId="7" applyNumberFormat="1" applyFont="1" applyFill="1" applyBorder="1" applyAlignment="1" applyProtection="1">
      <alignment horizontal="center" vertical="center"/>
    </xf>
    <xf numFmtId="0" fontId="14" fillId="0" borderId="9" xfId="7" applyFont="1" applyFill="1" applyBorder="1" applyAlignment="1" applyProtection="1">
      <alignment horizontal="center"/>
    </xf>
    <xf numFmtId="44" fontId="13" fillId="0" borderId="9" xfId="7" applyNumberFormat="1" applyFont="1" applyFill="1" applyBorder="1" applyAlignment="1" applyProtection="1">
      <alignment horizontal="center" vertical="center"/>
    </xf>
    <xf numFmtId="9" fontId="14" fillId="0" borderId="9" xfId="7" applyNumberFormat="1" applyFont="1" applyFill="1" applyBorder="1" applyAlignment="1" applyProtection="1">
      <alignment horizontal="center"/>
    </xf>
    <xf numFmtId="44" fontId="13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4" fillId="0" borderId="5" xfId="7" applyNumberFormat="1" applyFont="1" applyFill="1" applyBorder="1" applyAlignment="1" applyProtection="1">
      <alignment horizontal="center"/>
    </xf>
    <xf numFmtId="0" fontId="13" fillId="0" borderId="5" xfId="7" applyFont="1" applyFill="1" applyBorder="1" applyAlignment="1" applyProtection="1">
      <alignment vertical="center"/>
    </xf>
    <xf numFmtId="0" fontId="13" fillId="0" borderId="4" xfId="7" applyFont="1" applyFill="1" applyBorder="1" applyAlignment="1" applyProtection="1">
      <alignment vertical="center"/>
    </xf>
    <xf numFmtId="1" fontId="14" fillId="0" borderId="9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44" fontId="13" fillId="0" borderId="9" xfId="1" applyFont="1" applyFill="1" applyBorder="1" applyAlignment="1" applyProtection="1">
      <alignment horizontal="center" vertical="center"/>
    </xf>
    <xf numFmtId="9" fontId="14" fillId="0" borderId="9" xfId="0" applyNumberFormat="1" applyFont="1" applyBorder="1" applyAlignment="1">
      <alignment horizontal="center"/>
    </xf>
    <xf numFmtId="2" fontId="14" fillId="0" borderId="9" xfId="0" applyNumberFormat="1" applyFont="1" applyBorder="1" applyAlignment="1">
      <alignment horizontal="center" vertical="center"/>
    </xf>
    <xf numFmtId="44" fontId="14" fillId="0" borderId="5" xfId="1" applyFont="1" applyFill="1" applyBorder="1" applyAlignment="1" applyProtection="1">
      <alignment horizontal="center"/>
    </xf>
    <xf numFmtId="44" fontId="14" fillId="0" borderId="9" xfId="1" applyFont="1" applyFill="1" applyBorder="1" applyAlignment="1" applyProtection="1">
      <alignment horizontal="center"/>
    </xf>
    <xf numFmtId="0" fontId="13" fillId="9" borderId="5" xfId="7" applyFont="1" applyBorder="1" applyAlignment="1" applyProtection="1">
      <alignment vertical="center"/>
    </xf>
    <xf numFmtId="0" fontId="13" fillId="9" borderId="4" xfId="7" applyFont="1" applyBorder="1" applyAlignment="1" applyProtection="1">
      <alignment vertical="center"/>
    </xf>
    <xf numFmtId="1" fontId="14" fillId="28" borderId="9" xfId="0" applyNumberFormat="1" applyFont="1" applyFill="1" applyBorder="1" applyAlignment="1">
      <alignment horizontal="center" vertical="center"/>
    </xf>
    <xf numFmtId="0" fontId="14" fillId="28" borderId="9" xfId="0" applyFont="1" applyFill="1" applyBorder="1" applyAlignment="1">
      <alignment horizontal="center"/>
    </xf>
    <xf numFmtId="44" fontId="13" fillId="28" borderId="9" xfId="1" applyFont="1" applyFill="1" applyBorder="1" applyAlignment="1" applyProtection="1">
      <alignment horizontal="center" vertical="center"/>
    </xf>
    <xf numFmtId="9" fontId="14" fillId="28" borderId="9" xfId="0" applyNumberFormat="1" applyFont="1" applyFill="1" applyBorder="1" applyAlignment="1">
      <alignment horizontal="center"/>
    </xf>
    <xf numFmtId="2" fontId="14" fillId="28" borderId="9" xfId="0" applyNumberFormat="1" applyFont="1" applyFill="1" applyBorder="1" applyAlignment="1">
      <alignment horizontal="center" vertical="center"/>
    </xf>
    <xf numFmtId="44" fontId="14" fillId="28" borderId="5" xfId="1" applyFont="1" applyFill="1" applyBorder="1" applyAlignment="1" applyProtection="1">
      <alignment horizontal="center"/>
    </xf>
    <xf numFmtId="44" fontId="14" fillId="28" borderId="9" xfId="1" applyFont="1" applyFill="1" applyBorder="1" applyAlignment="1" applyProtection="1">
      <alignment horizontal="center"/>
    </xf>
    <xf numFmtId="0" fontId="26" fillId="0" borderId="0" xfId="0" applyFont="1"/>
    <xf numFmtId="0" fontId="27" fillId="0" borderId="13" xfId="0" applyFont="1" applyBorder="1" applyAlignment="1">
      <alignment horizontal="center" vertical="center"/>
    </xf>
    <xf numFmtId="0" fontId="27" fillId="15" borderId="13" xfId="0" applyFont="1" applyFill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left" vertical="center"/>
    </xf>
    <xf numFmtId="0" fontId="13" fillId="10" borderId="4" xfId="0" applyFont="1" applyFill="1" applyBorder="1" applyAlignment="1">
      <alignment horizontal="left" vertical="center"/>
    </xf>
    <xf numFmtId="0" fontId="13" fillId="9" borderId="5" xfId="7" applyFont="1" applyBorder="1" applyAlignment="1" applyProtection="1">
      <alignment horizontal="left" vertical="center"/>
    </xf>
    <xf numFmtId="0" fontId="13" fillId="9" borderId="4" xfId="7" applyFont="1" applyBorder="1" applyAlignment="1" applyProtection="1">
      <alignment horizontal="left" vertical="center"/>
    </xf>
    <xf numFmtId="0" fontId="13" fillId="0" borderId="4" xfId="0" applyFont="1" applyBorder="1"/>
    <xf numFmtId="0" fontId="13" fillId="0" borderId="5" xfId="7" applyFont="1" applyFill="1" applyBorder="1" applyAlignment="1" applyProtection="1">
      <alignment horizontal="left" vertical="center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3" fillId="9" borderId="15" xfId="7" applyFont="1" applyBorder="1" applyAlignment="1" applyProtection="1">
      <alignment horizontal="left" vertical="center"/>
    </xf>
    <xf numFmtId="0" fontId="13" fillId="0" borderId="16" xfId="0" applyFont="1" applyBorder="1"/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1657355</xdr:colOff>
      <xdr:row>3</xdr:row>
      <xdr:rowOff>131445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.sharepoint.com/sites/Papapa-Fileserver/Documentos%20Compartilhados/Comercial/01%20Comercial%20bkp/TABELAS%20DE%20PRE&#199;OS/Planilhas%20de%20pre&#231;o/2026/ESPECIAL/0325FARMA%20+%20ESPECIAL_PC%20Era%20uma%20vez%20-%20N&#195;O%20USAR.xlsx" TargetMode="External"/><Relationship Id="rId1" Type="http://schemas.openxmlformats.org/officeDocument/2006/relationships/externalLinkPath" Target="https://papapacombr.sharepoint.com/sites/Papapa-Fileserver/Documentos%20Compartilhados/Comercial/01%20Comercial%20bkp/TABELAS%20DE%20PRE&#199;OS/Planilhas%20de%20pre&#231;o/2026/ESPECIAL/0325FARMA%20+%20ESPECIAL_PC%20Era%20uma%20vez%20-%20N&#195;O%20USA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https://papapacombr.sharepoint.com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as"/>
      <sheetName val="Planilha1"/>
      <sheetName val="ST BISCOITINHOS"/>
      <sheetName val="ST PAPAPASTA"/>
      <sheetName val="ST PALITINHOS"/>
      <sheetName val="ST EXTRUSADOS"/>
      <sheetName val="ST BISCOTTI"/>
      <sheetName val="ST CEREAL"/>
      <sheetName val="ST CEREAL SABOR POUCH 170"/>
      <sheetName val="ST MULTI 170 POUCH"/>
      <sheetName val="ST MULTI 500 POUCH"/>
      <sheetName val="ST RECHEADOS"/>
      <sheetName val="PREÇOS"/>
      <sheetName val="PSC"/>
    </sheetNames>
    <sheetDataSet>
      <sheetData sheetId="0" refreshError="1"/>
      <sheetData sheetId="1" refreshError="1"/>
      <sheetData sheetId="2">
        <row r="1">
          <cell r="A1" t="str">
            <v>Estado</v>
          </cell>
          <cell r="B1" t="str">
            <v>Aliquota interestadual</v>
          </cell>
        </row>
        <row r="2">
          <cell r="A2" t="str">
            <v>AC</v>
          </cell>
          <cell r="B2">
            <v>0.04</v>
          </cell>
        </row>
        <row r="3">
          <cell r="A3" t="str">
            <v>AL</v>
          </cell>
          <cell r="B3">
            <v>0.04</v>
          </cell>
        </row>
        <row r="4">
          <cell r="A4" t="str">
            <v>AM</v>
          </cell>
          <cell r="B4">
            <v>0.04</v>
          </cell>
        </row>
        <row r="5">
          <cell r="A5" t="str">
            <v>AP</v>
          </cell>
          <cell r="B5">
            <v>0.04</v>
          </cell>
        </row>
        <row r="6">
          <cell r="A6" t="str">
            <v>BA</v>
          </cell>
          <cell r="B6">
            <v>0.04</v>
          </cell>
        </row>
        <row r="7">
          <cell r="A7" t="str">
            <v>CE</v>
          </cell>
          <cell r="B7">
            <v>0.04</v>
          </cell>
        </row>
        <row r="8">
          <cell r="A8" t="str">
            <v>DF</v>
          </cell>
          <cell r="B8">
            <v>0.04</v>
          </cell>
        </row>
        <row r="9">
          <cell r="A9" t="str">
            <v>ES</v>
          </cell>
          <cell r="B9">
            <v>0.04</v>
          </cell>
        </row>
        <row r="10">
          <cell r="A10" t="str">
            <v>GO</v>
          </cell>
          <cell r="B10">
            <v>0.04</v>
          </cell>
        </row>
        <row r="11">
          <cell r="A11" t="str">
            <v>MA</v>
          </cell>
          <cell r="B11">
            <v>0.04</v>
          </cell>
        </row>
        <row r="12">
          <cell r="A12" t="str">
            <v>MG</v>
          </cell>
          <cell r="B12">
            <v>0.04</v>
          </cell>
        </row>
        <row r="13">
          <cell r="A13" t="str">
            <v>MS</v>
          </cell>
          <cell r="B13">
            <v>0.04</v>
          </cell>
        </row>
        <row r="14">
          <cell r="A14" t="str">
            <v>MT</v>
          </cell>
          <cell r="B14">
            <v>0.04</v>
          </cell>
        </row>
        <row r="15">
          <cell r="A15" t="str">
            <v>PA</v>
          </cell>
          <cell r="B15">
            <v>0.04</v>
          </cell>
        </row>
        <row r="16">
          <cell r="A16" t="str">
            <v>PB</v>
          </cell>
          <cell r="B16">
            <v>0.04</v>
          </cell>
        </row>
        <row r="17">
          <cell r="A17" t="str">
            <v>PE</v>
          </cell>
          <cell r="B17">
            <v>0.04</v>
          </cell>
        </row>
        <row r="18">
          <cell r="A18" t="str">
            <v>PI</v>
          </cell>
          <cell r="B18">
            <v>0.04</v>
          </cell>
        </row>
        <row r="19">
          <cell r="A19" t="str">
            <v>PR</v>
          </cell>
          <cell r="B19">
            <v>0.12</v>
          </cell>
        </row>
        <row r="20">
          <cell r="A20" t="str">
            <v>RJ</v>
          </cell>
          <cell r="B20">
            <v>0.04</v>
          </cell>
        </row>
        <row r="21">
          <cell r="A21" t="str">
            <v>RN</v>
          </cell>
          <cell r="B21">
            <v>0.04</v>
          </cell>
        </row>
        <row r="22">
          <cell r="A22" t="str">
            <v>RO</v>
          </cell>
          <cell r="B22">
            <v>0.04</v>
          </cell>
        </row>
        <row r="23">
          <cell r="A23" t="str">
            <v>RR</v>
          </cell>
          <cell r="B23">
            <v>0.04</v>
          </cell>
        </row>
        <row r="24">
          <cell r="A24" t="str">
            <v>RS</v>
          </cell>
          <cell r="B24">
            <v>0.04</v>
          </cell>
        </row>
        <row r="25">
          <cell r="A25" t="str">
            <v>SC</v>
          </cell>
          <cell r="B25">
            <v>0.04</v>
          </cell>
        </row>
        <row r="26">
          <cell r="A26" t="str">
            <v>SE</v>
          </cell>
          <cell r="B26">
            <v>0.04</v>
          </cell>
        </row>
        <row r="27">
          <cell r="A27" t="str">
            <v>SP</v>
          </cell>
          <cell r="B27">
            <v>0.04</v>
          </cell>
        </row>
        <row r="28">
          <cell r="A28" t="str">
            <v>SP/Atacado</v>
          </cell>
          <cell r="B28">
            <v>0.04</v>
          </cell>
        </row>
        <row r="29">
          <cell r="A29" t="str">
            <v>TO</v>
          </cell>
          <cell r="B29">
            <v>0.04</v>
          </cell>
        </row>
        <row r="30">
          <cell r="A30" t="str">
            <v>EX</v>
          </cell>
        </row>
      </sheetData>
      <sheetData sheetId="3" refreshError="1"/>
      <sheetData sheetId="4" refreshError="1"/>
      <sheetData sheetId="5">
        <row r="1">
          <cell r="A1" t="str">
            <v>Estado</v>
          </cell>
          <cell r="B1" t="str">
            <v>Aliquota interestadual</v>
          </cell>
          <cell r="C1" t="str">
            <v>Aliquota interna</v>
          </cell>
          <cell r="D1" t="str">
            <v>MVA (normal)</v>
          </cell>
          <cell r="E1" t="str">
            <v>MVA (simples)</v>
          </cell>
          <cell r="F1" t="str">
            <v>Ajustada (normal)</v>
          </cell>
          <cell r="G1" t="str">
            <v>Ajustada (simples)</v>
          </cell>
          <cell r="H1" t="str">
            <v>Preço</v>
          </cell>
          <cell r="I1" t="str">
            <v>ST Normal</v>
          </cell>
          <cell r="J1" t="str">
            <v>ST Simples</v>
          </cell>
        </row>
        <row r="2">
          <cell r="A2" t="str">
            <v>AC</v>
          </cell>
          <cell r="B2">
            <v>7.0000000000000007E-2</v>
          </cell>
          <cell r="C2">
            <v>7.0000000000000007E-2</v>
          </cell>
          <cell r="D2"/>
          <cell r="E2"/>
          <cell r="F2"/>
          <cell r="G2"/>
          <cell r="H2">
            <v>5.2516129032258059</v>
          </cell>
          <cell r="I2">
            <v>0</v>
          </cell>
          <cell r="J2">
            <v>0</v>
          </cell>
        </row>
        <row r="3">
          <cell r="A3" t="str">
            <v>AL</v>
          </cell>
          <cell r="B3">
            <v>7.0000000000000007E-2</v>
          </cell>
          <cell r="C3">
            <v>0.19</v>
          </cell>
          <cell r="D3">
            <v>0.54320000000000002</v>
          </cell>
          <cell r="E3"/>
          <cell r="F3">
            <v>0.79400000000000004</v>
          </cell>
          <cell r="G3"/>
          <cell r="H3">
            <v>5.2516129032258059</v>
          </cell>
          <cell r="I3">
            <v>1.4224518709677418</v>
          </cell>
          <cell r="J3">
            <v>1.4224518709677418</v>
          </cell>
        </row>
        <row r="4">
          <cell r="A4" t="str">
            <v>AM</v>
          </cell>
          <cell r="B4">
            <v>7.0000000000000007E-2</v>
          </cell>
          <cell r="C4">
            <v>0.18</v>
          </cell>
          <cell r="D4"/>
          <cell r="E4"/>
          <cell r="F4"/>
          <cell r="G4"/>
          <cell r="H4">
            <v>5.2516129032258059</v>
          </cell>
          <cell r="I4">
            <v>0</v>
          </cell>
          <cell r="J4">
            <v>0</v>
          </cell>
        </row>
        <row r="5">
          <cell r="A5" t="str">
            <v>AP</v>
          </cell>
          <cell r="B5">
            <v>7.0000000000000007E-2</v>
          </cell>
          <cell r="C5">
            <v>0.18</v>
          </cell>
          <cell r="D5">
            <v>0.41</v>
          </cell>
          <cell r="E5"/>
          <cell r="F5">
            <v>0.59909999999999997</v>
          </cell>
          <cell r="G5"/>
          <cell r="H5">
            <v>5.2516129032258059</v>
          </cell>
          <cell r="I5">
            <v>1.1440008516129032</v>
          </cell>
          <cell r="J5">
            <v>1.1440008516129032</v>
          </cell>
        </row>
        <row r="6">
          <cell r="A6" t="str">
            <v>BA</v>
          </cell>
          <cell r="B6">
            <v>7.0000000000000007E-2</v>
          </cell>
          <cell r="C6">
            <v>7.0000000000000007E-2</v>
          </cell>
          <cell r="D6"/>
          <cell r="E6"/>
          <cell r="F6"/>
          <cell r="G6"/>
          <cell r="H6">
            <v>5.2516129032258059</v>
          </cell>
          <cell r="I6">
            <v>0</v>
          </cell>
          <cell r="J6">
            <v>0</v>
          </cell>
        </row>
        <row r="7">
          <cell r="A7" t="str">
            <v>CE</v>
          </cell>
          <cell r="B7">
            <v>7.0000000000000007E-2</v>
          </cell>
          <cell r="C7">
            <v>7.0000000000000007E-2</v>
          </cell>
          <cell r="D7"/>
          <cell r="E7"/>
          <cell r="F7"/>
          <cell r="G7"/>
          <cell r="H7">
            <v>5.2516129032258059</v>
          </cell>
          <cell r="I7">
            <v>0</v>
          </cell>
          <cell r="J7">
            <v>0</v>
          </cell>
        </row>
        <row r="8">
          <cell r="A8" t="str">
            <v>DF</v>
          </cell>
          <cell r="B8">
            <v>7.0000000000000007E-2</v>
          </cell>
          <cell r="C8">
            <v>7.0000000000000007E-2</v>
          </cell>
          <cell r="D8"/>
          <cell r="E8"/>
          <cell r="F8"/>
          <cell r="G8"/>
          <cell r="H8">
            <v>5.2516129032258059</v>
          </cell>
          <cell r="I8">
            <v>0</v>
          </cell>
          <cell r="J8">
            <v>0</v>
          </cell>
        </row>
        <row r="9">
          <cell r="A9" t="str">
            <v>ES</v>
          </cell>
          <cell r="B9">
            <v>7.0000000000000007E-2</v>
          </cell>
          <cell r="C9">
            <v>7.0000000000000007E-2</v>
          </cell>
          <cell r="D9"/>
          <cell r="E9"/>
          <cell r="F9"/>
          <cell r="G9"/>
          <cell r="H9">
            <v>5.2516129032258059</v>
          </cell>
          <cell r="I9">
            <v>0</v>
          </cell>
          <cell r="J9">
            <v>0</v>
          </cell>
        </row>
        <row r="10">
          <cell r="A10" t="str">
            <v>GO</v>
          </cell>
          <cell r="B10">
            <v>7.0000000000000007E-2</v>
          </cell>
          <cell r="C10">
            <v>7.0000000000000007E-2</v>
          </cell>
          <cell r="D10"/>
          <cell r="E10"/>
          <cell r="F10"/>
          <cell r="G10"/>
          <cell r="H10">
            <v>5.2516129032258059</v>
          </cell>
          <cell r="I10">
            <v>0</v>
          </cell>
          <cell r="J10">
            <v>0</v>
          </cell>
        </row>
        <row r="11">
          <cell r="A11" t="str">
            <v>MA</v>
          </cell>
          <cell r="B11">
            <v>7.0000000000000007E-2</v>
          </cell>
          <cell r="C11">
            <v>7.0000000000000007E-2</v>
          </cell>
          <cell r="D11"/>
          <cell r="E11"/>
          <cell r="F11"/>
          <cell r="G11"/>
          <cell r="H11">
            <v>5.2516129032258059</v>
          </cell>
          <cell r="I11">
            <v>0</v>
          </cell>
          <cell r="J11">
            <v>0</v>
          </cell>
        </row>
        <row r="12">
          <cell r="A12" t="str">
            <v>MG</v>
          </cell>
          <cell r="B12">
            <v>0.12</v>
          </cell>
          <cell r="C12">
            <v>0.18</v>
          </cell>
          <cell r="D12">
            <v>0.4</v>
          </cell>
          <cell r="E12"/>
          <cell r="F12">
            <v>0.50239999999999996</v>
          </cell>
          <cell r="G12"/>
          <cell r="H12">
            <v>5.55</v>
          </cell>
          <cell r="I12">
            <v>0.83489759999999991</v>
          </cell>
          <cell r="J12">
            <v>0.83489759999999991</v>
          </cell>
        </row>
        <row r="13">
          <cell r="A13" t="str">
            <v>MS</v>
          </cell>
          <cell r="B13">
            <v>7.0000000000000007E-2</v>
          </cell>
          <cell r="C13">
            <v>7.0000000000000007E-2</v>
          </cell>
          <cell r="D13"/>
          <cell r="E13"/>
          <cell r="F13"/>
          <cell r="G13"/>
          <cell r="H13">
            <v>5.2516129032258059</v>
          </cell>
          <cell r="I13">
            <v>0</v>
          </cell>
          <cell r="J13">
            <v>0</v>
          </cell>
        </row>
        <row r="14">
          <cell r="A14" t="str">
            <v>MT</v>
          </cell>
          <cell r="B14">
            <v>7.0000000000000007E-2</v>
          </cell>
          <cell r="C14">
            <v>0.17</v>
          </cell>
          <cell r="D14">
            <v>0.45519999999999999</v>
          </cell>
          <cell r="E14"/>
          <cell r="F14">
            <v>0.63049999999999995</v>
          </cell>
          <cell r="G14"/>
          <cell r="H14">
            <v>5.2516129032258059</v>
          </cell>
          <cell r="I14">
            <v>1.0880554193548386</v>
          </cell>
          <cell r="J14">
            <v>1.0880554193548386</v>
          </cell>
        </row>
        <row r="15">
          <cell r="A15" t="str">
            <v>PA</v>
          </cell>
          <cell r="B15">
            <v>7.0000000000000007E-2</v>
          </cell>
          <cell r="C15">
            <v>7.0000000000000007E-2</v>
          </cell>
          <cell r="D15"/>
          <cell r="E15"/>
          <cell r="F15"/>
          <cell r="G15"/>
          <cell r="H15">
            <v>5.2516129032258059</v>
          </cell>
          <cell r="I15">
            <v>0</v>
          </cell>
          <cell r="J15">
            <v>0</v>
          </cell>
        </row>
        <row r="16">
          <cell r="A16" t="str">
            <v>PB</v>
          </cell>
          <cell r="B16">
            <v>7.0000000000000007E-2</v>
          </cell>
          <cell r="C16">
            <v>7.0000000000000007E-2</v>
          </cell>
          <cell r="D16"/>
          <cell r="E16"/>
          <cell r="F16"/>
          <cell r="G16"/>
          <cell r="H16">
            <v>5.2516129032258059</v>
          </cell>
          <cell r="I16">
            <v>0</v>
          </cell>
          <cell r="J16">
            <v>0</v>
          </cell>
        </row>
        <row r="17">
          <cell r="A17" t="str">
            <v>PE</v>
          </cell>
          <cell r="B17">
            <v>7.0000000000000007E-2</v>
          </cell>
          <cell r="C17">
            <v>7.0000000000000007E-2</v>
          </cell>
          <cell r="D17"/>
          <cell r="E17"/>
          <cell r="F17"/>
          <cell r="G17"/>
          <cell r="H17">
            <v>5.2516129032258059</v>
          </cell>
          <cell r="I17">
            <v>0</v>
          </cell>
          <cell r="J17">
            <v>0</v>
          </cell>
        </row>
        <row r="18">
          <cell r="A18" t="str">
            <v>PI</v>
          </cell>
          <cell r="B18">
            <v>7.0000000000000007E-2</v>
          </cell>
          <cell r="C18">
            <v>7.0000000000000007E-2</v>
          </cell>
          <cell r="D18"/>
          <cell r="E18"/>
          <cell r="F18"/>
          <cell r="G18"/>
          <cell r="H18">
            <v>5.2516129032258059</v>
          </cell>
          <cell r="I18">
            <v>0</v>
          </cell>
          <cell r="J18">
            <v>0</v>
          </cell>
        </row>
        <row r="19">
          <cell r="A19" t="str">
            <v>PR</v>
          </cell>
          <cell r="B19">
            <v>0.12</v>
          </cell>
          <cell r="C19">
            <v>0.19500000000000001</v>
          </cell>
          <cell r="D19">
            <v>0.54320000000000002</v>
          </cell>
          <cell r="E19">
            <v>0.16300000000000001</v>
          </cell>
          <cell r="F19">
            <v>0.68700000000000006</v>
          </cell>
          <cell r="G19">
            <v>0.1968</v>
          </cell>
          <cell r="H19">
            <v>5.55</v>
          </cell>
          <cell r="I19">
            <v>1.1597557500000002</v>
          </cell>
          <cell r="J19">
            <v>0.62923680000000015</v>
          </cell>
        </row>
        <row r="20">
          <cell r="A20" t="str">
            <v>RJ</v>
          </cell>
          <cell r="B20">
            <v>0.12</v>
          </cell>
          <cell r="C20">
            <v>0.22</v>
          </cell>
          <cell r="D20">
            <v>0.4698</v>
          </cell>
          <cell r="E20"/>
          <cell r="F20">
            <v>0.65820000000000001</v>
          </cell>
          <cell r="G20"/>
          <cell r="H20">
            <v>5.55</v>
          </cell>
          <cell r="I20">
            <v>1.3586621999999999</v>
          </cell>
          <cell r="J20">
            <v>1.3586621999999999</v>
          </cell>
        </row>
        <row r="21">
          <cell r="A21" t="str">
            <v>RN</v>
          </cell>
          <cell r="B21">
            <v>7.0000000000000007E-2</v>
          </cell>
          <cell r="C21">
            <v>7.0000000000000007E-2</v>
          </cell>
          <cell r="D21"/>
          <cell r="E21"/>
          <cell r="F21"/>
          <cell r="G21"/>
          <cell r="H21">
            <v>5.2516129032258059</v>
          </cell>
          <cell r="I21">
            <v>0</v>
          </cell>
          <cell r="J21">
            <v>0</v>
          </cell>
        </row>
        <row r="22">
          <cell r="A22" t="str">
            <v>RO</v>
          </cell>
          <cell r="B22">
            <v>7.0000000000000007E-2</v>
          </cell>
          <cell r="C22">
            <v>7.0000000000000007E-2</v>
          </cell>
          <cell r="D22"/>
          <cell r="E22"/>
          <cell r="F22"/>
          <cell r="G22"/>
          <cell r="H22">
            <v>5.2516129032258059</v>
          </cell>
          <cell r="I22">
            <v>0</v>
          </cell>
          <cell r="J22">
            <v>0</v>
          </cell>
        </row>
        <row r="23">
          <cell r="A23" t="str">
            <v>RR</v>
          </cell>
          <cell r="B23">
            <v>7.0000000000000007E-2</v>
          </cell>
          <cell r="C23">
            <v>7.0000000000000007E-2</v>
          </cell>
          <cell r="D23"/>
          <cell r="E23"/>
          <cell r="F23"/>
          <cell r="G23"/>
          <cell r="H23">
            <v>5.2516129032258059</v>
          </cell>
          <cell r="I23">
            <v>0</v>
          </cell>
          <cell r="J23">
            <v>0</v>
          </cell>
        </row>
        <row r="24">
          <cell r="A24" t="str">
            <v>RS</v>
          </cell>
          <cell r="B24">
            <v>0.12</v>
          </cell>
          <cell r="C24">
            <v>0.12</v>
          </cell>
          <cell r="D24"/>
          <cell r="E24"/>
          <cell r="F24"/>
          <cell r="G24"/>
          <cell r="H24">
            <v>5.55</v>
          </cell>
          <cell r="I24">
            <v>0</v>
          </cell>
          <cell r="J24">
            <v>0</v>
          </cell>
        </row>
        <row r="25">
          <cell r="A25" t="str">
            <v>SC</v>
          </cell>
          <cell r="B25">
            <v>0.12</v>
          </cell>
          <cell r="C25">
            <v>0.12</v>
          </cell>
          <cell r="D25"/>
          <cell r="E25"/>
          <cell r="F25"/>
          <cell r="G25"/>
          <cell r="H25">
            <v>5.55</v>
          </cell>
          <cell r="I25">
            <v>0</v>
          </cell>
          <cell r="J25">
            <v>0</v>
          </cell>
        </row>
        <row r="26">
          <cell r="A26" t="str">
            <v>SE</v>
          </cell>
          <cell r="B26">
            <v>7.0000000000000007E-2</v>
          </cell>
          <cell r="C26">
            <v>7.0000000000000007E-2</v>
          </cell>
          <cell r="D26"/>
          <cell r="E26"/>
          <cell r="F26"/>
          <cell r="G26"/>
          <cell r="H26">
            <v>5.2516129032258059</v>
          </cell>
          <cell r="I26">
            <v>0</v>
          </cell>
          <cell r="J26">
            <v>0</v>
          </cell>
        </row>
        <row r="27">
          <cell r="A27" t="str">
            <v>SP</v>
          </cell>
          <cell r="B27">
            <v>0.12</v>
          </cell>
          <cell r="C27">
            <v>0.18</v>
          </cell>
          <cell r="D27"/>
          <cell r="E27"/>
          <cell r="F27"/>
          <cell r="G27"/>
          <cell r="H27">
            <v>5.55</v>
          </cell>
          <cell r="I27">
            <v>0</v>
          </cell>
          <cell r="J27">
            <v>0</v>
          </cell>
        </row>
        <row r="28">
          <cell r="A28" t="str">
            <v>SP/Atacado</v>
          </cell>
          <cell r="B28">
            <v>0.12</v>
          </cell>
          <cell r="C28">
            <v>0.18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5.55</v>
          </cell>
          <cell r="I28">
            <v>0</v>
          </cell>
          <cell r="J28">
            <v>0</v>
          </cell>
        </row>
        <row r="29">
          <cell r="A29" t="str">
            <v>TO</v>
          </cell>
          <cell r="B29">
            <v>7.0000000000000007E-2</v>
          </cell>
          <cell r="C29">
            <v>7.0000000000000007E-2</v>
          </cell>
          <cell r="D29"/>
          <cell r="E29"/>
          <cell r="F29"/>
          <cell r="G29"/>
          <cell r="H29">
            <v>5.2516129032258059</v>
          </cell>
          <cell r="I29">
            <v>0</v>
          </cell>
          <cell r="J29">
            <v>0</v>
          </cell>
        </row>
        <row r="30">
          <cell r="A30" t="str">
            <v>EX</v>
          </cell>
          <cell r="H30">
            <v>5.2516129032258059</v>
          </cell>
          <cell r="I30">
            <v>0</v>
          </cell>
          <cell r="J30">
            <v>0</v>
          </cell>
        </row>
      </sheetData>
      <sheetData sheetId="6">
        <row r="1">
          <cell r="A1" t="str">
            <v>Estado</v>
          </cell>
          <cell r="B1" t="str">
            <v>Aliquota interestadual</v>
          </cell>
        </row>
        <row r="2">
          <cell r="A2" t="str">
            <v>AC</v>
          </cell>
          <cell r="B2">
            <v>7.0000000000000007E-2</v>
          </cell>
        </row>
        <row r="3">
          <cell r="A3" t="str">
            <v>AL</v>
          </cell>
          <cell r="B3">
            <v>7.0000000000000007E-2</v>
          </cell>
        </row>
        <row r="4">
          <cell r="A4" t="str">
            <v>AM</v>
          </cell>
          <cell r="B4">
            <v>7.0000000000000007E-2</v>
          </cell>
        </row>
        <row r="5">
          <cell r="A5" t="str">
            <v>AP</v>
          </cell>
          <cell r="B5">
            <v>7.0000000000000007E-2</v>
          </cell>
        </row>
        <row r="6">
          <cell r="A6" t="str">
            <v>BA</v>
          </cell>
          <cell r="B6">
            <v>7.0000000000000007E-2</v>
          </cell>
        </row>
        <row r="7">
          <cell r="A7" t="str">
            <v>CE</v>
          </cell>
          <cell r="B7">
            <v>7.0000000000000007E-2</v>
          </cell>
        </row>
        <row r="8">
          <cell r="A8" t="str">
            <v>DF</v>
          </cell>
          <cell r="B8">
            <v>7.0000000000000007E-2</v>
          </cell>
        </row>
        <row r="9">
          <cell r="A9" t="str">
            <v>ES</v>
          </cell>
          <cell r="B9">
            <v>7.0000000000000007E-2</v>
          </cell>
        </row>
        <row r="10">
          <cell r="A10" t="str">
            <v>GO</v>
          </cell>
          <cell r="B10">
            <v>7.0000000000000007E-2</v>
          </cell>
        </row>
        <row r="11">
          <cell r="A11" t="str">
            <v>MA</v>
          </cell>
          <cell r="B11">
            <v>7.0000000000000007E-2</v>
          </cell>
        </row>
        <row r="12">
          <cell r="A12" t="str">
            <v>MG</v>
          </cell>
          <cell r="B12">
            <v>0.12</v>
          </cell>
        </row>
        <row r="13">
          <cell r="A13" t="str">
            <v>MS</v>
          </cell>
          <cell r="B13">
            <v>7.0000000000000007E-2</v>
          </cell>
        </row>
        <row r="14">
          <cell r="A14" t="str">
            <v>MT</v>
          </cell>
          <cell r="B14">
            <v>7.0000000000000007E-2</v>
          </cell>
        </row>
        <row r="15">
          <cell r="A15" t="str">
            <v>PA</v>
          </cell>
          <cell r="B15">
            <v>7.0000000000000007E-2</v>
          </cell>
        </row>
        <row r="16">
          <cell r="A16" t="str">
            <v>PB</v>
          </cell>
          <cell r="B16">
            <v>7.0000000000000007E-2</v>
          </cell>
        </row>
        <row r="17">
          <cell r="A17" t="str">
            <v>PE</v>
          </cell>
          <cell r="B17">
            <v>7.0000000000000007E-2</v>
          </cell>
        </row>
        <row r="18">
          <cell r="A18" t="str">
            <v>PI</v>
          </cell>
          <cell r="B18">
            <v>7.0000000000000007E-2</v>
          </cell>
        </row>
        <row r="19">
          <cell r="A19" t="str">
            <v>PR</v>
          </cell>
          <cell r="B19">
            <v>0.12</v>
          </cell>
        </row>
        <row r="20">
          <cell r="A20" t="str">
            <v>RJ</v>
          </cell>
          <cell r="B20">
            <v>0.12</v>
          </cell>
        </row>
        <row r="21">
          <cell r="A21" t="str">
            <v>RN</v>
          </cell>
          <cell r="B21">
            <v>7.0000000000000007E-2</v>
          </cell>
        </row>
        <row r="22">
          <cell r="A22" t="str">
            <v>RO</v>
          </cell>
          <cell r="B22">
            <v>7.0000000000000007E-2</v>
          </cell>
        </row>
        <row r="23">
          <cell r="A23" t="str">
            <v>RR</v>
          </cell>
          <cell r="B23">
            <v>7.0000000000000007E-2</v>
          </cell>
        </row>
        <row r="24">
          <cell r="A24" t="str">
            <v>RS</v>
          </cell>
          <cell r="B24">
            <v>0.12</v>
          </cell>
        </row>
        <row r="25">
          <cell r="A25" t="str">
            <v>SC</v>
          </cell>
          <cell r="B25">
            <v>0.12</v>
          </cell>
        </row>
        <row r="26">
          <cell r="A26" t="str">
            <v>SE</v>
          </cell>
          <cell r="B26">
            <v>7.0000000000000007E-2</v>
          </cell>
        </row>
        <row r="27">
          <cell r="A27" t="str">
            <v>SP</v>
          </cell>
          <cell r="B27">
            <v>0.12</v>
          </cell>
        </row>
        <row r="28">
          <cell r="A28" t="str">
            <v>SP/Atacado</v>
          </cell>
          <cell r="B28">
            <v>0.12</v>
          </cell>
        </row>
        <row r="29">
          <cell r="A29" t="str">
            <v>TO</v>
          </cell>
          <cell r="B29">
            <v>7.0000000000000007E-2</v>
          </cell>
        </row>
        <row r="30">
          <cell r="A30" t="str">
            <v>EX</v>
          </cell>
        </row>
      </sheetData>
      <sheetData sheetId="7" refreshError="1"/>
      <sheetData sheetId="8" refreshError="1"/>
      <sheetData sheetId="9" refreshError="1"/>
      <sheetData sheetId="10" refreshError="1"/>
      <sheetData sheetId="11">
        <row r="1">
          <cell r="A1" t="str">
            <v>Estado</v>
          </cell>
          <cell r="B1" t="str">
            <v>Aliquota interestadual</v>
          </cell>
          <cell r="C1" t="str">
            <v>Aliquota interna</v>
          </cell>
          <cell r="D1" t="str">
            <v>MVA (normal)</v>
          </cell>
          <cell r="E1" t="str">
            <v>MVA (simples)</v>
          </cell>
          <cell r="F1" t="str">
            <v>Ajustada (normal)</v>
          </cell>
          <cell r="G1" t="str">
            <v>Ajustada (simples)</v>
          </cell>
          <cell r="H1" t="str">
            <v>Preço</v>
          </cell>
          <cell r="I1" t="str">
            <v>ST Normal</v>
          </cell>
          <cell r="J1" t="str">
            <v>ST Simples</v>
          </cell>
        </row>
        <row r="2">
          <cell r="A2" t="str">
            <v>AC</v>
          </cell>
          <cell r="B2">
            <v>7.0000000000000007E-2</v>
          </cell>
          <cell r="C2">
            <v>0.19</v>
          </cell>
          <cell r="D2"/>
          <cell r="E2"/>
          <cell r="F2"/>
          <cell r="G2"/>
          <cell r="H2">
            <v>5.8666666666666671</v>
          </cell>
          <cell r="I2">
            <v>0</v>
          </cell>
          <cell r="J2">
            <v>0</v>
          </cell>
        </row>
        <row r="3">
          <cell r="A3" t="str">
            <v>AL</v>
          </cell>
          <cell r="B3">
            <v>7.0000000000000007E-2</v>
          </cell>
          <cell r="C3">
            <v>0.2</v>
          </cell>
          <cell r="D3"/>
          <cell r="E3"/>
          <cell r="F3">
            <v>0.51129999999999998</v>
          </cell>
          <cell r="G3"/>
          <cell r="H3">
            <v>5.8666666666666671</v>
          </cell>
          <cell r="I3">
            <v>1.362592</v>
          </cell>
          <cell r="J3">
            <v>1.362592</v>
          </cell>
        </row>
        <row r="4">
          <cell r="A4" t="str">
            <v>AM</v>
          </cell>
          <cell r="B4">
            <v>7.0000000000000007E-2</v>
          </cell>
          <cell r="C4">
            <v>0.2</v>
          </cell>
          <cell r="D4"/>
          <cell r="E4"/>
          <cell r="F4"/>
          <cell r="G4"/>
          <cell r="H4">
            <v>5.8666666666666671</v>
          </cell>
          <cell r="I4">
            <v>0</v>
          </cell>
          <cell r="J4">
            <v>0</v>
          </cell>
        </row>
        <row r="5">
          <cell r="A5" t="str">
            <v>AP</v>
          </cell>
          <cell r="B5">
            <v>7.0000000000000007E-2</v>
          </cell>
          <cell r="C5">
            <v>0.18</v>
          </cell>
          <cell r="D5"/>
          <cell r="E5"/>
          <cell r="F5">
            <v>0.51980000000000004</v>
          </cell>
          <cell r="G5"/>
          <cell r="H5">
            <v>5.8666666666666671</v>
          </cell>
          <cell r="I5">
            <v>1.1942421333333335</v>
          </cell>
          <cell r="J5">
            <v>1.1942421333333335</v>
          </cell>
        </row>
        <row r="6">
          <cell r="A6" t="str">
            <v>BA</v>
          </cell>
          <cell r="B6">
            <v>7.0000000000000007E-2</v>
          </cell>
          <cell r="C6">
            <v>0.19</v>
          </cell>
          <cell r="D6"/>
          <cell r="E6"/>
          <cell r="F6"/>
          <cell r="G6"/>
          <cell r="H6">
            <v>5.8666666666666671</v>
          </cell>
          <cell r="I6">
            <v>0</v>
          </cell>
          <cell r="J6">
            <v>0</v>
          </cell>
        </row>
        <row r="7">
          <cell r="A7" t="str">
            <v>CE</v>
          </cell>
          <cell r="B7">
            <v>7.0000000000000007E-2</v>
          </cell>
          <cell r="C7">
            <v>0.2</v>
          </cell>
          <cell r="D7"/>
          <cell r="E7"/>
          <cell r="F7"/>
          <cell r="G7"/>
          <cell r="H7">
            <v>5.8666666666666671</v>
          </cell>
          <cell r="I7">
            <v>0</v>
          </cell>
          <cell r="J7">
            <v>0</v>
          </cell>
        </row>
        <row r="8">
          <cell r="A8" t="str">
            <v>DF</v>
          </cell>
          <cell r="B8">
            <v>7.0000000000000007E-2</v>
          </cell>
          <cell r="C8">
            <v>0.18</v>
          </cell>
          <cell r="D8"/>
          <cell r="E8"/>
          <cell r="F8"/>
          <cell r="G8"/>
          <cell r="H8">
            <v>5.8666666666666671</v>
          </cell>
          <cell r="I8">
            <v>0</v>
          </cell>
          <cell r="J8">
            <v>0</v>
          </cell>
        </row>
        <row r="9">
          <cell r="A9" t="str">
            <v>ES</v>
          </cell>
          <cell r="B9">
            <v>7.0000000000000007E-2</v>
          </cell>
          <cell r="C9">
            <v>0.17</v>
          </cell>
          <cell r="D9"/>
          <cell r="E9"/>
          <cell r="F9"/>
          <cell r="G9"/>
          <cell r="H9">
            <v>5.8666666666666671</v>
          </cell>
          <cell r="I9">
            <v>0</v>
          </cell>
          <cell r="J9">
            <v>0</v>
          </cell>
        </row>
        <row r="10">
          <cell r="A10" t="str">
            <v>GO</v>
          </cell>
          <cell r="B10">
            <v>7.0000000000000007E-2</v>
          </cell>
          <cell r="C10">
            <v>0.17</v>
          </cell>
          <cell r="D10"/>
          <cell r="E10"/>
          <cell r="F10"/>
          <cell r="G10"/>
          <cell r="H10">
            <v>5.8666666666666671</v>
          </cell>
          <cell r="I10">
            <v>0</v>
          </cell>
          <cell r="J10">
            <v>0</v>
          </cell>
        </row>
        <row r="11">
          <cell r="A11" t="str">
            <v>MA</v>
          </cell>
          <cell r="B11">
            <v>7.0000000000000007E-2</v>
          </cell>
          <cell r="C11">
            <v>0.2</v>
          </cell>
          <cell r="D11"/>
          <cell r="E11"/>
          <cell r="F11"/>
          <cell r="G11"/>
          <cell r="H11">
            <v>5.8666666666666671</v>
          </cell>
          <cell r="I11">
            <v>0</v>
          </cell>
          <cell r="J11">
            <v>0</v>
          </cell>
        </row>
        <row r="12">
          <cell r="A12" t="str">
            <v>MG</v>
          </cell>
          <cell r="B12">
            <v>0.12</v>
          </cell>
          <cell r="C12">
            <v>0.12</v>
          </cell>
          <cell r="D12"/>
          <cell r="E12"/>
          <cell r="F12">
            <v>0.25</v>
          </cell>
          <cell r="G12"/>
          <cell r="H12">
            <v>6.2</v>
          </cell>
          <cell r="I12">
            <v>0.18599999999999994</v>
          </cell>
          <cell r="J12">
            <v>0.18599999999999994</v>
          </cell>
        </row>
        <row r="13">
          <cell r="A13" t="str">
            <v>MS</v>
          </cell>
          <cell r="B13">
            <v>7.0000000000000007E-2</v>
          </cell>
          <cell r="C13">
            <v>0.17</v>
          </cell>
          <cell r="D13"/>
          <cell r="E13"/>
          <cell r="F13"/>
          <cell r="G13"/>
          <cell r="H13">
            <v>5.8666666666666671</v>
          </cell>
          <cell r="I13">
            <v>0</v>
          </cell>
          <cell r="J13">
            <v>0</v>
          </cell>
        </row>
        <row r="14">
          <cell r="A14" t="str">
            <v>MT</v>
          </cell>
          <cell r="B14">
            <v>7.0000000000000007E-2</v>
          </cell>
          <cell r="C14">
            <v>0.17</v>
          </cell>
          <cell r="D14"/>
          <cell r="E14"/>
          <cell r="F14">
            <v>0.39779999999999999</v>
          </cell>
          <cell r="G14"/>
          <cell r="H14">
            <v>5.8666666666666671</v>
          </cell>
          <cell r="I14">
            <v>0.98340586666666674</v>
          </cell>
          <cell r="J14">
            <v>0.98340586666666674</v>
          </cell>
        </row>
        <row r="15">
          <cell r="A15" t="str">
            <v>PA</v>
          </cell>
          <cell r="B15">
            <v>7.0000000000000007E-2</v>
          </cell>
          <cell r="C15">
            <v>0.19</v>
          </cell>
          <cell r="D15"/>
          <cell r="E15"/>
          <cell r="F15"/>
          <cell r="G15"/>
          <cell r="H15">
            <v>5.8666666666666671</v>
          </cell>
          <cell r="I15">
            <v>0</v>
          </cell>
          <cell r="J15">
            <v>0</v>
          </cell>
        </row>
        <row r="16">
          <cell r="A16" t="str">
            <v>PB</v>
          </cell>
          <cell r="B16">
            <v>7.0000000000000007E-2</v>
          </cell>
          <cell r="C16">
            <v>0.18</v>
          </cell>
          <cell r="D16"/>
          <cell r="E16"/>
          <cell r="F16"/>
          <cell r="G16"/>
          <cell r="H16">
            <v>5.8666666666666671</v>
          </cell>
          <cell r="I16">
            <v>0</v>
          </cell>
          <cell r="J16">
            <v>0</v>
          </cell>
        </row>
        <row r="17">
          <cell r="A17" t="str">
            <v>PE</v>
          </cell>
          <cell r="B17">
            <v>7.0000000000000007E-2</v>
          </cell>
          <cell r="C17">
            <v>0.18</v>
          </cell>
          <cell r="D17"/>
          <cell r="E17"/>
          <cell r="F17"/>
          <cell r="G17"/>
          <cell r="H17">
            <v>5.8666666666666671</v>
          </cell>
          <cell r="I17">
            <v>0</v>
          </cell>
          <cell r="J17">
            <v>0</v>
          </cell>
        </row>
        <row r="18">
          <cell r="A18" t="str">
            <v>PI</v>
          </cell>
          <cell r="B18">
            <v>7.0000000000000007E-2</v>
          </cell>
          <cell r="C18">
            <v>0.21</v>
          </cell>
          <cell r="D18"/>
          <cell r="E18"/>
          <cell r="F18"/>
          <cell r="G18"/>
          <cell r="H18">
            <v>5.8666666666666671</v>
          </cell>
          <cell r="I18">
            <v>0</v>
          </cell>
          <cell r="J18">
            <v>0</v>
          </cell>
        </row>
        <row r="19">
          <cell r="A19" t="str">
            <v>PR</v>
          </cell>
          <cell r="B19">
            <v>0.12</v>
          </cell>
          <cell r="C19">
            <v>0.12</v>
          </cell>
          <cell r="D19"/>
          <cell r="E19"/>
          <cell r="F19"/>
          <cell r="G19"/>
          <cell r="H19">
            <v>6.2</v>
          </cell>
          <cell r="I19">
            <v>0</v>
          </cell>
          <cell r="J19">
            <v>0</v>
          </cell>
        </row>
        <row r="20">
          <cell r="A20" t="str">
            <v>RJ</v>
          </cell>
          <cell r="B20">
            <v>0.12</v>
          </cell>
          <cell r="C20">
            <v>0.22</v>
          </cell>
          <cell r="D20"/>
          <cell r="E20"/>
          <cell r="F20">
            <v>0.52529999999999999</v>
          </cell>
          <cell r="G20"/>
          <cell r="H20">
            <v>6.2</v>
          </cell>
          <cell r="I20">
            <v>1.3365092000000003</v>
          </cell>
          <cell r="J20">
            <v>1.3365092000000003</v>
          </cell>
        </row>
        <row r="21">
          <cell r="A21" t="str">
            <v>RN</v>
          </cell>
          <cell r="B21">
            <v>7.0000000000000007E-2</v>
          </cell>
          <cell r="C21">
            <v>0.2</v>
          </cell>
          <cell r="D21"/>
          <cell r="E21"/>
          <cell r="F21"/>
          <cell r="G21"/>
          <cell r="H21">
            <v>5.8666666666666671</v>
          </cell>
          <cell r="I21">
            <v>0</v>
          </cell>
          <cell r="J21">
            <v>0</v>
          </cell>
        </row>
        <row r="22">
          <cell r="A22" t="str">
            <v>RO</v>
          </cell>
          <cell r="B22">
            <v>7.0000000000000007E-2</v>
          </cell>
          <cell r="C22">
            <v>0.17499999999999999</v>
          </cell>
          <cell r="D22"/>
          <cell r="E22"/>
          <cell r="F22"/>
          <cell r="G22"/>
          <cell r="H22">
            <v>5.8666666666666671</v>
          </cell>
          <cell r="I22">
            <v>0</v>
          </cell>
          <cell r="J22">
            <v>0</v>
          </cell>
        </row>
        <row r="23">
          <cell r="A23" t="str">
            <v>RR</v>
          </cell>
          <cell r="B23">
            <v>7.0000000000000007E-2</v>
          </cell>
          <cell r="C23">
            <v>0.2</v>
          </cell>
          <cell r="D23"/>
          <cell r="E23"/>
          <cell r="F23"/>
          <cell r="G23"/>
          <cell r="H23">
            <v>5.8666666666666671</v>
          </cell>
          <cell r="I23">
            <v>0</v>
          </cell>
          <cell r="J23">
            <v>0</v>
          </cell>
        </row>
        <row r="24">
          <cell r="A24" t="str">
            <v>RS</v>
          </cell>
          <cell r="B24">
            <v>0.12</v>
          </cell>
          <cell r="C24">
            <v>0.17</v>
          </cell>
          <cell r="D24"/>
          <cell r="E24"/>
          <cell r="F24"/>
          <cell r="G24"/>
          <cell r="H24">
            <v>6.2</v>
          </cell>
          <cell r="I24">
            <v>0</v>
          </cell>
          <cell r="J24">
            <v>0</v>
          </cell>
        </row>
        <row r="25">
          <cell r="A25" t="str">
            <v>SC</v>
          </cell>
          <cell r="B25">
            <v>0.12</v>
          </cell>
          <cell r="C25">
            <v>0.17</v>
          </cell>
          <cell r="D25"/>
          <cell r="E25"/>
          <cell r="F25"/>
          <cell r="G25"/>
          <cell r="H25">
            <v>6.2</v>
          </cell>
          <cell r="I25">
            <v>0</v>
          </cell>
          <cell r="J25">
            <v>0</v>
          </cell>
        </row>
        <row r="26">
          <cell r="A26" t="str">
            <v>SE</v>
          </cell>
          <cell r="B26">
            <v>7.0000000000000007E-2</v>
          </cell>
          <cell r="C26">
            <v>0.2</v>
          </cell>
          <cell r="D26"/>
          <cell r="E26"/>
          <cell r="F26"/>
          <cell r="G26"/>
          <cell r="H26">
            <v>5.8666666666666671</v>
          </cell>
          <cell r="I26">
            <v>0</v>
          </cell>
          <cell r="J26">
            <v>0</v>
          </cell>
        </row>
        <row r="27">
          <cell r="A27" t="str">
            <v>SP</v>
          </cell>
          <cell r="B27">
            <v>0.12</v>
          </cell>
          <cell r="C27">
            <v>0.18</v>
          </cell>
          <cell r="D27">
            <v>0.5917</v>
          </cell>
          <cell r="E27"/>
          <cell r="F27">
            <v>0.5917</v>
          </cell>
          <cell r="G27"/>
          <cell r="H27">
            <v>6.2</v>
          </cell>
          <cell r="I27">
            <v>1.0323371999999997</v>
          </cell>
          <cell r="J27">
            <v>1.0323371999999997</v>
          </cell>
        </row>
        <row r="28">
          <cell r="A28" t="str">
            <v>SP/Atacado</v>
          </cell>
          <cell r="B28">
            <v>0.12</v>
          </cell>
          <cell r="C28">
            <v>0.18</v>
          </cell>
          <cell r="D28">
            <v>0.48320000000000002</v>
          </cell>
          <cell r="E28">
            <v>0</v>
          </cell>
          <cell r="F28">
            <v>0.48320000000000002</v>
          </cell>
          <cell r="G28">
            <v>0</v>
          </cell>
          <cell r="H28">
            <v>6.2</v>
          </cell>
          <cell r="I28">
            <v>0.91125119999999993</v>
          </cell>
          <cell r="J28">
            <v>0.91125119999999993</v>
          </cell>
        </row>
        <row r="29">
          <cell r="A29" t="str">
            <v>TO</v>
          </cell>
          <cell r="B29">
            <v>7.0000000000000007E-2</v>
          </cell>
          <cell r="C29">
            <v>0.2</v>
          </cell>
          <cell r="D29"/>
          <cell r="E29"/>
          <cell r="F29"/>
          <cell r="G29"/>
          <cell r="H29">
            <v>5.8666666666666671</v>
          </cell>
          <cell r="I29">
            <v>0</v>
          </cell>
          <cell r="J29">
            <v>0</v>
          </cell>
        </row>
        <row r="30">
          <cell r="A30" t="str">
            <v>EX</v>
          </cell>
        </row>
      </sheetData>
      <sheetData sheetId="12">
        <row r="2">
          <cell r="A2" t="str">
            <v>Estado</v>
          </cell>
          <cell r="B2" t="str">
            <v>Papinhas</v>
          </cell>
          <cell r="C2" t="str">
            <v>Palitinhos</v>
          </cell>
          <cell r="D2" t="str">
            <v>Biscoitinhos</v>
          </cell>
          <cell r="E2" t="str">
            <v>Papapasta</v>
          </cell>
          <cell r="F2" t="str">
            <v>La Chef</v>
          </cell>
          <cell r="G2" t="str">
            <v>Linha Cerais</v>
          </cell>
          <cell r="H2" t="str">
            <v>Biscotti</v>
          </cell>
          <cell r="I2" t="str">
            <v>Pouch Carne</v>
          </cell>
          <cell r="J2" t="str">
            <v>P. Cereal 170g Sache sabores</v>
          </cell>
          <cell r="K2" t="str">
            <v>P. Cereal 170g Sache MULTI</v>
          </cell>
          <cell r="L2" t="str">
            <v>MULTI sache 500 g</v>
          </cell>
          <cell r="M2" t="str">
            <v>Yoguzinho</v>
          </cell>
          <cell r="N2" t="str">
            <v>Bowl</v>
          </cell>
          <cell r="O2" t="str">
            <v>Salgadinhos</v>
          </cell>
          <cell r="P2" t="str">
            <v>Bisc. Recheados</v>
          </cell>
          <cell r="Q2" t="str">
            <v>Sucos</v>
          </cell>
          <cell r="R2" t="str">
            <v>Achocolatado</v>
          </cell>
          <cell r="S2" t="str">
            <v>Puer. Talheres</v>
          </cell>
          <cell r="T2" t="str">
            <v>Puer. Babador</v>
          </cell>
          <cell r="U2" t="str">
            <v>Puer. Bolw</v>
          </cell>
          <cell r="V2" t="str">
            <v>Puer. Pratinho</v>
          </cell>
        </row>
        <row r="3">
          <cell r="A3" t="str">
            <v>AC</v>
          </cell>
          <cell r="B3">
            <v>5.17</v>
          </cell>
          <cell r="C3">
            <v>3.2</v>
          </cell>
          <cell r="D3">
            <v>10.876800000000001</v>
          </cell>
          <cell r="E3">
            <v>7.19</v>
          </cell>
          <cell r="F3">
            <v>9.9499999999999993</v>
          </cell>
          <cell r="G3">
            <v>7.05</v>
          </cell>
          <cell r="H3">
            <v>6.88</v>
          </cell>
          <cell r="I3">
            <v>7.3370000000000006</v>
          </cell>
          <cell r="J3">
            <v>5.7</v>
          </cell>
          <cell r="K3">
            <v>4.7</v>
          </cell>
          <cell r="L3">
            <v>12</v>
          </cell>
          <cell r="M3">
            <v>5.17</v>
          </cell>
          <cell r="N3">
            <v>11.025</v>
          </cell>
          <cell r="O3">
            <v>5.2516129032258059</v>
          </cell>
          <cell r="P3">
            <v>5.8666666666666671</v>
          </cell>
          <cell r="Q3">
            <v>3.3591397849462359</v>
          </cell>
          <cell r="R3">
            <v>3.9268817204301074</v>
          </cell>
          <cell r="S3">
            <v>16</v>
          </cell>
          <cell r="T3">
            <v>14</v>
          </cell>
          <cell r="U3">
            <v>18</v>
          </cell>
          <cell r="V3">
            <v>27.29</v>
          </cell>
        </row>
        <row r="4">
          <cell r="A4" t="str">
            <v>AL</v>
          </cell>
          <cell r="B4">
            <v>5.17</v>
          </cell>
          <cell r="C4">
            <v>3.2</v>
          </cell>
          <cell r="D4">
            <v>10.876800000000001</v>
          </cell>
          <cell r="E4">
            <v>7.19</v>
          </cell>
          <cell r="F4">
            <v>9.9499999999999993</v>
          </cell>
          <cell r="G4">
            <v>7.05</v>
          </cell>
          <cell r="H4">
            <v>6.88</v>
          </cell>
          <cell r="I4">
            <v>7.3370000000000006</v>
          </cell>
          <cell r="J4">
            <v>5.7</v>
          </cell>
          <cell r="K4">
            <v>4.7</v>
          </cell>
          <cell r="L4">
            <v>12</v>
          </cell>
          <cell r="M4">
            <v>5.17</v>
          </cell>
          <cell r="N4">
            <v>11.025</v>
          </cell>
          <cell r="O4">
            <v>5.2516129032258059</v>
          </cell>
          <cell r="P4">
            <v>5.8666666666666671</v>
          </cell>
          <cell r="Q4">
            <v>3.3591397849462359</v>
          </cell>
          <cell r="R4">
            <v>3.9268817204301074</v>
          </cell>
          <cell r="S4">
            <v>16</v>
          </cell>
          <cell r="T4">
            <v>14</v>
          </cell>
          <cell r="U4">
            <v>18</v>
          </cell>
          <cell r="V4">
            <v>27.29</v>
          </cell>
        </row>
        <row r="5">
          <cell r="A5" t="str">
            <v>AM</v>
          </cell>
          <cell r="B5">
            <v>5.17</v>
          </cell>
          <cell r="C5">
            <v>3.2</v>
          </cell>
          <cell r="D5">
            <v>10.876800000000001</v>
          </cell>
          <cell r="E5">
            <v>7.19</v>
          </cell>
          <cell r="F5">
            <v>9.9499999999999993</v>
          </cell>
          <cell r="G5">
            <v>7.05</v>
          </cell>
          <cell r="H5">
            <v>6.88</v>
          </cell>
          <cell r="I5">
            <v>7.3370000000000006</v>
          </cell>
          <cell r="J5">
            <v>5.7</v>
          </cell>
          <cell r="K5">
            <v>4.7</v>
          </cell>
          <cell r="L5">
            <v>12</v>
          </cell>
          <cell r="M5">
            <v>5.17</v>
          </cell>
          <cell r="N5">
            <v>11.025</v>
          </cell>
          <cell r="O5">
            <v>5.2516129032258059</v>
          </cell>
          <cell r="P5">
            <v>5.8666666666666671</v>
          </cell>
          <cell r="Q5">
            <v>3.3591397849462359</v>
          </cell>
          <cell r="R5">
            <v>3.9268817204301074</v>
          </cell>
          <cell r="S5">
            <v>16</v>
          </cell>
          <cell r="T5">
            <v>14</v>
          </cell>
          <cell r="U5">
            <v>18</v>
          </cell>
          <cell r="V5">
            <v>27.29</v>
          </cell>
        </row>
        <row r="6">
          <cell r="A6" t="str">
            <v>AP</v>
          </cell>
          <cell r="B6">
            <v>5.17</v>
          </cell>
          <cell r="C6">
            <v>3.2</v>
          </cell>
          <cell r="D6">
            <v>10.876800000000001</v>
          </cell>
          <cell r="E6">
            <v>7.19</v>
          </cell>
          <cell r="F6">
            <v>9.9499999999999993</v>
          </cell>
          <cell r="G6">
            <v>7.05</v>
          </cell>
          <cell r="H6">
            <v>6.88</v>
          </cell>
          <cell r="I6">
            <v>7.3370000000000006</v>
          </cell>
          <cell r="J6">
            <v>5.7</v>
          </cell>
          <cell r="K6">
            <v>4.7</v>
          </cell>
          <cell r="L6">
            <v>12</v>
          </cell>
          <cell r="M6">
            <v>5.17</v>
          </cell>
          <cell r="N6">
            <v>11.025</v>
          </cell>
          <cell r="O6">
            <v>5.2516129032258059</v>
          </cell>
          <cell r="P6">
            <v>5.8666666666666671</v>
          </cell>
          <cell r="Q6">
            <v>3.3591397849462359</v>
          </cell>
          <cell r="R6">
            <v>3.9268817204301074</v>
          </cell>
          <cell r="S6">
            <v>16</v>
          </cell>
          <cell r="T6">
            <v>14</v>
          </cell>
          <cell r="U6">
            <v>18</v>
          </cell>
          <cell r="V6">
            <v>27.29</v>
          </cell>
        </row>
        <row r="7">
          <cell r="A7" t="str">
            <v>BA</v>
          </cell>
          <cell r="B7">
            <v>5.17</v>
          </cell>
          <cell r="C7">
            <v>3.2</v>
          </cell>
          <cell r="D7">
            <v>10.876800000000001</v>
          </cell>
          <cell r="E7">
            <v>7.19</v>
          </cell>
          <cell r="F7">
            <v>9.9499999999999993</v>
          </cell>
          <cell r="G7">
            <v>7.05</v>
          </cell>
          <cell r="H7">
            <v>6.88</v>
          </cell>
          <cell r="I7">
            <v>7.3370000000000006</v>
          </cell>
          <cell r="J7">
            <v>5.7</v>
          </cell>
          <cell r="K7">
            <v>4.7</v>
          </cell>
          <cell r="L7">
            <v>12</v>
          </cell>
          <cell r="M7">
            <v>5.17</v>
          </cell>
          <cell r="N7">
            <v>11.025</v>
          </cell>
          <cell r="O7">
            <v>5.2516129032258059</v>
          </cell>
          <cell r="P7">
            <v>5.8666666666666671</v>
          </cell>
          <cell r="Q7">
            <v>3.3591397849462359</v>
          </cell>
          <cell r="R7">
            <v>3.9268817204301074</v>
          </cell>
          <cell r="S7">
            <v>16</v>
          </cell>
          <cell r="T7">
            <v>14</v>
          </cell>
          <cell r="U7">
            <v>18</v>
          </cell>
          <cell r="V7">
            <v>27.29</v>
          </cell>
        </row>
        <row r="8">
          <cell r="A8" t="str">
            <v>CE</v>
          </cell>
          <cell r="B8">
            <v>5.17</v>
          </cell>
          <cell r="C8">
            <v>3.2</v>
          </cell>
          <cell r="D8">
            <v>10.876800000000001</v>
          </cell>
          <cell r="E8">
            <v>7.19</v>
          </cell>
          <cell r="F8">
            <v>9.9499999999999993</v>
          </cell>
          <cell r="G8">
            <v>7.05</v>
          </cell>
          <cell r="H8">
            <v>6.88</v>
          </cell>
          <cell r="I8">
            <v>7.3370000000000006</v>
          </cell>
          <cell r="J8">
            <v>5.7</v>
          </cell>
          <cell r="K8">
            <v>4.7</v>
          </cell>
          <cell r="L8">
            <v>12</v>
          </cell>
          <cell r="M8">
            <v>5.17</v>
          </cell>
          <cell r="N8">
            <v>11.025</v>
          </cell>
          <cell r="O8">
            <v>5.2516129032258059</v>
          </cell>
          <cell r="P8">
            <v>5.8666666666666671</v>
          </cell>
          <cell r="Q8">
            <v>3.3591397849462359</v>
          </cell>
          <cell r="R8">
            <v>3.9268817204301074</v>
          </cell>
          <cell r="S8">
            <v>16</v>
          </cell>
          <cell r="T8">
            <v>14</v>
          </cell>
          <cell r="U8">
            <v>18</v>
          </cell>
          <cell r="V8">
            <v>27.29</v>
          </cell>
        </row>
        <row r="9">
          <cell r="A9" t="str">
            <v>DF</v>
          </cell>
          <cell r="B9">
            <v>5.17</v>
          </cell>
          <cell r="C9">
            <v>3.2</v>
          </cell>
          <cell r="D9">
            <v>10.876800000000001</v>
          </cell>
          <cell r="E9">
            <v>7.19</v>
          </cell>
          <cell r="F9">
            <v>9.9499999999999993</v>
          </cell>
          <cell r="G9">
            <v>7.05</v>
          </cell>
          <cell r="H9">
            <v>6.88</v>
          </cell>
          <cell r="I9">
            <v>7.3370000000000006</v>
          </cell>
          <cell r="J9">
            <v>5.7</v>
          </cell>
          <cell r="K9">
            <v>4.7</v>
          </cell>
          <cell r="L9">
            <v>12</v>
          </cell>
          <cell r="M9">
            <v>5.17</v>
          </cell>
          <cell r="N9">
            <v>11.025</v>
          </cell>
          <cell r="O9">
            <v>5.2516129032258059</v>
          </cell>
          <cell r="P9">
            <v>5.8666666666666671</v>
          </cell>
          <cell r="Q9">
            <v>3.3591397849462359</v>
          </cell>
          <cell r="R9">
            <v>3.9268817204301074</v>
          </cell>
          <cell r="S9">
            <v>16</v>
          </cell>
          <cell r="T9">
            <v>14</v>
          </cell>
          <cell r="U9">
            <v>18</v>
          </cell>
          <cell r="V9">
            <v>27.29</v>
          </cell>
        </row>
        <row r="10">
          <cell r="A10" t="str">
            <v>ES</v>
          </cell>
          <cell r="B10">
            <v>5.17</v>
          </cell>
          <cell r="C10">
            <v>3.2</v>
          </cell>
          <cell r="D10">
            <v>10.876800000000001</v>
          </cell>
          <cell r="E10">
            <v>7.19</v>
          </cell>
          <cell r="F10">
            <v>9.9499999999999993</v>
          </cell>
          <cell r="G10">
            <v>7.05</v>
          </cell>
          <cell r="H10">
            <v>6.88</v>
          </cell>
          <cell r="I10">
            <v>7.3370000000000006</v>
          </cell>
          <cell r="J10">
            <v>5.2</v>
          </cell>
          <cell r="K10">
            <v>5.2</v>
          </cell>
          <cell r="L10">
            <v>12.78</v>
          </cell>
          <cell r="M10">
            <v>5.17</v>
          </cell>
          <cell r="N10">
            <v>11.025</v>
          </cell>
          <cell r="O10">
            <v>5.2516129032258059</v>
          </cell>
          <cell r="P10">
            <v>5.8666666666666671</v>
          </cell>
          <cell r="Q10">
            <v>3.3591397849462359</v>
          </cell>
          <cell r="R10">
            <v>3.9268817204301074</v>
          </cell>
          <cell r="S10">
            <v>16</v>
          </cell>
          <cell r="T10">
            <v>14</v>
          </cell>
          <cell r="U10">
            <v>18</v>
          </cell>
          <cell r="V10">
            <v>27.29</v>
          </cell>
        </row>
        <row r="11">
          <cell r="A11" t="str">
            <v>GO</v>
          </cell>
          <cell r="B11">
            <v>5.17</v>
          </cell>
          <cell r="C11">
            <v>3.2</v>
          </cell>
          <cell r="D11">
            <v>10.876800000000001</v>
          </cell>
          <cell r="E11">
            <v>7.19</v>
          </cell>
          <cell r="F11">
            <v>9.9499999999999993</v>
          </cell>
          <cell r="G11">
            <v>7.05</v>
          </cell>
          <cell r="H11">
            <v>6.88</v>
          </cell>
          <cell r="I11">
            <v>7.3370000000000006</v>
          </cell>
          <cell r="J11">
            <v>5.7</v>
          </cell>
          <cell r="K11">
            <v>4.7</v>
          </cell>
          <cell r="L11">
            <v>12</v>
          </cell>
          <cell r="M11">
            <v>5.17</v>
          </cell>
          <cell r="N11">
            <v>11.025</v>
          </cell>
          <cell r="O11">
            <v>5.2516129032258059</v>
          </cell>
          <cell r="P11">
            <v>5.8666666666666671</v>
          </cell>
          <cell r="Q11">
            <v>3.3591397849462359</v>
          </cell>
          <cell r="R11">
            <v>3.9268817204301074</v>
          </cell>
          <cell r="S11">
            <v>16</v>
          </cell>
          <cell r="T11">
            <v>14</v>
          </cell>
          <cell r="U11">
            <v>18</v>
          </cell>
          <cell r="V11">
            <v>27.29</v>
          </cell>
        </row>
        <row r="12">
          <cell r="A12" t="str">
            <v>MA</v>
          </cell>
          <cell r="B12">
            <v>5.17</v>
          </cell>
          <cell r="C12">
            <v>3.2</v>
          </cell>
          <cell r="D12">
            <v>10.876800000000001</v>
          </cell>
          <cell r="E12">
            <v>7.19</v>
          </cell>
          <cell r="F12">
            <v>9.9499999999999993</v>
          </cell>
          <cell r="G12">
            <v>7.05</v>
          </cell>
          <cell r="H12">
            <v>6.88</v>
          </cell>
          <cell r="I12">
            <v>7.3370000000000006</v>
          </cell>
          <cell r="J12">
            <v>5.7</v>
          </cell>
          <cell r="K12">
            <v>4.7</v>
          </cell>
          <cell r="L12">
            <v>12</v>
          </cell>
          <cell r="M12">
            <v>5.17</v>
          </cell>
          <cell r="N12">
            <v>11.025</v>
          </cell>
          <cell r="O12">
            <v>5.2516129032258059</v>
          </cell>
          <cell r="P12">
            <v>5.8666666666666671</v>
          </cell>
          <cell r="Q12">
            <v>3.3591397849462359</v>
          </cell>
          <cell r="R12">
            <v>3.9268817204301074</v>
          </cell>
          <cell r="S12">
            <v>16</v>
          </cell>
          <cell r="T12">
            <v>14</v>
          </cell>
          <cell r="U12">
            <v>18</v>
          </cell>
          <cell r="V12">
            <v>27.29</v>
          </cell>
        </row>
        <row r="13">
          <cell r="A13" t="str">
            <v>MG</v>
          </cell>
          <cell r="B13">
            <v>5.17</v>
          </cell>
          <cell r="C13">
            <v>3.41</v>
          </cell>
          <cell r="D13">
            <v>10.876800000000001</v>
          </cell>
          <cell r="E13">
            <v>7.67</v>
          </cell>
          <cell r="F13">
            <v>10.6</v>
          </cell>
          <cell r="G13">
            <v>7.5</v>
          </cell>
          <cell r="H13">
            <v>7.35</v>
          </cell>
          <cell r="I13">
            <v>7.3370000000000006</v>
          </cell>
          <cell r="J13">
            <v>5.5</v>
          </cell>
          <cell r="K13">
            <v>5.5</v>
          </cell>
          <cell r="L13">
            <v>13.5</v>
          </cell>
          <cell r="M13">
            <v>5.17</v>
          </cell>
          <cell r="N13">
            <v>11.76</v>
          </cell>
          <cell r="O13">
            <v>5.55</v>
          </cell>
          <cell r="P13">
            <v>6.2</v>
          </cell>
          <cell r="Q13">
            <v>3.55</v>
          </cell>
          <cell r="R13">
            <v>4.1500000000000004</v>
          </cell>
          <cell r="S13">
            <v>16</v>
          </cell>
          <cell r="T13">
            <v>14</v>
          </cell>
          <cell r="U13">
            <v>18</v>
          </cell>
          <cell r="V13">
            <v>27.29</v>
          </cell>
        </row>
        <row r="14">
          <cell r="A14" t="str">
            <v>MS</v>
          </cell>
          <cell r="B14">
            <v>5.17</v>
          </cell>
          <cell r="C14">
            <v>3.2</v>
          </cell>
          <cell r="D14">
            <v>10.876800000000001</v>
          </cell>
          <cell r="E14">
            <v>7.19</v>
          </cell>
          <cell r="F14">
            <v>9.9499999999999993</v>
          </cell>
          <cell r="G14">
            <v>7.05</v>
          </cell>
          <cell r="H14">
            <v>6.88</v>
          </cell>
          <cell r="I14">
            <v>7.3370000000000006</v>
          </cell>
          <cell r="J14">
            <v>5.7</v>
          </cell>
          <cell r="K14">
            <v>4.7</v>
          </cell>
          <cell r="L14">
            <v>12</v>
          </cell>
          <cell r="M14">
            <v>5.17</v>
          </cell>
          <cell r="N14">
            <v>11.025</v>
          </cell>
          <cell r="O14">
            <v>5.2516129032258059</v>
          </cell>
          <cell r="P14">
            <v>5.8666666666666671</v>
          </cell>
          <cell r="Q14">
            <v>3.3591397849462359</v>
          </cell>
          <cell r="R14">
            <v>3.9268817204301074</v>
          </cell>
          <cell r="S14">
            <v>16</v>
          </cell>
          <cell r="T14">
            <v>14</v>
          </cell>
          <cell r="U14">
            <v>18</v>
          </cell>
          <cell r="V14">
            <v>27.29</v>
          </cell>
        </row>
        <row r="15">
          <cell r="A15" t="str">
            <v>MT</v>
          </cell>
          <cell r="B15">
            <v>5.17</v>
          </cell>
          <cell r="C15">
            <v>3.2</v>
          </cell>
          <cell r="D15">
            <v>10.876800000000001</v>
          </cell>
          <cell r="E15">
            <v>7.19</v>
          </cell>
          <cell r="F15">
            <v>9.9499999999999993</v>
          </cell>
          <cell r="G15">
            <v>7.05</v>
          </cell>
          <cell r="H15">
            <v>6.88</v>
          </cell>
          <cell r="I15">
            <v>7.3370000000000006</v>
          </cell>
          <cell r="J15">
            <v>5.7</v>
          </cell>
          <cell r="K15">
            <v>4.7</v>
          </cell>
          <cell r="L15">
            <v>12</v>
          </cell>
          <cell r="M15">
            <v>5.17</v>
          </cell>
          <cell r="N15">
            <v>11.025</v>
          </cell>
          <cell r="O15">
            <v>5.2516129032258059</v>
          </cell>
          <cell r="P15">
            <v>5.8666666666666671</v>
          </cell>
          <cell r="Q15">
            <v>3.3591397849462359</v>
          </cell>
          <cell r="R15">
            <v>3.9268817204301074</v>
          </cell>
          <cell r="S15">
            <v>16</v>
          </cell>
          <cell r="T15">
            <v>14</v>
          </cell>
          <cell r="U15">
            <v>18</v>
          </cell>
          <cell r="V15">
            <v>27.29</v>
          </cell>
        </row>
        <row r="16">
          <cell r="A16" t="str">
            <v>PA</v>
          </cell>
          <cell r="B16">
            <v>5.17</v>
          </cell>
          <cell r="C16">
            <v>3.2</v>
          </cell>
          <cell r="D16">
            <v>10.876800000000001</v>
          </cell>
          <cell r="E16">
            <v>7.19</v>
          </cell>
          <cell r="F16">
            <v>9.9499999999999993</v>
          </cell>
          <cell r="G16">
            <v>7.05</v>
          </cell>
          <cell r="H16">
            <v>6.88</v>
          </cell>
          <cell r="I16">
            <v>7.3370000000000006</v>
          </cell>
          <cell r="J16">
            <v>5.7</v>
          </cell>
          <cell r="K16">
            <v>4.7</v>
          </cell>
          <cell r="L16">
            <v>12</v>
          </cell>
          <cell r="M16">
            <v>5.17</v>
          </cell>
          <cell r="N16">
            <v>11.025</v>
          </cell>
          <cell r="O16">
            <v>5.2516129032258059</v>
          </cell>
          <cell r="P16">
            <v>5.8666666666666671</v>
          </cell>
          <cell r="Q16">
            <v>3.3591397849462359</v>
          </cell>
          <cell r="R16">
            <v>3.9268817204301074</v>
          </cell>
          <cell r="S16">
            <v>16</v>
          </cell>
          <cell r="T16">
            <v>14</v>
          </cell>
          <cell r="U16">
            <v>18</v>
          </cell>
          <cell r="V16">
            <v>27.29</v>
          </cell>
        </row>
        <row r="17">
          <cell r="A17" t="str">
            <v>PB</v>
          </cell>
          <cell r="B17">
            <v>5.17</v>
          </cell>
          <cell r="C17">
            <v>3.2</v>
          </cell>
          <cell r="D17">
            <v>10.876800000000001</v>
          </cell>
          <cell r="E17">
            <v>7.19</v>
          </cell>
          <cell r="F17">
            <v>9.9499999999999993</v>
          </cell>
          <cell r="G17">
            <v>7.05</v>
          </cell>
          <cell r="H17">
            <v>6.88</v>
          </cell>
          <cell r="I17">
            <v>7.3370000000000006</v>
          </cell>
          <cell r="J17">
            <v>5.7</v>
          </cell>
          <cell r="K17">
            <v>4.7</v>
          </cell>
          <cell r="L17">
            <v>12</v>
          </cell>
          <cell r="M17">
            <v>5.17</v>
          </cell>
          <cell r="N17">
            <v>11.025</v>
          </cell>
          <cell r="O17">
            <v>5.2516129032258059</v>
          </cell>
          <cell r="P17">
            <v>5.8666666666666671</v>
          </cell>
          <cell r="Q17">
            <v>3.3591397849462359</v>
          </cell>
          <cell r="R17">
            <v>3.9268817204301074</v>
          </cell>
          <cell r="S17">
            <v>16</v>
          </cell>
          <cell r="T17">
            <v>14</v>
          </cell>
          <cell r="U17">
            <v>18</v>
          </cell>
          <cell r="V17">
            <v>27.29</v>
          </cell>
        </row>
        <row r="18">
          <cell r="A18" t="str">
            <v>PE</v>
          </cell>
          <cell r="B18">
            <v>5.17</v>
          </cell>
          <cell r="C18">
            <v>3.2</v>
          </cell>
          <cell r="D18">
            <v>10.876800000000001</v>
          </cell>
          <cell r="E18">
            <v>7.19</v>
          </cell>
          <cell r="F18">
            <v>9.9499999999999993</v>
          </cell>
          <cell r="G18">
            <v>7.05</v>
          </cell>
          <cell r="H18">
            <v>6.88</v>
          </cell>
          <cell r="I18">
            <v>7.3370000000000006</v>
          </cell>
          <cell r="J18">
            <v>5.7</v>
          </cell>
          <cell r="K18">
            <v>4.7</v>
          </cell>
          <cell r="L18">
            <v>12</v>
          </cell>
          <cell r="M18">
            <v>5.17</v>
          </cell>
          <cell r="N18">
            <v>11.025</v>
          </cell>
          <cell r="O18">
            <v>5.2516129032258059</v>
          </cell>
          <cell r="P18">
            <v>5.8666666666666671</v>
          </cell>
          <cell r="Q18">
            <v>3.3591397849462359</v>
          </cell>
          <cell r="R18">
            <v>3.9268817204301074</v>
          </cell>
          <cell r="S18">
            <v>16</v>
          </cell>
          <cell r="T18">
            <v>14</v>
          </cell>
          <cell r="U18">
            <v>18</v>
          </cell>
          <cell r="V18">
            <v>27.29</v>
          </cell>
        </row>
        <row r="19">
          <cell r="A19" t="str">
            <v>PI</v>
          </cell>
          <cell r="B19">
            <v>5.17</v>
          </cell>
          <cell r="C19">
            <v>3.2</v>
          </cell>
          <cell r="D19">
            <v>10.876800000000001</v>
          </cell>
          <cell r="E19">
            <v>7.19</v>
          </cell>
          <cell r="F19">
            <v>9.9499999999999993</v>
          </cell>
          <cell r="G19">
            <v>7.05</v>
          </cell>
          <cell r="H19">
            <v>6.88</v>
          </cell>
          <cell r="I19">
            <v>7.3370000000000006</v>
          </cell>
          <cell r="J19">
            <v>5.7</v>
          </cell>
          <cell r="K19">
            <v>4.7</v>
          </cell>
          <cell r="L19">
            <v>12</v>
          </cell>
          <cell r="M19">
            <v>5.17</v>
          </cell>
          <cell r="N19">
            <v>11.025</v>
          </cell>
          <cell r="O19">
            <v>5.2516129032258059</v>
          </cell>
          <cell r="P19">
            <v>5.8666666666666671</v>
          </cell>
          <cell r="Q19">
            <v>3.3591397849462359</v>
          </cell>
          <cell r="R19">
            <v>3.9268817204301074</v>
          </cell>
          <cell r="S19">
            <v>16</v>
          </cell>
          <cell r="T19">
            <v>14</v>
          </cell>
          <cell r="U19">
            <v>18</v>
          </cell>
          <cell r="V19">
            <v>27.29</v>
          </cell>
        </row>
        <row r="20">
          <cell r="A20" t="str">
            <v>PR</v>
          </cell>
          <cell r="B20">
            <v>5.62</v>
          </cell>
          <cell r="C20">
            <v>3.41</v>
          </cell>
          <cell r="D20">
            <v>11.917100000000001</v>
          </cell>
          <cell r="E20">
            <v>7.67</v>
          </cell>
          <cell r="F20">
            <v>10.6</v>
          </cell>
          <cell r="G20">
            <v>7.5</v>
          </cell>
          <cell r="H20">
            <v>7.35</v>
          </cell>
          <cell r="I20">
            <v>7.9750000000000005</v>
          </cell>
          <cell r="J20">
            <v>5.5</v>
          </cell>
          <cell r="K20">
            <v>5.5</v>
          </cell>
          <cell r="L20">
            <v>13.5</v>
          </cell>
          <cell r="M20">
            <v>5.62</v>
          </cell>
          <cell r="N20">
            <v>11.76</v>
          </cell>
          <cell r="O20">
            <v>5.55</v>
          </cell>
          <cell r="P20">
            <v>6.2</v>
          </cell>
          <cell r="Q20">
            <v>3.55</v>
          </cell>
          <cell r="R20">
            <v>4.1500000000000004</v>
          </cell>
          <cell r="S20">
            <v>17.09090909090909</v>
          </cell>
          <cell r="T20">
            <v>14.954545454545455</v>
          </cell>
          <cell r="U20">
            <v>19.227272727272727</v>
          </cell>
          <cell r="V20">
            <v>29.150681818181813</v>
          </cell>
        </row>
        <row r="21">
          <cell r="A21" t="str">
            <v>RJ</v>
          </cell>
          <cell r="B21">
            <v>5.17</v>
          </cell>
          <cell r="C21">
            <v>3.41</v>
          </cell>
          <cell r="D21">
            <v>10.876800000000001</v>
          </cell>
          <cell r="E21">
            <v>7.67</v>
          </cell>
          <cell r="F21">
            <v>10.6</v>
          </cell>
          <cell r="G21">
            <v>7.5</v>
          </cell>
          <cell r="H21">
            <v>7.35</v>
          </cell>
          <cell r="I21">
            <v>7.3370000000000006</v>
          </cell>
          <cell r="J21">
            <v>5.5</v>
          </cell>
          <cell r="K21">
            <v>5.5</v>
          </cell>
          <cell r="L21">
            <v>13.5</v>
          </cell>
          <cell r="M21">
            <v>5.17</v>
          </cell>
          <cell r="N21">
            <v>11.76</v>
          </cell>
          <cell r="O21">
            <v>5.55</v>
          </cell>
          <cell r="P21">
            <v>6.2</v>
          </cell>
          <cell r="Q21">
            <v>3.55</v>
          </cell>
          <cell r="R21">
            <v>4.1500000000000004</v>
          </cell>
          <cell r="S21">
            <v>16</v>
          </cell>
          <cell r="T21">
            <v>14</v>
          </cell>
          <cell r="U21">
            <v>18</v>
          </cell>
          <cell r="V21">
            <v>27.29</v>
          </cell>
        </row>
        <row r="22">
          <cell r="A22" t="str">
            <v>RN</v>
          </cell>
          <cell r="B22">
            <v>5.17</v>
          </cell>
          <cell r="C22">
            <v>3.2</v>
          </cell>
          <cell r="D22">
            <v>10.876800000000001</v>
          </cell>
          <cell r="E22">
            <v>7.19</v>
          </cell>
          <cell r="F22">
            <v>9.9499999999999993</v>
          </cell>
          <cell r="G22">
            <v>7.05</v>
          </cell>
          <cell r="H22">
            <v>6.88</v>
          </cell>
          <cell r="I22">
            <v>7.3370000000000006</v>
          </cell>
          <cell r="J22">
            <v>5.7</v>
          </cell>
          <cell r="K22">
            <v>4.7</v>
          </cell>
          <cell r="L22">
            <v>12</v>
          </cell>
          <cell r="M22">
            <v>5.17</v>
          </cell>
          <cell r="N22">
            <v>11.025</v>
          </cell>
          <cell r="O22">
            <v>5.2516129032258059</v>
          </cell>
          <cell r="P22">
            <v>5.8666666666666671</v>
          </cell>
          <cell r="Q22">
            <v>3.3591397849462359</v>
          </cell>
          <cell r="R22">
            <v>3.9268817204301074</v>
          </cell>
          <cell r="S22">
            <v>16</v>
          </cell>
          <cell r="T22">
            <v>14</v>
          </cell>
          <cell r="U22">
            <v>18</v>
          </cell>
          <cell r="V22">
            <v>27.29</v>
          </cell>
        </row>
        <row r="23">
          <cell r="A23" t="str">
            <v>RO</v>
          </cell>
          <cell r="B23">
            <v>5.17</v>
          </cell>
          <cell r="C23">
            <v>3.2</v>
          </cell>
          <cell r="D23">
            <v>10.876800000000001</v>
          </cell>
          <cell r="E23">
            <v>7.19</v>
          </cell>
          <cell r="F23">
            <v>9.9499999999999993</v>
          </cell>
          <cell r="G23">
            <v>7.05</v>
          </cell>
          <cell r="H23">
            <v>6.88</v>
          </cell>
          <cell r="I23">
            <v>7.3370000000000006</v>
          </cell>
          <cell r="J23">
            <v>5.7</v>
          </cell>
          <cell r="K23">
            <v>4.7</v>
          </cell>
          <cell r="L23">
            <v>12</v>
          </cell>
          <cell r="M23">
            <v>5.17</v>
          </cell>
          <cell r="N23">
            <v>11.025</v>
          </cell>
          <cell r="O23">
            <v>5.2516129032258059</v>
          </cell>
          <cell r="P23">
            <v>5.8666666666666671</v>
          </cell>
          <cell r="Q23">
            <v>3.3591397849462359</v>
          </cell>
          <cell r="R23">
            <v>3.9268817204301074</v>
          </cell>
          <cell r="S23">
            <v>16</v>
          </cell>
          <cell r="T23">
            <v>14</v>
          </cell>
          <cell r="U23">
            <v>18</v>
          </cell>
          <cell r="V23">
            <v>27.29</v>
          </cell>
        </row>
        <row r="24">
          <cell r="A24" t="str">
            <v>RR</v>
          </cell>
          <cell r="B24">
            <v>5.17</v>
          </cell>
          <cell r="C24">
            <v>3.2</v>
          </cell>
          <cell r="D24">
            <v>10.876800000000001</v>
          </cell>
          <cell r="E24">
            <v>7.19</v>
          </cell>
          <cell r="F24">
            <v>9.9499999999999993</v>
          </cell>
          <cell r="G24">
            <v>7.05</v>
          </cell>
          <cell r="H24">
            <v>6.88</v>
          </cell>
          <cell r="I24">
            <v>7.3370000000000006</v>
          </cell>
          <cell r="J24">
            <v>5.7</v>
          </cell>
          <cell r="K24">
            <v>4.7</v>
          </cell>
          <cell r="L24">
            <v>12</v>
          </cell>
          <cell r="M24">
            <v>5.17</v>
          </cell>
          <cell r="N24">
            <v>11.025</v>
          </cell>
          <cell r="O24">
            <v>5.2516129032258059</v>
          </cell>
          <cell r="P24">
            <v>5.8666666666666671</v>
          </cell>
          <cell r="Q24">
            <v>3.3591397849462359</v>
          </cell>
          <cell r="R24">
            <v>3.9268817204301074</v>
          </cell>
          <cell r="S24">
            <v>16</v>
          </cell>
          <cell r="T24">
            <v>14</v>
          </cell>
          <cell r="U24">
            <v>18</v>
          </cell>
          <cell r="V24">
            <v>27.29</v>
          </cell>
        </row>
        <row r="25">
          <cell r="A25" t="str">
            <v>RS</v>
          </cell>
          <cell r="B25">
            <v>5.17</v>
          </cell>
          <cell r="C25">
            <v>3.41</v>
          </cell>
          <cell r="D25">
            <v>10.876800000000001</v>
          </cell>
          <cell r="E25">
            <v>7.67</v>
          </cell>
          <cell r="F25">
            <v>10.6</v>
          </cell>
          <cell r="G25">
            <v>7.5</v>
          </cell>
          <cell r="H25">
            <v>7.35</v>
          </cell>
          <cell r="I25">
            <v>7.3370000000000006</v>
          </cell>
          <cell r="J25">
            <v>5.5</v>
          </cell>
          <cell r="K25">
            <v>5.5</v>
          </cell>
          <cell r="L25">
            <v>13.5</v>
          </cell>
          <cell r="M25">
            <v>5.17</v>
          </cell>
          <cell r="N25">
            <v>11.76</v>
          </cell>
          <cell r="O25">
            <v>5.55</v>
          </cell>
          <cell r="P25">
            <v>6.2</v>
          </cell>
          <cell r="Q25">
            <v>3.55</v>
          </cell>
          <cell r="R25">
            <v>4.1500000000000004</v>
          </cell>
          <cell r="S25">
            <v>16</v>
          </cell>
          <cell r="T25">
            <v>14</v>
          </cell>
          <cell r="U25">
            <v>18</v>
          </cell>
          <cell r="V25">
            <v>27.29</v>
          </cell>
        </row>
        <row r="26">
          <cell r="A26" t="str">
            <v>SC</v>
          </cell>
          <cell r="B26">
            <v>5.17</v>
          </cell>
          <cell r="C26">
            <v>3.41</v>
          </cell>
          <cell r="D26">
            <v>10.876800000000001</v>
          </cell>
          <cell r="E26">
            <v>7.67</v>
          </cell>
          <cell r="F26">
            <v>10.6</v>
          </cell>
          <cell r="G26">
            <v>7.5</v>
          </cell>
          <cell r="H26">
            <v>7.35</v>
          </cell>
          <cell r="I26">
            <v>7.3370000000000006</v>
          </cell>
          <cell r="J26">
            <v>5.5</v>
          </cell>
          <cell r="K26">
            <v>5.5</v>
          </cell>
          <cell r="L26">
            <v>13.5</v>
          </cell>
          <cell r="M26">
            <v>5.17</v>
          </cell>
          <cell r="N26">
            <v>11.76</v>
          </cell>
          <cell r="O26">
            <v>5.55</v>
          </cell>
          <cell r="P26">
            <v>6.2</v>
          </cell>
          <cell r="Q26">
            <v>3.55</v>
          </cell>
          <cell r="R26">
            <v>4.1500000000000004</v>
          </cell>
          <cell r="S26">
            <v>16</v>
          </cell>
          <cell r="T26">
            <v>14</v>
          </cell>
          <cell r="U26">
            <v>18</v>
          </cell>
          <cell r="V26">
            <v>27.29</v>
          </cell>
        </row>
        <row r="27">
          <cell r="A27" t="str">
            <v>SE</v>
          </cell>
          <cell r="B27">
            <v>5.17</v>
          </cell>
          <cell r="C27">
            <v>3.2</v>
          </cell>
          <cell r="D27">
            <v>10.876800000000001</v>
          </cell>
          <cell r="E27">
            <v>7.19</v>
          </cell>
          <cell r="F27">
            <v>9.9499999999999993</v>
          </cell>
          <cell r="G27">
            <v>7.05</v>
          </cell>
          <cell r="H27">
            <v>6.88</v>
          </cell>
          <cell r="I27">
            <v>7.3370000000000006</v>
          </cell>
          <cell r="J27">
            <v>5.7</v>
          </cell>
          <cell r="K27">
            <v>4.7</v>
          </cell>
          <cell r="L27">
            <v>12</v>
          </cell>
          <cell r="M27">
            <v>5.17</v>
          </cell>
          <cell r="N27">
            <v>11.025</v>
          </cell>
          <cell r="O27">
            <v>5.2516129032258059</v>
          </cell>
          <cell r="P27">
            <v>5.8666666666666671</v>
          </cell>
          <cell r="Q27">
            <v>3.3591397849462359</v>
          </cell>
          <cell r="R27">
            <v>3.9268817204301074</v>
          </cell>
          <cell r="S27">
            <v>16</v>
          </cell>
          <cell r="T27">
            <v>14</v>
          </cell>
          <cell r="U27">
            <v>18</v>
          </cell>
          <cell r="V27">
            <v>27.29</v>
          </cell>
        </row>
        <row r="28">
          <cell r="A28" t="str">
            <v>SP</v>
          </cell>
          <cell r="B28">
            <v>5.17</v>
          </cell>
          <cell r="C28">
            <v>3.41</v>
          </cell>
          <cell r="D28">
            <v>10.876800000000001</v>
          </cell>
          <cell r="E28">
            <v>7.67</v>
          </cell>
          <cell r="F28">
            <v>10.6</v>
          </cell>
          <cell r="G28">
            <v>7.5</v>
          </cell>
          <cell r="H28">
            <v>7.35</v>
          </cell>
          <cell r="I28">
            <v>7.3370000000000006</v>
          </cell>
          <cell r="J28">
            <v>5.5</v>
          </cell>
          <cell r="K28">
            <v>5.5</v>
          </cell>
          <cell r="L28">
            <v>13.5</v>
          </cell>
          <cell r="M28">
            <v>5.17</v>
          </cell>
          <cell r="N28">
            <v>11.76</v>
          </cell>
          <cell r="O28">
            <v>5.55</v>
          </cell>
          <cell r="P28">
            <v>6.2</v>
          </cell>
          <cell r="Q28">
            <v>3.55</v>
          </cell>
          <cell r="R28">
            <v>4.1500000000000004</v>
          </cell>
          <cell r="S28">
            <v>16</v>
          </cell>
          <cell r="T28">
            <v>14</v>
          </cell>
          <cell r="U28">
            <v>18</v>
          </cell>
          <cell r="V28">
            <v>27.29</v>
          </cell>
        </row>
        <row r="29">
          <cell r="A29" t="str">
            <v>SP/Atacado</v>
          </cell>
          <cell r="B29">
            <v>5.17</v>
          </cell>
          <cell r="C29">
            <v>3.41</v>
          </cell>
          <cell r="D29">
            <v>10.876800000000001</v>
          </cell>
          <cell r="E29">
            <v>7.67</v>
          </cell>
          <cell r="F29">
            <v>10.6</v>
          </cell>
          <cell r="G29">
            <v>7.5</v>
          </cell>
          <cell r="H29">
            <v>7.35</v>
          </cell>
          <cell r="I29">
            <v>7.3370000000000006</v>
          </cell>
          <cell r="J29">
            <v>5.5</v>
          </cell>
          <cell r="K29">
            <v>5.5</v>
          </cell>
          <cell r="L29">
            <v>13.5</v>
          </cell>
          <cell r="M29">
            <v>5.17</v>
          </cell>
          <cell r="N29">
            <v>11.76</v>
          </cell>
          <cell r="O29">
            <v>5.55</v>
          </cell>
          <cell r="P29">
            <v>6.2</v>
          </cell>
          <cell r="Q29">
            <v>3.55</v>
          </cell>
          <cell r="R29">
            <v>4.1500000000000004</v>
          </cell>
          <cell r="S29">
            <v>16</v>
          </cell>
          <cell r="T29">
            <v>14</v>
          </cell>
          <cell r="U29">
            <v>18</v>
          </cell>
          <cell r="V29">
            <v>27.29</v>
          </cell>
        </row>
        <row r="30">
          <cell r="A30" t="str">
            <v>TO</v>
          </cell>
          <cell r="B30">
            <v>5.17</v>
          </cell>
          <cell r="C30">
            <v>3.2</v>
          </cell>
          <cell r="D30">
            <v>10.876800000000001</v>
          </cell>
          <cell r="E30">
            <v>7.19</v>
          </cell>
          <cell r="F30">
            <v>9.9499999999999993</v>
          </cell>
          <cell r="G30">
            <v>7.05</v>
          </cell>
          <cell r="H30">
            <v>6.88</v>
          </cell>
          <cell r="I30">
            <v>7.3370000000000006</v>
          </cell>
          <cell r="J30">
            <v>5.7</v>
          </cell>
          <cell r="K30">
            <v>4.7</v>
          </cell>
          <cell r="L30">
            <v>12</v>
          </cell>
          <cell r="M30">
            <v>5.17</v>
          </cell>
          <cell r="N30">
            <v>11.025</v>
          </cell>
          <cell r="O30">
            <v>5.2516129032258059</v>
          </cell>
          <cell r="P30">
            <v>5.8666666666666671</v>
          </cell>
          <cell r="Q30">
            <v>3.3591397849462359</v>
          </cell>
          <cell r="R30">
            <v>3.9268817204301074</v>
          </cell>
          <cell r="S30">
            <v>16</v>
          </cell>
          <cell r="T30">
            <v>14</v>
          </cell>
          <cell r="U30">
            <v>18</v>
          </cell>
          <cell r="V30">
            <v>27.29</v>
          </cell>
        </row>
        <row r="31">
          <cell r="A31" t="str">
            <v>EX</v>
          </cell>
          <cell r="B31">
            <v>4.47</v>
          </cell>
          <cell r="C31">
            <v>2.68</v>
          </cell>
          <cell r="D31">
            <v>9.434800000000001</v>
          </cell>
          <cell r="E31">
            <v>6.03</v>
          </cell>
          <cell r="F31">
            <v>8.34</v>
          </cell>
          <cell r="G31">
            <v>5.9</v>
          </cell>
          <cell r="H31">
            <v>5.79</v>
          </cell>
          <cell r="I31">
            <v>6.3580000000000005</v>
          </cell>
          <cell r="J31">
            <v>4.33</v>
          </cell>
          <cell r="K31">
            <v>4.33</v>
          </cell>
          <cell r="L31">
            <v>10.63</v>
          </cell>
          <cell r="M31">
            <v>4.47</v>
          </cell>
          <cell r="N31"/>
          <cell r="O31">
            <v>5.2516129032258059</v>
          </cell>
          <cell r="P31">
            <v>5.8666666666666671</v>
          </cell>
          <cell r="Q31">
            <v>3.3591397849462359</v>
          </cell>
          <cell r="R31">
            <v>3.9268817204301074</v>
          </cell>
          <cell r="S31">
            <v>16</v>
          </cell>
          <cell r="T31">
            <v>14</v>
          </cell>
          <cell r="U31">
            <v>18</v>
          </cell>
          <cell r="V31">
            <v>27.29</v>
          </cell>
        </row>
      </sheetData>
      <sheetData sheetId="13">
        <row r="2">
          <cell r="A2" t="str">
            <v>Estado</v>
          </cell>
          <cell r="B2" t="str">
            <v>Papinhas</v>
          </cell>
          <cell r="C2" t="str">
            <v>Palitinhos</v>
          </cell>
          <cell r="D2" t="str">
            <v>Biscoitinhos</v>
          </cell>
          <cell r="E2" t="str">
            <v>Papapasta</v>
          </cell>
          <cell r="F2" t="str">
            <v>La Chef</v>
          </cell>
          <cell r="G2" t="str">
            <v>Linha Cerais</v>
          </cell>
          <cell r="H2" t="str">
            <v>Biscotti</v>
          </cell>
          <cell r="I2" t="str">
            <v>Pouch Carne</v>
          </cell>
          <cell r="J2" t="str">
            <v>P. Cereal 170g Sache sabores</v>
          </cell>
          <cell r="K2" t="str">
            <v>P. Cereal 170g Sache MULTI</v>
          </cell>
          <cell r="L2" t="str">
            <v>MULTI sache 500 g</v>
          </cell>
          <cell r="M2" t="str">
            <v>Yoguzinho</v>
          </cell>
          <cell r="N2" t="str">
            <v>Bowl</v>
          </cell>
          <cell r="O2" t="str">
            <v>Salgadinhos</v>
          </cell>
          <cell r="P2" t="str">
            <v>Bisc. Recheados</v>
          </cell>
          <cell r="Q2" t="str">
            <v>Sucos</v>
          </cell>
          <cell r="R2" t="str">
            <v>Achocolatado</v>
          </cell>
          <cell r="S2" t="str">
            <v>Puer. Talheres</v>
          </cell>
          <cell r="T2" t="str">
            <v>Puer. Bolw</v>
          </cell>
          <cell r="U2" t="str">
            <v>Puer. Babador</v>
          </cell>
          <cell r="V2" t="str">
            <v>Puer. Pratinho</v>
          </cell>
        </row>
        <row r="3">
          <cell r="A3" t="str">
            <v>AC</v>
          </cell>
          <cell r="B3">
            <v>9.49</v>
          </cell>
          <cell r="C3">
            <v>5.79</v>
          </cell>
          <cell r="D3">
            <v>19.989999999999998</v>
          </cell>
          <cell r="E3">
            <v>13.69</v>
          </cell>
          <cell r="F3">
            <v>18.989999999999998</v>
          </cell>
          <cell r="G3">
            <v>13.89</v>
          </cell>
          <cell r="H3">
            <v>13.49</v>
          </cell>
          <cell r="I3">
            <v>13.49</v>
          </cell>
          <cell r="J3">
            <v>8.99</v>
          </cell>
          <cell r="K3">
            <v>7.99</v>
          </cell>
          <cell r="L3">
            <v>19.989999999999998</v>
          </cell>
          <cell r="M3">
            <v>9.49</v>
          </cell>
          <cell r="N3">
            <v>18.989999999999998</v>
          </cell>
          <cell r="O3">
            <v>7.99</v>
          </cell>
          <cell r="P3">
            <v>8.6</v>
          </cell>
          <cell r="Q3">
            <v>4.99</v>
          </cell>
          <cell r="R3">
            <v>5.99</v>
          </cell>
          <cell r="S3">
            <v>36</v>
          </cell>
          <cell r="T3">
            <v>36</v>
          </cell>
          <cell r="U3">
            <v>27</v>
          </cell>
          <cell r="V3">
            <v>48</v>
          </cell>
        </row>
        <row r="4">
          <cell r="A4" t="str">
            <v>AL</v>
          </cell>
          <cell r="B4">
            <v>9.49</v>
          </cell>
          <cell r="C4">
            <v>5.79</v>
          </cell>
          <cell r="D4">
            <v>19.989999999999998</v>
          </cell>
          <cell r="E4">
            <v>13.69</v>
          </cell>
          <cell r="F4">
            <v>18.989999999999998</v>
          </cell>
          <cell r="G4">
            <v>13.89</v>
          </cell>
          <cell r="H4">
            <v>13.49</v>
          </cell>
          <cell r="I4">
            <v>13.49</v>
          </cell>
          <cell r="J4">
            <v>8.99</v>
          </cell>
          <cell r="K4">
            <v>7.99</v>
          </cell>
          <cell r="L4">
            <v>19.989999999999998</v>
          </cell>
          <cell r="M4">
            <v>9.49</v>
          </cell>
          <cell r="N4">
            <v>18.989999999999998</v>
          </cell>
          <cell r="O4">
            <v>7.99</v>
          </cell>
          <cell r="P4">
            <v>8.6</v>
          </cell>
          <cell r="Q4">
            <v>4.99</v>
          </cell>
          <cell r="R4">
            <v>5.99</v>
          </cell>
          <cell r="S4">
            <v>36</v>
          </cell>
          <cell r="T4">
            <v>36</v>
          </cell>
          <cell r="U4">
            <v>27</v>
          </cell>
          <cell r="V4">
            <v>48</v>
          </cell>
        </row>
        <row r="5">
          <cell r="A5" t="str">
            <v>AM</v>
          </cell>
          <cell r="B5">
            <v>9.49</v>
          </cell>
          <cell r="C5">
            <v>5.79</v>
          </cell>
          <cell r="D5">
            <v>19.989999999999998</v>
          </cell>
          <cell r="E5">
            <v>13.69</v>
          </cell>
          <cell r="F5">
            <v>18.989999999999998</v>
          </cell>
          <cell r="G5">
            <v>13.89</v>
          </cell>
          <cell r="H5">
            <v>13.49</v>
          </cell>
          <cell r="I5">
            <v>13.49</v>
          </cell>
          <cell r="J5">
            <v>8.99</v>
          </cell>
          <cell r="K5">
            <v>7.99</v>
          </cell>
          <cell r="L5">
            <v>19.989999999999998</v>
          </cell>
          <cell r="M5">
            <v>9.49</v>
          </cell>
          <cell r="N5">
            <v>18.989999999999998</v>
          </cell>
          <cell r="O5">
            <v>7.99</v>
          </cell>
          <cell r="P5">
            <v>8.6</v>
          </cell>
          <cell r="Q5">
            <v>4.99</v>
          </cell>
          <cell r="R5">
            <v>5.99</v>
          </cell>
          <cell r="S5">
            <v>36</v>
          </cell>
          <cell r="T5">
            <v>36</v>
          </cell>
          <cell r="U5">
            <v>27</v>
          </cell>
          <cell r="V5">
            <v>48</v>
          </cell>
        </row>
        <row r="6">
          <cell r="A6" t="str">
            <v>AP</v>
          </cell>
          <cell r="B6">
            <v>9.49</v>
          </cell>
          <cell r="C6">
            <v>5.79</v>
          </cell>
          <cell r="D6">
            <v>19.989999999999998</v>
          </cell>
          <cell r="E6">
            <v>13.69</v>
          </cell>
          <cell r="F6">
            <v>18.989999999999998</v>
          </cell>
          <cell r="G6">
            <v>13.89</v>
          </cell>
          <cell r="H6">
            <v>13.49</v>
          </cell>
          <cell r="I6">
            <v>13.49</v>
          </cell>
          <cell r="J6">
            <v>8.99</v>
          </cell>
          <cell r="K6">
            <v>7.99</v>
          </cell>
          <cell r="L6">
            <v>19.989999999999998</v>
          </cell>
          <cell r="M6">
            <v>9.49</v>
          </cell>
          <cell r="N6">
            <v>18.989999999999998</v>
          </cell>
          <cell r="O6">
            <v>7.99</v>
          </cell>
          <cell r="P6">
            <v>8.6</v>
          </cell>
          <cell r="Q6">
            <v>4.99</v>
          </cell>
          <cell r="R6">
            <v>5.99</v>
          </cell>
          <cell r="S6">
            <v>36</v>
          </cell>
          <cell r="T6">
            <v>36</v>
          </cell>
          <cell r="U6">
            <v>27</v>
          </cell>
          <cell r="V6">
            <v>48</v>
          </cell>
        </row>
        <row r="7">
          <cell r="A7" t="str">
            <v>BA</v>
          </cell>
          <cell r="B7">
            <v>9.49</v>
          </cell>
          <cell r="C7">
            <v>5.79</v>
          </cell>
          <cell r="D7">
            <v>19.989999999999998</v>
          </cell>
          <cell r="E7">
            <v>13.69</v>
          </cell>
          <cell r="F7">
            <v>18.989999999999998</v>
          </cell>
          <cell r="G7">
            <v>13.89</v>
          </cell>
          <cell r="H7">
            <v>13.49</v>
          </cell>
          <cell r="I7">
            <v>13.49</v>
          </cell>
          <cell r="J7">
            <v>8.99</v>
          </cell>
          <cell r="K7">
            <v>7.99</v>
          </cell>
          <cell r="L7">
            <v>19.989999999999998</v>
          </cell>
          <cell r="M7">
            <v>9.49</v>
          </cell>
          <cell r="N7">
            <v>18.989999999999998</v>
          </cell>
          <cell r="O7">
            <v>7.99</v>
          </cell>
          <cell r="P7">
            <v>8.6</v>
          </cell>
          <cell r="Q7">
            <v>4.99</v>
          </cell>
          <cell r="R7">
            <v>5.99</v>
          </cell>
          <cell r="S7">
            <v>36</v>
          </cell>
          <cell r="T7">
            <v>36</v>
          </cell>
          <cell r="U7">
            <v>27</v>
          </cell>
          <cell r="V7">
            <v>48</v>
          </cell>
        </row>
        <row r="8">
          <cell r="A8" t="str">
            <v>CE</v>
          </cell>
          <cell r="B8">
            <v>9.49</v>
          </cell>
          <cell r="C8">
            <v>5.79</v>
          </cell>
          <cell r="D8">
            <v>19.989999999999998</v>
          </cell>
          <cell r="E8">
            <v>13.69</v>
          </cell>
          <cell r="F8">
            <v>18.989999999999998</v>
          </cell>
          <cell r="G8">
            <v>13.89</v>
          </cell>
          <cell r="H8">
            <v>13.49</v>
          </cell>
          <cell r="I8">
            <v>13.49</v>
          </cell>
          <cell r="J8">
            <v>8.99</v>
          </cell>
          <cell r="K8">
            <v>7.99</v>
          </cell>
          <cell r="L8">
            <v>19.989999999999998</v>
          </cell>
          <cell r="M8">
            <v>9.49</v>
          </cell>
          <cell r="N8">
            <v>18.989999999999998</v>
          </cell>
          <cell r="O8">
            <v>7.99</v>
          </cell>
          <cell r="P8">
            <v>8.6</v>
          </cell>
          <cell r="Q8">
            <v>4.99</v>
          </cell>
          <cell r="R8">
            <v>5.99</v>
          </cell>
          <cell r="S8">
            <v>36</v>
          </cell>
          <cell r="T8">
            <v>36</v>
          </cell>
          <cell r="U8">
            <v>27</v>
          </cell>
          <cell r="V8">
            <v>48</v>
          </cell>
        </row>
        <row r="9">
          <cell r="A9" t="str">
            <v>DF</v>
          </cell>
          <cell r="B9">
            <v>9.49</v>
          </cell>
          <cell r="C9">
            <v>5.79</v>
          </cell>
          <cell r="D9">
            <v>19.989999999999998</v>
          </cell>
          <cell r="E9">
            <v>13.69</v>
          </cell>
          <cell r="F9">
            <v>18.989999999999998</v>
          </cell>
          <cell r="G9">
            <v>13.89</v>
          </cell>
          <cell r="H9">
            <v>13.49</v>
          </cell>
          <cell r="I9">
            <v>13.49</v>
          </cell>
          <cell r="J9">
            <v>8.99</v>
          </cell>
          <cell r="K9">
            <v>7.99</v>
          </cell>
          <cell r="L9">
            <v>19.989999999999998</v>
          </cell>
          <cell r="M9">
            <v>9.49</v>
          </cell>
          <cell r="N9">
            <v>18.989999999999998</v>
          </cell>
          <cell r="O9">
            <v>7.99</v>
          </cell>
          <cell r="P9">
            <v>8.6</v>
          </cell>
          <cell r="Q9">
            <v>4.99</v>
          </cell>
          <cell r="R9">
            <v>5.99</v>
          </cell>
          <cell r="S9">
            <v>36</v>
          </cell>
          <cell r="T9">
            <v>36</v>
          </cell>
          <cell r="U9">
            <v>27</v>
          </cell>
          <cell r="V9">
            <v>48</v>
          </cell>
        </row>
        <row r="10">
          <cell r="A10" t="str">
            <v>ES</v>
          </cell>
          <cell r="B10">
            <v>9.49</v>
          </cell>
          <cell r="C10">
            <v>5.79</v>
          </cell>
          <cell r="D10">
            <v>19.989999999999998</v>
          </cell>
          <cell r="E10">
            <v>13.69</v>
          </cell>
          <cell r="F10">
            <v>18.989999999999998</v>
          </cell>
          <cell r="G10">
            <v>13.89</v>
          </cell>
          <cell r="H10">
            <v>13.49</v>
          </cell>
          <cell r="I10">
            <v>13.49</v>
          </cell>
          <cell r="J10">
            <v>9.99</v>
          </cell>
          <cell r="K10">
            <v>9.99</v>
          </cell>
          <cell r="L10">
            <v>24.99</v>
          </cell>
          <cell r="M10">
            <v>9.49</v>
          </cell>
          <cell r="N10">
            <v>18.989999999999998</v>
          </cell>
          <cell r="O10">
            <v>7.99</v>
          </cell>
          <cell r="P10">
            <v>8.6</v>
          </cell>
          <cell r="Q10">
            <v>4.99</v>
          </cell>
          <cell r="R10">
            <v>5.99</v>
          </cell>
          <cell r="S10">
            <v>36</v>
          </cell>
          <cell r="T10">
            <v>36</v>
          </cell>
          <cell r="U10">
            <v>27</v>
          </cell>
          <cell r="V10">
            <v>48</v>
          </cell>
        </row>
        <row r="11">
          <cell r="A11" t="str">
            <v>GO</v>
          </cell>
          <cell r="B11">
            <v>9.49</v>
          </cell>
          <cell r="C11">
            <v>5.79</v>
          </cell>
          <cell r="D11">
            <v>19.989999999999998</v>
          </cell>
          <cell r="E11">
            <v>13.69</v>
          </cell>
          <cell r="F11">
            <v>18.989999999999998</v>
          </cell>
          <cell r="G11">
            <v>13.89</v>
          </cell>
          <cell r="H11">
            <v>13.49</v>
          </cell>
          <cell r="I11">
            <v>13.49</v>
          </cell>
          <cell r="J11">
            <v>8.99</v>
          </cell>
          <cell r="K11">
            <v>7.99</v>
          </cell>
          <cell r="L11">
            <v>19.989999999999998</v>
          </cell>
          <cell r="M11">
            <v>9.49</v>
          </cell>
          <cell r="N11">
            <v>18.989999999999998</v>
          </cell>
          <cell r="O11">
            <v>7.99</v>
          </cell>
          <cell r="P11">
            <v>8.6</v>
          </cell>
          <cell r="Q11">
            <v>4.99</v>
          </cell>
          <cell r="R11">
            <v>5.99</v>
          </cell>
          <cell r="S11">
            <v>36</v>
          </cell>
          <cell r="T11">
            <v>36</v>
          </cell>
          <cell r="U11">
            <v>27</v>
          </cell>
          <cell r="V11">
            <v>48</v>
          </cell>
        </row>
        <row r="12">
          <cell r="A12" t="str">
            <v>MA</v>
          </cell>
          <cell r="B12">
            <v>9.49</v>
          </cell>
          <cell r="C12">
            <v>5.79</v>
          </cell>
          <cell r="D12">
            <v>19.989999999999998</v>
          </cell>
          <cell r="E12">
            <v>13.69</v>
          </cell>
          <cell r="F12">
            <v>18.989999999999998</v>
          </cell>
          <cell r="G12">
            <v>13.89</v>
          </cell>
          <cell r="H12">
            <v>13.49</v>
          </cell>
          <cell r="I12">
            <v>13.49</v>
          </cell>
          <cell r="J12">
            <v>8.99</v>
          </cell>
          <cell r="K12">
            <v>7.99</v>
          </cell>
          <cell r="L12">
            <v>19.989999999999998</v>
          </cell>
          <cell r="M12">
            <v>9.49</v>
          </cell>
          <cell r="N12">
            <v>18.989999999999998</v>
          </cell>
          <cell r="O12">
            <v>7.99</v>
          </cell>
          <cell r="P12">
            <v>8.6</v>
          </cell>
          <cell r="Q12">
            <v>4.99</v>
          </cell>
          <cell r="R12">
            <v>5.99</v>
          </cell>
          <cell r="S12">
            <v>36</v>
          </cell>
          <cell r="T12">
            <v>36</v>
          </cell>
          <cell r="U12">
            <v>27</v>
          </cell>
          <cell r="V12">
            <v>48</v>
          </cell>
        </row>
        <row r="13">
          <cell r="A13" t="str">
            <v>MG</v>
          </cell>
          <cell r="B13">
            <v>9.49</v>
          </cell>
          <cell r="C13">
            <v>5.79</v>
          </cell>
          <cell r="D13">
            <v>19.989999999999998</v>
          </cell>
          <cell r="E13">
            <v>13.69</v>
          </cell>
          <cell r="F13">
            <v>18.989999999999998</v>
          </cell>
          <cell r="G13">
            <v>13.89</v>
          </cell>
          <cell r="H13">
            <v>13.49</v>
          </cell>
          <cell r="I13">
            <v>13.49</v>
          </cell>
          <cell r="J13">
            <v>9.99</v>
          </cell>
          <cell r="K13">
            <v>9.99</v>
          </cell>
          <cell r="L13">
            <v>24.99</v>
          </cell>
          <cell r="M13">
            <v>9.49</v>
          </cell>
          <cell r="N13">
            <v>18.989999999999998</v>
          </cell>
          <cell r="O13">
            <v>7.99</v>
          </cell>
          <cell r="P13">
            <v>8.6</v>
          </cell>
          <cell r="Q13">
            <v>4.99</v>
          </cell>
          <cell r="R13">
            <v>5.99</v>
          </cell>
          <cell r="S13">
            <v>36</v>
          </cell>
          <cell r="T13">
            <v>36</v>
          </cell>
          <cell r="U13">
            <v>27</v>
          </cell>
          <cell r="V13">
            <v>48</v>
          </cell>
        </row>
        <row r="14">
          <cell r="A14" t="str">
            <v>MS</v>
          </cell>
          <cell r="B14">
            <v>9.49</v>
          </cell>
          <cell r="C14">
            <v>5.79</v>
          </cell>
          <cell r="D14">
            <v>19.989999999999998</v>
          </cell>
          <cell r="E14">
            <v>13.69</v>
          </cell>
          <cell r="F14">
            <v>18.989999999999998</v>
          </cell>
          <cell r="G14">
            <v>13.89</v>
          </cell>
          <cell r="H14">
            <v>13.49</v>
          </cell>
          <cell r="I14">
            <v>13.49</v>
          </cell>
          <cell r="J14">
            <v>8.99</v>
          </cell>
          <cell r="K14">
            <v>7.99</v>
          </cell>
          <cell r="L14">
            <v>19.989999999999998</v>
          </cell>
          <cell r="M14">
            <v>9.49</v>
          </cell>
          <cell r="N14">
            <v>18.989999999999998</v>
          </cell>
          <cell r="O14">
            <v>7.99</v>
          </cell>
          <cell r="P14">
            <v>8.6</v>
          </cell>
          <cell r="Q14">
            <v>4.99</v>
          </cell>
          <cell r="R14">
            <v>5.99</v>
          </cell>
          <cell r="S14">
            <v>36</v>
          </cell>
          <cell r="T14">
            <v>36</v>
          </cell>
          <cell r="U14">
            <v>27</v>
          </cell>
          <cell r="V14">
            <v>48</v>
          </cell>
        </row>
        <row r="15">
          <cell r="A15" t="str">
            <v>MT</v>
          </cell>
          <cell r="B15">
            <v>9.49</v>
          </cell>
          <cell r="C15">
            <v>5.79</v>
          </cell>
          <cell r="D15">
            <v>19.989999999999998</v>
          </cell>
          <cell r="E15">
            <v>13.69</v>
          </cell>
          <cell r="F15">
            <v>18.989999999999998</v>
          </cell>
          <cell r="G15">
            <v>13.89</v>
          </cell>
          <cell r="H15">
            <v>13.49</v>
          </cell>
          <cell r="I15">
            <v>13.49</v>
          </cell>
          <cell r="J15">
            <v>8.99</v>
          </cell>
          <cell r="K15">
            <v>7.99</v>
          </cell>
          <cell r="L15">
            <v>19.989999999999998</v>
          </cell>
          <cell r="M15">
            <v>9.49</v>
          </cell>
          <cell r="N15">
            <v>18.989999999999998</v>
          </cell>
          <cell r="O15">
            <v>7.99</v>
          </cell>
          <cell r="P15">
            <v>8.6</v>
          </cell>
          <cell r="Q15">
            <v>4.99</v>
          </cell>
          <cell r="R15">
            <v>5.99</v>
          </cell>
          <cell r="S15">
            <v>36</v>
          </cell>
          <cell r="T15">
            <v>36</v>
          </cell>
          <cell r="U15">
            <v>27</v>
          </cell>
          <cell r="V15">
            <v>48</v>
          </cell>
        </row>
        <row r="16">
          <cell r="A16" t="str">
            <v>PA</v>
          </cell>
          <cell r="B16">
            <v>9.49</v>
          </cell>
          <cell r="C16">
            <v>5.79</v>
          </cell>
          <cell r="D16">
            <v>19.989999999999998</v>
          </cell>
          <cell r="E16">
            <v>13.69</v>
          </cell>
          <cell r="F16">
            <v>18.989999999999998</v>
          </cell>
          <cell r="G16">
            <v>13.89</v>
          </cell>
          <cell r="H16">
            <v>13.49</v>
          </cell>
          <cell r="I16">
            <v>13.49</v>
          </cell>
          <cell r="J16">
            <v>8.99</v>
          </cell>
          <cell r="K16">
            <v>7.99</v>
          </cell>
          <cell r="L16">
            <v>19.989999999999998</v>
          </cell>
          <cell r="M16">
            <v>9.49</v>
          </cell>
          <cell r="N16">
            <v>18.989999999999998</v>
          </cell>
          <cell r="O16">
            <v>7.99</v>
          </cell>
          <cell r="P16">
            <v>8.6</v>
          </cell>
          <cell r="Q16">
            <v>4.99</v>
          </cell>
          <cell r="R16">
            <v>5.99</v>
          </cell>
          <cell r="S16">
            <v>36</v>
          </cell>
          <cell r="T16">
            <v>36</v>
          </cell>
          <cell r="U16">
            <v>27</v>
          </cell>
          <cell r="V16">
            <v>48</v>
          </cell>
        </row>
        <row r="17">
          <cell r="A17" t="str">
            <v>PB</v>
          </cell>
          <cell r="B17">
            <v>9.49</v>
          </cell>
          <cell r="C17">
            <v>5.79</v>
          </cell>
          <cell r="D17">
            <v>19.989999999999998</v>
          </cell>
          <cell r="E17">
            <v>13.69</v>
          </cell>
          <cell r="F17">
            <v>18.989999999999998</v>
          </cell>
          <cell r="G17">
            <v>13.89</v>
          </cell>
          <cell r="H17">
            <v>13.49</v>
          </cell>
          <cell r="I17">
            <v>13.49</v>
          </cell>
          <cell r="J17">
            <v>8.99</v>
          </cell>
          <cell r="K17">
            <v>7.99</v>
          </cell>
          <cell r="L17">
            <v>19.989999999999998</v>
          </cell>
          <cell r="M17">
            <v>9.49</v>
          </cell>
          <cell r="N17">
            <v>18.989999999999998</v>
          </cell>
          <cell r="O17">
            <v>7.99</v>
          </cell>
          <cell r="P17">
            <v>8.6</v>
          </cell>
          <cell r="Q17">
            <v>4.99</v>
          </cell>
          <cell r="R17">
            <v>5.99</v>
          </cell>
          <cell r="S17">
            <v>36</v>
          </cell>
          <cell r="T17">
            <v>36</v>
          </cell>
          <cell r="U17">
            <v>27</v>
          </cell>
          <cell r="V17">
            <v>48</v>
          </cell>
        </row>
        <row r="18">
          <cell r="A18" t="str">
            <v>PE</v>
          </cell>
          <cell r="B18">
            <v>9.49</v>
          </cell>
          <cell r="C18">
            <v>5.79</v>
          </cell>
          <cell r="D18">
            <v>19.989999999999998</v>
          </cell>
          <cell r="E18">
            <v>13.69</v>
          </cell>
          <cell r="F18">
            <v>18.989999999999998</v>
          </cell>
          <cell r="G18">
            <v>13.89</v>
          </cell>
          <cell r="H18">
            <v>13.49</v>
          </cell>
          <cell r="I18">
            <v>13.49</v>
          </cell>
          <cell r="J18">
            <v>8.99</v>
          </cell>
          <cell r="K18">
            <v>7.99</v>
          </cell>
          <cell r="L18">
            <v>19.989999999999998</v>
          </cell>
          <cell r="M18">
            <v>9.49</v>
          </cell>
          <cell r="N18">
            <v>18.989999999999998</v>
          </cell>
          <cell r="O18">
            <v>7.99</v>
          </cell>
          <cell r="P18">
            <v>8.6</v>
          </cell>
          <cell r="Q18">
            <v>4.99</v>
          </cell>
          <cell r="R18">
            <v>5.99</v>
          </cell>
          <cell r="S18">
            <v>36</v>
          </cell>
          <cell r="T18">
            <v>36</v>
          </cell>
          <cell r="U18">
            <v>27</v>
          </cell>
          <cell r="V18">
            <v>48</v>
          </cell>
        </row>
        <row r="19">
          <cell r="A19" t="str">
            <v>PI</v>
          </cell>
          <cell r="B19">
            <v>9.49</v>
          </cell>
          <cell r="C19">
            <v>5.79</v>
          </cell>
          <cell r="D19">
            <v>19.989999999999998</v>
          </cell>
          <cell r="E19">
            <v>13.69</v>
          </cell>
          <cell r="F19">
            <v>18.989999999999998</v>
          </cell>
          <cell r="G19">
            <v>13.89</v>
          </cell>
          <cell r="H19">
            <v>13.49</v>
          </cell>
          <cell r="I19">
            <v>13.49</v>
          </cell>
          <cell r="J19">
            <v>8.99</v>
          </cell>
          <cell r="K19">
            <v>7.99</v>
          </cell>
          <cell r="L19">
            <v>19.989999999999998</v>
          </cell>
          <cell r="M19">
            <v>9.49</v>
          </cell>
          <cell r="N19">
            <v>18.989999999999998</v>
          </cell>
          <cell r="O19">
            <v>7.99</v>
          </cell>
          <cell r="P19">
            <v>8.6</v>
          </cell>
          <cell r="Q19">
            <v>4.99</v>
          </cell>
          <cell r="R19">
            <v>5.99</v>
          </cell>
          <cell r="S19">
            <v>36</v>
          </cell>
          <cell r="T19">
            <v>36</v>
          </cell>
          <cell r="U19">
            <v>27</v>
          </cell>
          <cell r="V19">
            <v>48</v>
          </cell>
        </row>
        <row r="20">
          <cell r="A20" t="str">
            <v>PR</v>
          </cell>
          <cell r="B20">
            <v>9.49</v>
          </cell>
          <cell r="C20">
            <v>5.79</v>
          </cell>
          <cell r="D20">
            <v>19.989999999999998</v>
          </cell>
          <cell r="E20">
            <v>13.69</v>
          </cell>
          <cell r="F20">
            <v>18.989999999999998</v>
          </cell>
          <cell r="G20">
            <v>13.89</v>
          </cell>
          <cell r="H20">
            <v>13.49</v>
          </cell>
          <cell r="I20">
            <v>13.49</v>
          </cell>
          <cell r="J20">
            <v>9.99</v>
          </cell>
          <cell r="K20">
            <v>9.99</v>
          </cell>
          <cell r="L20">
            <v>24.99</v>
          </cell>
          <cell r="M20">
            <v>9.49</v>
          </cell>
          <cell r="N20">
            <v>18.989999999999998</v>
          </cell>
          <cell r="O20">
            <v>7.99</v>
          </cell>
          <cell r="P20">
            <v>8.6</v>
          </cell>
          <cell r="Q20">
            <v>4.99</v>
          </cell>
          <cell r="R20">
            <v>5.99</v>
          </cell>
          <cell r="S20">
            <v>36</v>
          </cell>
          <cell r="T20">
            <v>36</v>
          </cell>
          <cell r="U20">
            <v>27</v>
          </cell>
          <cell r="V20">
            <v>48</v>
          </cell>
        </row>
        <row r="21">
          <cell r="A21" t="str">
            <v>RJ</v>
          </cell>
          <cell r="B21">
            <v>9.49</v>
          </cell>
          <cell r="C21">
            <v>5.79</v>
          </cell>
          <cell r="D21">
            <v>19.989999999999998</v>
          </cell>
          <cell r="E21">
            <v>13.69</v>
          </cell>
          <cell r="F21">
            <v>18.989999999999998</v>
          </cell>
          <cell r="G21">
            <v>13.89</v>
          </cell>
          <cell r="H21">
            <v>13.49</v>
          </cell>
          <cell r="I21">
            <v>13.49</v>
          </cell>
          <cell r="J21">
            <v>9.99</v>
          </cell>
          <cell r="K21">
            <v>9.99</v>
          </cell>
          <cell r="L21">
            <v>24.99</v>
          </cell>
          <cell r="M21">
            <v>9.49</v>
          </cell>
          <cell r="N21">
            <v>18.989999999999998</v>
          </cell>
          <cell r="O21">
            <v>7.99</v>
          </cell>
          <cell r="P21">
            <v>8.6</v>
          </cell>
          <cell r="Q21">
            <v>4.99</v>
          </cell>
          <cell r="R21">
            <v>5.99</v>
          </cell>
          <cell r="S21">
            <v>36</v>
          </cell>
          <cell r="T21">
            <v>36</v>
          </cell>
          <cell r="U21">
            <v>27</v>
          </cell>
          <cell r="V21">
            <v>48</v>
          </cell>
        </row>
        <row r="22">
          <cell r="A22" t="str">
            <v>RN</v>
          </cell>
          <cell r="B22">
            <v>9.49</v>
          </cell>
          <cell r="C22">
            <v>5.79</v>
          </cell>
          <cell r="D22">
            <v>19.989999999999998</v>
          </cell>
          <cell r="E22">
            <v>13.69</v>
          </cell>
          <cell r="F22">
            <v>18.989999999999998</v>
          </cell>
          <cell r="G22">
            <v>13.89</v>
          </cell>
          <cell r="H22">
            <v>13.49</v>
          </cell>
          <cell r="I22">
            <v>13.49</v>
          </cell>
          <cell r="J22">
            <v>8.99</v>
          </cell>
          <cell r="K22">
            <v>7.99</v>
          </cell>
          <cell r="L22">
            <v>19.989999999999998</v>
          </cell>
          <cell r="M22">
            <v>9.49</v>
          </cell>
          <cell r="N22">
            <v>18.989999999999998</v>
          </cell>
          <cell r="O22">
            <v>7.99</v>
          </cell>
          <cell r="P22">
            <v>8.6</v>
          </cell>
          <cell r="Q22">
            <v>4.99</v>
          </cell>
          <cell r="R22">
            <v>5.99</v>
          </cell>
          <cell r="S22">
            <v>36</v>
          </cell>
          <cell r="T22">
            <v>36</v>
          </cell>
          <cell r="U22">
            <v>27</v>
          </cell>
          <cell r="V22">
            <v>48</v>
          </cell>
        </row>
        <row r="23">
          <cell r="A23" t="str">
            <v>RO</v>
          </cell>
          <cell r="B23">
            <v>9.49</v>
          </cell>
          <cell r="C23">
            <v>5.79</v>
          </cell>
          <cell r="D23">
            <v>19.989999999999998</v>
          </cell>
          <cell r="E23">
            <v>13.69</v>
          </cell>
          <cell r="F23">
            <v>18.989999999999998</v>
          </cell>
          <cell r="G23">
            <v>13.89</v>
          </cell>
          <cell r="H23">
            <v>13.49</v>
          </cell>
          <cell r="I23">
            <v>13.49</v>
          </cell>
          <cell r="J23">
            <v>8.99</v>
          </cell>
          <cell r="K23">
            <v>7.99</v>
          </cell>
          <cell r="L23">
            <v>19.989999999999998</v>
          </cell>
          <cell r="M23">
            <v>9.49</v>
          </cell>
          <cell r="N23">
            <v>18.989999999999998</v>
          </cell>
          <cell r="O23">
            <v>7.99</v>
          </cell>
          <cell r="P23">
            <v>8.6</v>
          </cell>
          <cell r="Q23">
            <v>4.99</v>
          </cell>
          <cell r="R23">
            <v>5.99</v>
          </cell>
          <cell r="S23">
            <v>36</v>
          </cell>
          <cell r="T23">
            <v>36</v>
          </cell>
          <cell r="U23">
            <v>27</v>
          </cell>
          <cell r="V23">
            <v>48</v>
          </cell>
        </row>
        <row r="24">
          <cell r="A24" t="str">
            <v>RR</v>
          </cell>
          <cell r="B24">
            <v>9.49</v>
          </cell>
          <cell r="C24">
            <v>5.79</v>
          </cell>
          <cell r="D24">
            <v>19.989999999999998</v>
          </cell>
          <cell r="E24">
            <v>13.69</v>
          </cell>
          <cell r="F24">
            <v>18.989999999999998</v>
          </cell>
          <cell r="G24">
            <v>13.89</v>
          </cell>
          <cell r="H24">
            <v>13.49</v>
          </cell>
          <cell r="I24">
            <v>13.49</v>
          </cell>
          <cell r="J24">
            <v>8.99</v>
          </cell>
          <cell r="K24">
            <v>7.99</v>
          </cell>
          <cell r="L24">
            <v>19.989999999999998</v>
          </cell>
          <cell r="M24">
            <v>9.49</v>
          </cell>
          <cell r="N24">
            <v>18.989999999999998</v>
          </cell>
          <cell r="O24">
            <v>7.99</v>
          </cell>
          <cell r="P24">
            <v>8.6</v>
          </cell>
          <cell r="Q24">
            <v>4.99</v>
          </cell>
          <cell r="R24">
            <v>5.99</v>
          </cell>
          <cell r="S24">
            <v>36</v>
          </cell>
          <cell r="T24">
            <v>36</v>
          </cell>
          <cell r="U24">
            <v>27</v>
          </cell>
          <cell r="V24">
            <v>48</v>
          </cell>
        </row>
        <row r="25">
          <cell r="A25" t="str">
            <v>RS</v>
          </cell>
          <cell r="B25">
            <v>9.49</v>
          </cell>
          <cell r="C25">
            <v>5.79</v>
          </cell>
          <cell r="D25">
            <v>19.989999999999998</v>
          </cell>
          <cell r="E25">
            <v>13.69</v>
          </cell>
          <cell r="F25">
            <v>18.989999999999998</v>
          </cell>
          <cell r="G25">
            <v>13.89</v>
          </cell>
          <cell r="H25">
            <v>13.49</v>
          </cell>
          <cell r="I25">
            <v>13.49</v>
          </cell>
          <cell r="J25">
            <v>9.99</v>
          </cell>
          <cell r="K25">
            <v>9.99</v>
          </cell>
          <cell r="L25">
            <v>24.99</v>
          </cell>
          <cell r="M25">
            <v>9.49</v>
          </cell>
          <cell r="N25">
            <v>18.989999999999998</v>
          </cell>
          <cell r="O25">
            <v>7.99</v>
          </cell>
          <cell r="P25">
            <v>8.6</v>
          </cell>
          <cell r="Q25">
            <v>4.99</v>
          </cell>
          <cell r="R25">
            <v>5.99</v>
          </cell>
          <cell r="S25">
            <v>36</v>
          </cell>
          <cell r="T25">
            <v>36</v>
          </cell>
          <cell r="U25">
            <v>27</v>
          </cell>
          <cell r="V25">
            <v>48</v>
          </cell>
        </row>
        <row r="26">
          <cell r="A26" t="str">
            <v>SC</v>
          </cell>
          <cell r="B26">
            <v>9.49</v>
          </cell>
          <cell r="C26">
            <v>5.79</v>
          </cell>
          <cell r="D26">
            <v>19.989999999999998</v>
          </cell>
          <cell r="E26">
            <v>13.69</v>
          </cell>
          <cell r="F26">
            <v>18.989999999999998</v>
          </cell>
          <cell r="G26">
            <v>13.89</v>
          </cell>
          <cell r="H26">
            <v>13.49</v>
          </cell>
          <cell r="I26">
            <v>13.49</v>
          </cell>
          <cell r="J26">
            <v>9.99</v>
          </cell>
          <cell r="K26">
            <v>9.99</v>
          </cell>
          <cell r="L26">
            <v>24.99</v>
          </cell>
          <cell r="M26">
            <v>9.49</v>
          </cell>
          <cell r="N26">
            <v>18.989999999999998</v>
          </cell>
          <cell r="O26">
            <v>7.99</v>
          </cell>
          <cell r="P26">
            <v>8.6</v>
          </cell>
          <cell r="Q26">
            <v>4.99</v>
          </cell>
          <cell r="R26">
            <v>5.99</v>
          </cell>
          <cell r="S26">
            <v>36</v>
          </cell>
          <cell r="T26">
            <v>36</v>
          </cell>
          <cell r="U26">
            <v>27</v>
          </cell>
          <cell r="V26">
            <v>48</v>
          </cell>
        </row>
        <row r="27">
          <cell r="A27" t="str">
            <v>SE</v>
          </cell>
          <cell r="B27">
            <v>9.49</v>
          </cell>
          <cell r="C27">
            <v>5.79</v>
          </cell>
          <cell r="D27">
            <v>19.989999999999998</v>
          </cell>
          <cell r="E27">
            <v>13.69</v>
          </cell>
          <cell r="F27">
            <v>18.989999999999998</v>
          </cell>
          <cell r="G27">
            <v>13.89</v>
          </cell>
          <cell r="H27">
            <v>13.49</v>
          </cell>
          <cell r="I27">
            <v>13.49</v>
          </cell>
          <cell r="J27">
            <v>8.99</v>
          </cell>
          <cell r="K27">
            <v>7.99</v>
          </cell>
          <cell r="L27">
            <v>19.989999999999998</v>
          </cell>
          <cell r="M27">
            <v>9.49</v>
          </cell>
          <cell r="N27">
            <v>18.989999999999998</v>
          </cell>
          <cell r="O27">
            <v>7.99</v>
          </cell>
          <cell r="P27">
            <v>8.6</v>
          </cell>
          <cell r="Q27">
            <v>4.99</v>
          </cell>
          <cell r="R27">
            <v>5.99</v>
          </cell>
          <cell r="S27">
            <v>36</v>
          </cell>
          <cell r="T27">
            <v>36</v>
          </cell>
          <cell r="U27">
            <v>27</v>
          </cell>
          <cell r="V27">
            <v>48</v>
          </cell>
        </row>
        <row r="28">
          <cell r="A28" t="str">
            <v>SP</v>
          </cell>
          <cell r="B28">
            <v>9.49</v>
          </cell>
          <cell r="C28">
            <v>5.79</v>
          </cell>
          <cell r="D28">
            <v>19.989999999999998</v>
          </cell>
          <cell r="E28">
            <v>13.69</v>
          </cell>
          <cell r="F28">
            <v>18.989999999999998</v>
          </cell>
          <cell r="G28">
            <v>13.89</v>
          </cell>
          <cell r="H28">
            <v>13.49</v>
          </cell>
          <cell r="I28">
            <v>13.49</v>
          </cell>
          <cell r="J28">
            <v>9.99</v>
          </cell>
          <cell r="K28">
            <v>9.99</v>
          </cell>
          <cell r="L28">
            <v>24.99</v>
          </cell>
          <cell r="M28">
            <v>9.49</v>
          </cell>
          <cell r="N28">
            <v>18.989999999999998</v>
          </cell>
          <cell r="O28">
            <v>7.99</v>
          </cell>
          <cell r="P28">
            <v>8.6</v>
          </cell>
          <cell r="Q28">
            <v>4.99</v>
          </cell>
          <cell r="R28">
            <v>5.99</v>
          </cell>
          <cell r="S28">
            <v>36</v>
          </cell>
          <cell r="T28">
            <v>36</v>
          </cell>
          <cell r="U28">
            <v>27</v>
          </cell>
          <cell r="V28">
            <v>48</v>
          </cell>
        </row>
        <row r="29">
          <cell r="A29" t="str">
            <v>SP/Atacado</v>
          </cell>
          <cell r="B29">
            <v>9.49</v>
          </cell>
          <cell r="C29">
            <v>5.79</v>
          </cell>
          <cell r="D29">
            <v>19.989999999999998</v>
          </cell>
          <cell r="E29">
            <v>13.69</v>
          </cell>
          <cell r="F29">
            <v>18.989999999999998</v>
          </cell>
          <cell r="G29">
            <v>13.89</v>
          </cell>
          <cell r="H29">
            <v>13.49</v>
          </cell>
          <cell r="I29">
            <v>13.49</v>
          </cell>
          <cell r="J29">
            <v>9.99</v>
          </cell>
          <cell r="K29">
            <v>9.99</v>
          </cell>
          <cell r="L29">
            <v>24.99</v>
          </cell>
          <cell r="M29">
            <v>9.49</v>
          </cell>
          <cell r="N29">
            <v>18.989999999999998</v>
          </cell>
          <cell r="O29">
            <v>7.99</v>
          </cell>
          <cell r="P29">
            <v>8.6</v>
          </cell>
          <cell r="Q29">
            <v>4.99</v>
          </cell>
          <cell r="R29">
            <v>5.99</v>
          </cell>
          <cell r="S29">
            <v>36</v>
          </cell>
          <cell r="T29">
            <v>36</v>
          </cell>
          <cell r="U29">
            <v>27</v>
          </cell>
          <cell r="V29">
            <v>48</v>
          </cell>
        </row>
        <row r="30">
          <cell r="A30" t="str">
            <v>TO</v>
          </cell>
          <cell r="B30">
            <v>9.49</v>
          </cell>
          <cell r="C30">
            <v>5.79</v>
          </cell>
          <cell r="D30">
            <v>19.989999999999998</v>
          </cell>
          <cell r="E30">
            <v>13.69</v>
          </cell>
          <cell r="F30">
            <v>18.989999999999998</v>
          </cell>
          <cell r="G30">
            <v>13.89</v>
          </cell>
          <cell r="H30">
            <v>13.49</v>
          </cell>
          <cell r="I30">
            <v>13.49</v>
          </cell>
          <cell r="J30">
            <v>8.99</v>
          </cell>
          <cell r="K30">
            <v>7.99</v>
          </cell>
          <cell r="L30">
            <v>19.989999999999998</v>
          </cell>
          <cell r="M30">
            <v>9.49</v>
          </cell>
          <cell r="N30">
            <v>18.989999999999998</v>
          </cell>
          <cell r="O30">
            <v>7.99</v>
          </cell>
          <cell r="P30">
            <v>8.6</v>
          </cell>
          <cell r="Q30">
            <v>4.99</v>
          </cell>
          <cell r="R30">
            <v>5.99</v>
          </cell>
          <cell r="S30">
            <v>36</v>
          </cell>
          <cell r="T30">
            <v>36</v>
          </cell>
          <cell r="U30">
            <v>27</v>
          </cell>
          <cell r="V30">
            <v>48</v>
          </cell>
        </row>
        <row r="31">
          <cell r="A31" t="str">
            <v>EX</v>
          </cell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S85"/>
  <sheetViews>
    <sheetView showGridLines="0" tabSelected="1" zoomScaleNormal="100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B9" sqref="B9"/>
    </sheetView>
  </sheetViews>
  <sheetFormatPr defaultRowHeight="14.4" x14ac:dyDescent="0.3"/>
  <cols>
    <col min="1" max="1" width="2.33203125" customWidth="1"/>
    <col min="2" max="2" width="26.5546875" customWidth="1"/>
    <col min="3" max="3" width="33.44140625" customWidth="1"/>
    <col min="4" max="4" width="19" customWidth="1"/>
    <col min="5" max="5" width="14" bestFit="1" customWidth="1"/>
    <col min="6" max="6" width="10.6640625" customWidth="1"/>
    <col min="7" max="7" width="14.33203125" customWidth="1"/>
    <col min="8" max="8" width="11.44140625" bestFit="1" customWidth="1"/>
    <col min="9" max="9" width="15.5546875" bestFit="1" customWidth="1"/>
    <col min="10" max="10" width="18.5546875" bestFit="1" customWidth="1"/>
    <col min="11" max="12" width="15" customWidth="1"/>
    <col min="13" max="13" width="13.5546875" customWidth="1"/>
    <col min="14" max="15" width="16.33203125" customWidth="1"/>
    <col min="16" max="16" width="14.33203125" customWidth="1"/>
    <col min="17" max="17" width="9.5546875" customWidth="1"/>
    <col min="18" max="18" width="14.33203125" bestFit="1" customWidth="1"/>
    <col min="19" max="19" width="17.6640625" bestFit="1" customWidth="1"/>
    <col min="23" max="23" width="19.33203125" customWidth="1"/>
  </cols>
  <sheetData>
    <row r="1" spans="1:19" x14ac:dyDescent="0.3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</row>
    <row r="2" spans="1:19" x14ac:dyDescent="0.3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</row>
    <row r="3" spans="1:19" x14ac:dyDescent="0.3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x14ac:dyDescent="0.3">
      <c r="A4" s="49"/>
      <c r="B4" s="49"/>
      <c r="C4" s="56" t="s">
        <v>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</row>
    <row r="5" spans="1:19" ht="15" thickBot="1" x14ac:dyDescent="0.3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</row>
    <row r="6" spans="1:19" ht="22.5" customHeight="1" thickBot="1" x14ac:dyDescent="0.35">
      <c r="A6" s="49"/>
      <c r="B6" s="57" t="s">
        <v>4</v>
      </c>
      <c r="C6" s="22"/>
      <c r="D6" s="23"/>
      <c r="E6" s="23"/>
      <c r="F6" s="23"/>
      <c r="G6" s="23"/>
      <c r="H6" s="23"/>
      <c r="I6" s="23"/>
      <c r="J6" s="58" t="s">
        <v>5</v>
      </c>
      <c r="K6" s="24"/>
      <c r="L6" s="59" t="s">
        <v>6</v>
      </c>
      <c r="M6" s="17"/>
      <c r="N6" s="17"/>
      <c r="O6" s="17"/>
      <c r="P6" s="17"/>
      <c r="Q6" s="17"/>
      <c r="R6" s="25"/>
      <c r="S6" s="26"/>
    </row>
    <row r="7" spans="1:19" ht="22.5" customHeight="1" thickBot="1" x14ac:dyDescent="0.35">
      <c r="A7" s="49"/>
      <c r="B7" s="60" t="s">
        <v>7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8</v>
      </c>
      <c r="M7" s="18"/>
      <c r="N7" s="18"/>
      <c r="O7" s="18"/>
      <c r="P7" s="21"/>
      <c r="Q7" s="62" t="s">
        <v>9</v>
      </c>
      <c r="R7" s="185" t="s">
        <v>10</v>
      </c>
      <c r="S7" s="186"/>
    </row>
    <row r="8" spans="1:19" ht="30" customHeight="1" thickBot="1" x14ac:dyDescent="0.35">
      <c r="A8" s="49"/>
      <c r="B8" s="63" t="s">
        <v>11</v>
      </c>
      <c r="C8" s="22"/>
      <c r="D8" s="23"/>
      <c r="E8" s="23"/>
      <c r="F8" s="24"/>
      <c r="G8" s="64" t="s">
        <v>12</v>
      </c>
      <c r="H8" s="19"/>
      <c r="I8" s="20"/>
      <c r="J8" s="65" t="s">
        <v>13</v>
      </c>
      <c r="K8" s="29" t="s">
        <v>14</v>
      </c>
      <c r="L8" s="66" t="s">
        <v>15</v>
      </c>
      <c r="M8" s="20"/>
      <c r="N8" s="20"/>
      <c r="O8" s="20"/>
      <c r="P8" s="30"/>
      <c r="Q8" s="67" t="s">
        <v>16</v>
      </c>
      <c r="R8" s="31"/>
      <c r="S8" s="32"/>
    </row>
    <row r="9" spans="1:19" s="50" customFormat="1" ht="17.399999999999999" x14ac:dyDescent="0.3">
      <c r="A9" s="68"/>
      <c r="B9" s="69" t="str">
        <f>PREÇOS!A1</f>
        <v>0325E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</row>
    <row r="10" spans="1:19" ht="28.2" thickBot="1" x14ac:dyDescent="0.35">
      <c r="A10" s="49"/>
      <c r="B10" s="107" t="s">
        <v>17</v>
      </c>
      <c r="C10" s="107"/>
      <c r="D10" s="71" t="s">
        <v>18</v>
      </c>
      <c r="E10" s="71" t="s">
        <v>19</v>
      </c>
      <c r="F10" s="71" t="s">
        <v>20</v>
      </c>
      <c r="G10" s="71" t="s">
        <v>21</v>
      </c>
      <c r="H10" s="71" t="s">
        <v>22</v>
      </c>
      <c r="I10" s="71" t="s">
        <v>23</v>
      </c>
      <c r="J10" s="71" t="s">
        <v>24</v>
      </c>
      <c r="K10" s="71" t="s">
        <v>25</v>
      </c>
      <c r="L10" s="71" t="s">
        <v>26</v>
      </c>
      <c r="M10" s="71" t="s">
        <v>27</v>
      </c>
      <c r="N10" s="71" t="s">
        <v>28</v>
      </c>
      <c r="O10" s="71" t="s">
        <v>154</v>
      </c>
      <c r="P10" s="71" t="s">
        <v>29</v>
      </c>
      <c r="Q10" s="71" t="s">
        <v>30</v>
      </c>
      <c r="R10" s="71" t="s">
        <v>31</v>
      </c>
      <c r="S10" s="71" t="s">
        <v>32</v>
      </c>
    </row>
    <row r="11" spans="1:19" ht="15" thickTop="1" x14ac:dyDescent="0.3">
      <c r="A11" s="49"/>
      <c r="B11" s="187" t="s">
        <v>33</v>
      </c>
      <c r="C11" s="188"/>
      <c r="D11" s="108">
        <v>5313</v>
      </c>
      <c r="E11" s="108" t="s">
        <v>34</v>
      </c>
      <c r="F11" s="108" t="s">
        <v>35</v>
      </c>
      <c r="G11" s="110">
        <f>VLOOKUP($R$7,'PSC PAPAPA'!$A$2:$L$31,9,FALSE)</f>
        <v>13.49</v>
      </c>
      <c r="H11" s="33" t="s">
        <v>36</v>
      </c>
      <c r="I11" s="33">
        <v>7898969895316</v>
      </c>
      <c r="J11" s="33">
        <v>17898969895313</v>
      </c>
      <c r="K11" s="109">
        <f>VLOOKUP($R$7,'ST BISCOITINHOS'!A:B,2,FALSE)</f>
        <v>0.12</v>
      </c>
      <c r="L11" s="110">
        <f>VLOOKUP($R$7,PREÇOS!$A$2:$L$31,9,FALSE)*90%</f>
        <v>8.0091000000000019</v>
      </c>
      <c r="M11" s="111">
        <f>L11*12</f>
        <v>96.109200000000016</v>
      </c>
      <c r="N11" s="114">
        <v>0</v>
      </c>
      <c r="O11" s="114">
        <v>0</v>
      </c>
      <c r="P11" s="43">
        <f>(L11+N11)*12</f>
        <v>96.109200000000016</v>
      </c>
      <c r="Q11" s="112"/>
      <c r="R11" s="113">
        <f t="shared" ref="R11:R12" si="0">Q11*M11</f>
        <v>0</v>
      </c>
      <c r="S11" s="43">
        <f t="shared" ref="S11:S12" si="1">Q11*P11</f>
        <v>0</v>
      </c>
    </row>
    <row r="12" spans="1:19" x14ac:dyDescent="0.3">
      <c r="A12" s="49"/>
      <c r="B12" s="179" t="s">
        <v>37</v>
      </c>
      <c r="C12" s="183"/>
      <c r="D12" s="72">
        <v>5320</v>
      </c>
      <c r="E12" s="73" t="s">
        <v>34</v>
      </c>
      <c r="F12" s="73" t="s">
        <v>35</v>
      </c>
      <c r="G12" s="44">
        <f>VLOOKUP($R$7,'PSC PAPAPA'!$A$2:$L$31,9,FALSE)</f>
        <v>13.49</v>
      </c>
      <c r="H12" s="72" t="s">
        <v>36</v>
      </c>
      <c r="I12" s="72">
        <v>7898969895323</v>
      </c>
      <c r="J12" s="72">
        <v>17898969895320</v>
      </c>
      <c r="K12" s="74">
        <f>VLOOKUP($R$7,'ST BISCOITINHOS'!A:B,2,FALSE)</f>
        <v>0.12</v>
      </c>
      <c r="L12" s="44">
        <f>VLOOKUP($R$7,PREÇOS!$A$2:$L$31,9,FALSE)*90%</f>
        <v>8.0091000000000019</v>
      </c>
      <c r="M12" s="45">
        <f>L12*12</f>
        <v>96.109200000000016</v>
      </c>
      <c r="N12" s="115">
        <v>0</v>
      </c>
      <c r="O12" s="115">
        <v>0</v>
      </c>
      <c r="P12" s="46">
        <f>(L12+N12)*12</f>
        <v>96.109200000000016</v>
      </c>
      <c r="Q12" s="41"/>
      <c r="R12" s="47">
        <f t="shared" si="0"/>
        <v>0</v>
      </c>
      <c r="S12" s="46">
        <f t="shared" si="1"/>
        <v>0</v>
      </c>
    </row>
    <row r="13" spans="1:19" x14ac:dyDescent="0.3">
      <c r="A13" s="49"/>
      <c r="B13" s="107"/>
      <c r="C13" s="107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</row>
    <row r="14" spans="1:19" x14ac:dyDescent="0.3">
      <c r="A14" s="49"/>
      <c r="B14" s="181" t="s">
        <v>38</v>
      </c>
      <c r="C14" s="183"/>
      <c r="D14" s="35">
        <v>5563</v>
      </c>
      <c r="E14" s="34" t="s">
        <v>39</v>
      </c>
      <c r="F14" s="34" t="s">
        <v>40</v>
      </c>
      <c r="G14" s="37">
        <f>VLOOKUP($R$7,'PSC PAPAPA'!$A$2:$M$31,13,FALSE)</f>
        <v>9.49</v>
      </c>
      <c r="H14" s="35" t="s">
        <v>36</v>
      </c>
      <c r="I14" s="35">
        <v>7898969895569</v>
      </c>
      <c r="J14" s="35">
        <v>27898969895563</v>
      </c>
      <c r="K14" s="36">
        <f>VLOOKUP($R$7,'ST BISCOITINHOS'!A:B,2,FALSE)</f>
        <v>0.12</v>
      </c>
      <c r="L14" s="37">
        <f>VLOOKUP($R$7,PREÇOS!$A$2:$M$31,13,FALSE)*90%</f>
        <v>5.1029999999999998</v>
      </c>
      <c r="M14" s="38">
        <f>L14*16</f>
        <v>81.647999999999996</v>
      </c>
      <c r="N14" s="39">
        <v>0</v>
      </c>
      <c r="O14" s="39">
        <v>0</v>
      </c>
      <c r="P14" s="40">
        <f>M14</f>
        <v>81.647999999999996</v>
      </c>
      <c r="Q14" s="41"/>
      <c r="R14" s="42">
        <f t="shared" ref="R14:R15" si="2">Q14*M14</f>
        <v>0</v>
      </c>
      <c r="S14" s="40">
        <f t="shared" ref="S14:S15" si="3">Q14*P14</f>
        <v>0</v>
      </c>
    </row>
    <row r="15" spans="1:19" x14ac:dyDescent="0.3">
      <c r="A15" s="49"/>
      <c r="B15" s="179" t="s">
        <v>41</v>
      </c>
      <c r="C15" s="183"/>
      <c r="D15" s="72">
        <v>5570</v>
      </c>
      <c r="E15" s="72" t="s">
        <v>39</v>
      </c>
      <c r="F15" s="72" t="s">
        <v>40</v>
      </c>
      <c r="G15" s="44">
        <f>VLOOKUP($R$7,'PSC PAPAPA'!$A$2:$M$31,13,FALSE)</f>
        <v>9.49</v>
      </c>
      <c r="H15" s="73" t="s">
        <v>36</v>
      </c>
      <c r="I15" s="72">
        <v>7898969895576</v>
      </c>
      <c r="J15" s="72">
        <v>27898969895570</v>
      </c>
      <c r="K15" s="74">
        <f>VLOOKUP($R$7,'ST BISCOITINHOS'!A:B,2,FALSE)</f>
        <v>0.12</v>
      </c>
      <c r="L15" s="44">
        <f>VLOOKUP($R$7,PREÇOS!$A$2:$M$31,13,FALSE)*90%</f>
        <v>5.1029999999999998</v>
      </c>
      <c r="M15" s="45">
        <f>L15*16</f>
        <v>81.647999999999996</v>
      </c>
      <c r="N15" s="75">
        <v>0</v>
      </c>
      <c r="O15" s="75">
        <v>0</v>
      </c>
      <c r="P15" s="46">
        <f>M15</f>
        <v>81.647999999999996</v>
      </c>
      <c r="Q15" s="41"/>
      <c r="R15" s="47">
        <f t="shared" si="2"/>
        <v>0</v>
      </c>
      <c r="S15" s="46">
        <f t="shared" si="3"/>
        <v>0</v>
      </c>
    </row>
    <row r="16" spans="1:19" x14ac:dyDescent="0.3">
      <c r="A16" s="49"/>
      <c r="B16" s="107"/>
      <c r="C16" s="107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</row>
    <row r="17" spans="1:19" x14ac:dyDescent="0.3">
      <c r="A17" s="49"/>
      <c r="B17" s="181" t="s">
        <v>42</v>
      </c>
      <c r="C17" s="183"/>
      <c r="D17" s="35">
        <v>17898994908729</v>
      </c>
      <c r="E17" s="34" t="s">
        <v>43</v>
      </c>
      <c r="F17" s="34" t="s">
        <v>44</v>
      </c>
      <c r="G17" s="37">
        <f>VLOOKUP($R$7,'PSC PAPAPA'!$A$2:$L$31,2,FALSE)</f>
        <v>9.49</v>
      </c>
      <c r="H17" s="35" t="s">
        <v>36</v>
      </c>
      <c r="I17" s="35" t="s">
        <v>45</v>
      </c>
      <c r="J17" s="35">
        <v>17898994908729</v>
      </c>
      <c r="K17" s="36">
        <f>VLOOKUP($R$7,'ST BISCOITINHOS'!A:B,2,FALSE)</f>
        <v>0.12</v>
      </c>
      <c r="L17" s="37">
        <f>VLOOKUP($R$7,PREÇOS!$A$2:$L$31,2,FALSE)*90%</f>
        <v>5.6160000000000005</v>
      </c>
      <c r="M17" s="38">
        <f>L17*12</f>
        <v>67.39200000000001</v>
      </c>
      <c r="N17" s="39">
        <v>0</v>
      </c>
      <c r="O17" s="39">
        <v>0</v>
      </c>
      <c r="P17" s="40">
        <f>M17</f>
        <v>67.39200000000001</v>
      </c>
      <c r="Q17" s="41"/>
      <c r="R17" s="42">
        <f t="shared" ref="R17:R36" si="4">Q17*M17</f>
        <v>0</v>
      </c>
      <c r="S17" s="40">
        <f t="shared" ref="S17:S36" si="5">Q17*P17</f>
        <v>0</v>
      </c>
    </row>
    <row r="18" spans="1:19" x14ac:dyDescent="0.3">
      <c r="A18" s="49"/>
      <c r="B18" s="179" t="s">
        <v>46</v>
      </c>
      <c r="C18" s="183"/>
      <c r="D18" s="72">
        <v>17898994908736</v>
      </c>
      <c r="E18" s="73" t="s">
        <v>43</v>
      </c>
      <c r="F18" s="73" t="s">
        <v>44</v>
      </c>
      <c r="G18" s="44">
        <f>VLOOKUP($R$7,'PSC PAPAPA'!$A$2:$L$31,2,FALSE)</f>
        <v>9.49</v>
      </c>
      <c r="H18" s="72" t="s">
        <v>36</v>
      </c>
      <c r="I18" s="72" t="s">
        <v>47</v>
      </c>
      <c r="J18" s="72">
        <v>17898994908736</v>
      </c>
      <c r="K18" s="74">
        <f>VLOOKUP($R$7,'ST BISCOITINHOS'!A:B,2,FALSE)</f>
        <v>0.12</v>
      </c>
      <c r="L18" s="44">
        <f>VLOOKUP($R$7,PREÇOS!$A$2:$L$31,2,FALSE)*90%</f>
        <v>5.6160000000000005</v>
      </c>
      <c r="M18" s="45">
        <f t="shared" ref="M18:M22" si="6">L18*12</f>
        <v>67.39200000000001</v>
      </c>
      <c r="N18" s="75">
        <v>0</v>
      </c>
      <c r="O18" s="75">
        <v>0</v>
      </c>
      <c r="P18" s="46">
        <f>M18</f>
        <v>67.39200000000001</v>
      </c>
      <c r="Q18" s="41"/>
      <c r="R18" s="47">
        <f t="shared" si="4"/>
        <v>0</v>
      </c>
      <c r="S18" s="46">
        <f t="shared" si="5"/>
        <v>0</v>
      </c>
    </row>
    <row r="19" spans="1:19" x14ac:dyDescent="0.3">
      <c r="A19" s="49"/>
      <c r="B19" s="181" t="s">
        <v>48</v>
      </c>
      <c r="C19" s="183"/>
      <c r="D19" s="35">
        <v>17898994908712</v>
      </c>
      <c r="E19" s="34" t="s">
        <v>43</v>
      </c>
      <c r="F19" s="34" t="s">
        <v>44</v>
      </c>
      <c r="G19" s="37">
        <f>VLOOKUP($R$7,'PSC PAPAPA'!$A$2:$L$31,2,FALSE)</f>
        <v>9.49</v>
      </c>
      <c r="H19" s="35" t="s">
        <v>36</v>
      </c>
      <c r="I19" s="35" t="s">
        <v>49</v>
      </c>
      <c r="J19" s="35">
        <v>17898994908712</v>
      </c>
      <c r="K19" s="36">
        <f>VLOOKUP($R$7,'ST BISCOITINHOS'!A:B,2,FALSE)</f>
        <v>0.12</v>
      </c>
      <c r="L19" s="37">
        <f>VLOOKUP($R$7,PREÇOS!$A$2:$L$31,2,FALSE)*90%</f>
        <v>5.6160000000000005</v>
      </c>
      <c r="M19" s="38">
        <f t="shared" si="6"/>
        <v>67.39200000000001</v>
      </c>
      <c r="N19" s="39">
        <v>0</v>
      </c>
      <c r="O19" s="39">
        <v>0</v>
      </c>
      <c r="P19" s="40">
        <f>M19</f>
        <v>67.39200000000001</v>
      </c>
      <c r="Q19" s="41"/>
      <c r="R19" s="42">
        <f t="shared" si="4"/>
        <v>0</v>
      </c>
      <c r="S19" s="40">
        <f t="shared" si="5"/>
        <v>0</v>
      </c>
    </row>
    <row r="20" spans="1:19" x14ac:dyDescent="0.3">
      <c r="A20" s="49"/>
      <c r="B20" s="179" t="s">
        <v>50</v>
      </c>
      <c r="C20" s="183"/>
      <c r="D20" s="72">
        <v>17898994908750</v>
      </c>
      <c r="E20" s="73" t="s">
        <v>43</v>
      </c>
      <c r="F20" s="73" t="s">
        <v>44</v>
      </c>
      <c r="G20" s="44">
        <f>VLOOKUP($R$7,'PSC PAPAPA'!$A$2:$L$31,2,FALSE)</f>
        <v>9.49</v>
      </c>
      <c r="H20" s="72" t="s">
        <v>36</v>
      </c>
      <c r="I20" s="72" t="s">
        <v>51</v>
      </c>
      <c r="J20" s="72">
        <v>17898994908750</v>
      </c>
      <c r="K20" s="74">
        <f>VLOOKUP($R$7,'ST BISCOITINHOS'!A:B,2,FALSE)</f>
        <v>0.12</v>
      </c>
      <c r="L20" s="44">
        <f>VLOOKUP($R$7,PREÇOS!$A$2:$L$31,2,FALSE)*90%</f>
        <v>5.6160000000000005</v>
      </c>
      <c r="M20" s="45">
        <f t="shared" si="6"/>
        <v>67.39200000000001</v>
      </c>
      <c r="N20" s="75">
        <v>0</v>
      </c>
      <c r="O20" s="75">
        <v>0</v>
      </c>
      <c r="P20" s="46">
        <f>M20</f>
        <v>67.39200000000001</v>
      </c>
      <c r="Q20" s="41"/>
      <c r="R20" s="47">
        <f t="shared" si="4"/>
        <v>0</v>
      </c>
      <c r="S20" s="46">
        <f t="shared" si="5"/>
        <v>0</v>
      </c>
    </row>
    <row r="21" spans="1:19" x14ac:dyDescent="0.3">
      <c r="A21" s="49"/>
      <c r="B21" s="181" t="s">
        <v>52</v>
      </c>
      <c r="C21" s="183"/>
      <c r="D21" s="35">
        <v>27898994908757</v>
      </c>
      <c r="E21" s="34" t="s">
        <v>43</v>
      </c>
      <c r="F21" s="34" t="s">
        <v>44</v>
      </c>
      <c r="G21" s="37">
        <f>VLOOKUP($R$7,'PSC PAPAPA'!$A$2:$L$31,2,FALSE)</f>
        <v>9.49</v>
      </c>
      <c r="H21" s="35" t="s">
        <v>36</v>
      </c>
      <c r="I21" s="35" t="s">
        <v>53</v>
      </c>
      <c r="J21" s="35">
        <v>27898994908757</v>
      </c>
      <c r="K21" s="36">
        <f>VLOOKUP($R$7,'ST BISCOITINHOS'!A:B,2,FALSE)</f>
        <v>0.12</v>
      </c>
      <c r="L21" s="37">
        <f>VLOOKUP($R$7,PREÇOS!$A$2:$L$31,2,FALSE)*90%</f>
        <v>5.6160000000000005</v>
      </c>
      <c r="M21" s="38">
        <f t="shared" si="6"/>
        <v>67.39200000000001</v>
      </c>
      <c r="N21" s="39">
        <v>0</v>
      </c>
      <c r="O21" s="39">
        <v>0</v>
      </c>
      <c r="P21" s="40">
        <f>M21</f>
        <v>67.39200000000001</v>
      </c>
      <c r="Q21" s="41"/>
      <c r="R21" s="42">
        <f t="shared" si="4"/>
        <v>0</v>
      </c>
      <c r="S21" s="40">
        <f t="shared" si="5"/>
        <v>0</v>
      </c>
    </row>
    <row r="22" spans="1:19" x14ac:dyDescent="0.3">
      <c r="A22" s="49"/>
      <c r="B22" s="179" t="s">
        <v>54</v>
      </c>
      <c r="C22" s="180"/>
      <c r="D22" s="72">
        <v>5306</v>
      </c>
      <c r="E22" s="73" t="s">
        <v>43</v>
      </c>
      <c r="F22" s="73" t="s">
        <v>44</v>
      </c>
      <c r="G22" s="44">
        <f>VLOOKUP($R$7,'PSC PAPAPA'!$A$2:$L$31,2,FALSE)</f>
        <v>9.49</v>
      </c>
      <c r="H22" s="72" t="s">
        <v>36</v>
      </c>
      <c r="I22" s="72">
        <v>7898969895309</v>
      </c>
      <c r="J22" s="72">
        <v>17898969895306</v>
      </c>
      <c r="K22" s="74">
        <f>VLOOKUP($R$7,'ST BISCOITINHOS'!A:B,2,FALSE)</f>
        <v>0.12</v>
      </c>
      <c r="L22" s="44">
        <f>VLOOKUP($R$7,PREÇOS!$A$2:$L$31,2,FALSE)*90%</f>
        <v>5.6160000000000005</v>
      </c>
      <c r="M22" s="45">
        <f t="shared" si="6"/>
        <v>67.39200000000001</v>
      </c>
      <c r="N22" s="75">
        <v>0</v>
      </c>
      <c r="O22" s="75">
        <v>0</v>
      </c>
      <c r="P22" s="46">
        <f t="shared" ref="P22" si="7">M22</f>
        <v>67.39200000000001</v>
      </c>
      <c r="Q22" s="41"/>
      <c r="R22" s="47">
        <f t="shared" si="4"/>
        <v>0</v>
      </c>
      <c r="S22" s="46">
        <f t="shared" si="5"/>
        <v>0</v>
      </c>
    </row>
    <row r="23" spans="1:19" x14ac:dyDescent="0.3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</row>
    <row r="24" spans="1:19" x14ac:dyDescent="0.3">
      <c r="A24" s="49"/>
      <c r="B24" s="181" t="s">
        <v>55</v>
      </c>
      <c r="C24" s="183"/>
      <c r="D24" s="35">
        <v>5085</v>
      </c>
      <c r="E24" s="34" t="s">
        <v>56</v>
      </c>
      <c r="F24" s="34" t="s">
        <v>57</v>
      </c>
      <c r="G24" s="37">
        <f>VLOOKUP($R$7,'PSC PAPAPA'!$A$2:$L$31,3,FALSE)</f>
        <v>5.79</v>
      </c>
      <c r="H24" s="35" t="s">
        <v>58</v>
      </c>
      <c r="I24" s="35">
        <v>7898969895088</v>
      </c>
      <c r="J24" s="35">
        <v>17898969895085</v>
      </c>
      <c r="K24" s="36">
        <f>VLOOKUP($R$7,'ST PALITINHOS'!A:B,2,FALSE)</f>
        <v>0.12</v>
      </c>
      <c r="L24" s="37">
        <f>VLOOKUP($R$7,PREÇOS!$A$2:$L$31,3,FALSE)*90%</f>
        <v>3.4019999999999997</v>
      </c>
      <c r="M24" s="38">
        <f>L24*16</f>
        <v>54.431999999999995</v>
      </c>
      <c r="N24" s="39">
        <f>IF($K$8="SIM",VLOOKUP($R$7,'ST PALITINHOS'!$A$1:$J$31,10,FALSE),VLOOKUP($R$7,'ST PALITINHOS'!$A$1:$J$31,9,FALSE))</f>
        <v>0.78988769999999997</v>
      </c>
      <c r="O24" s="39">
        <v>0</v>
      </c>
      <c r="P24" s="40">
        <f>(L24+N24)*16</f>
        <v>67.070203199999995</v>
      </c>
      <c r="Q24" s="41"/>
      <c r="R24" s="42">
        <f t="shared" si="4"/>
        <v>0</v>
      </c>
      <c r="S24" s="40">
        <f t="shared" si="5"/>
        <v>0</v>
      </c>
    </row>
    <row r="25" spans="1:19" x14ac:dyDescent="0.3">
      <c r="A25" s="49"/>
      <c r="B25" s="179" t="s">
        <v>59</v>
      </c>
      <c r="C25" s="183"/>
      <c r="D25" s="72">
        <v>5078</v>
      </c>
      <c r="E25" s="73" t="s">
        <v>56</v>
      </c>
      <c r="F25" s="73" t="s">
        <v>57</v>
      </c>
      <c r="G25" s="44">
        <f>VLOOKUP($R$7,'PSC PAPAPA'!$A$2:$L$31,3,FALSE)</f>
        <v>5.79</v>
      </c>
      <c r="H25" s="72" t="s">
        <v>58</v>
      </c>
      <c r="I25" s="72">
        <v>7898969895071</v>
      </c>
      <c r="J25" s="72">
        <v>17898969895078</v>
      </c>
      <c r="K25" s="74">
        <f>VLOOKUP($R$7,'ST PALITINHOS'!A:B,2,FALSE)</f>
        <v>0.12</v>
      </c>
      <c r="L25" s="44">
        <f>VLOOKUP($R$7,PREÇOS!$A$2:$L$31,3,FALSE)*90%</f>
        <v>3.4019999999999997</v>
      </c>
      <c r="M25" s="45">
        <f>L25*16</f>
        <v>54.431999999999995</v>
      </c>
      <c r="N25" s="75">
        <f>IF($K$8="SIM",VLOOKUP($R$7,'ST PALITINHOS'!$A$1:$J$31,10,FALSE),VLOOKUP($R$7,'ST PALITINHOS'!$A$1:$J$31,9,FALSE))</f>
        <v>0.78988769999999997</v>
      </c>
      <c r="O25" s="75">
        <v>0</v>
      </c>
      <c r="P25" s="46">
        <f>(L25+N25)*16</f>
        <v>67.070203199999995</v>
      </c>
      <c r="Q25" s="41"/>
      <c r="R25" s="47">
        <f t="shared" si="4"/>
        <v>0</v>
      </c>
      <c r="S25" s="46">
        <f t="shared" si="5"/>
        <v>0</v>
      </c>
    </row>
    <row r="26" spans="1:19" x14ac:dyDescent="0.3">
      <c r="A26" s="49"/>
      <c r="B26" s="181" t="s">
        <v>60</v>
      </c>
      <c r="C26" s="183"/>
      <c r="D26" s="35">
        <v>5061</v>
      </c>
      <c r="E26" s="34" t="s">
        <v>56</v>
      </c>
      <c r="F26" s="34" t="s">
        <v>57</v>
      </c>
      <c r="G26" s="37">
        <f>VLOOKUP($R$7,'PSC PAPAPA'!$A$2:$L$31,3,FALSE)</f>
        <v>5.79</v>
      </c>
      <c r="H26" s="35" t="s">
        <v>58</v>
      </c>
      <c r="I26" s="35">
        <v>7898969895064</v>
      </c>
      <c r="J26" s="35">
        <v>17898969895061</v>
      </c>
      <c r="K26" s="36">
        <f>VLOOKUP($R$7,'ST PALITINHOS'!A:B,2,FALSE)</f>
        <v>0.12</v>
      </c>
      <c r="L26" s="37">
        <f>VLOOKUP($R$7,PREÇOS!$A$2:$L$31,3,FALSE)*90%</f>
        <v>3.4019999999999997</v>
      </c>
      <c r="M26" s="38">
        <f>L26*16</f>
        <v>54.431999999999995</v>
      </c>
      <c r="N26" s="39">
        <f>IF($K$8="SIM",VLOOKUP($R$7,'ST PALITINHOS'!$A$1:$J$31,10,FALSE),VLOOKUP($R$7,'ST PALITINHOS'!$A$1:$J$31,9,FALSE))</f>
        <v>0.78988769999999997</v>
      </c>
      <c r="O26" s="39">
        <v>0</v>
      </c>
      <c r="P26" s="40">
        <f>(L26+N26)*16</f>
        <v>67.070203199999995</v>
      </c>
      <c r="Q26" s="41"/>
      <c r="R26" s="42">
        <f t="shared" si="4"/>
        <v>0</v>
      </c>
      <c r="S26" s="40">
        <f t="shared" si="5"/>
        <v>0</v>
      </c>
    </row>
    <row r="27" spans="1:19" x14ac:dyDescent="0.3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</row>
    <row r="28" spans="1:19" x14ac:dyDescent="0.3">
      <c r="A28" s="49"/>
      <c r="B28" s="181" t="s">
        <v>61</v>
      </c>
      <c r="C28" s="183"/>
      <c r="D28" s="35">
        <v>8774</v>
      </c>
      <c r="E28" s="34" t="s">
        <v>62</v>
      </c>
      <c r="F28" s="34" t="s">
        <v>40</v>
      </c>
      <c r="G28" s="37">
        <f>VLOOKUP($R$7,'PSC PAPAPA'!$A$2:$L$31,4,FALSE)</f>
        <v>19.989999999999998</v>
      </c>
      <c r="H28" s="35" t="s">
        <v>63</v>
      </c>
      <c r="I28" s="35">
        <v>7898994908777</v>
      </c>
      <c r="J28" s="35">
        <v>17898994908774</v>
      </c>
      <c r="K28" s="36">
        <f>VLOOKUP($R$7,'ST BISCOITINHOS'!A:B,2,FALSE)</f>
        <v>0.12</v>
      </c>
      <c r="L28" s="37">
        <f>VLOOKUP($R$7,PREÇOS!$A$2:$L$31,4,FALSE)*90%</f>
        <v>11.661659999999999</v>
      </c>
      <c r="M28" s="38">
        <f>L28*12</f>
        <v>139.93992</v>
      </c>
      <c r="N28" s="39">
        <f>IF($K$8="SIM",VLOOKUP($R$7,'ST BISCOITINHOS'!$A$1:$J$31,10,FALSE),VLOOKUP($R$7,'ST BISCOITINHOS'!$A$1:$J$31,9,FALSE))</f>
        <v>0</v>
      </c>
      <c r="O28" s="39">
        <v>0</v>
      </c>
      <c r="P28" s="40">
        <f>(L28+N28)*12</f>
        <v>139.93992</v>
      </c>
      <c r="Q28" s="41"/>
      <c r="R28" s="42">
        <f t="shared" si="4"/>
        <v>0</v>
      </c>
      <c r="S28" s="40">
        <f t="shared" si="5"/>
        <v>0</v>
      </c>
    </row>
    <row r="29" spans="1:19" x14ac:dyDescent="0.3">
      <c r="A29" s="49"/>
      <c r="B29" s="179" t="s">
        <v>64</v>
      </c>
      <c r="C29" s="183"/>
      <c r="D29" s="72">
        <v>8767</v>
      </c>
      <c r="E29" s="73" t="s">
        <v>62</v>
      </c>
      <c r="F29" s="73" t="s">
        <v>40</v>
      </c>
      <c r="G29" s="44">
        <f>VLOOKUP($R$7,'PSC PAPAPA'!$A$2:$L$31,4,FALSE)</f>
        <v>19.989999999999998</v>
      </c>
      <c r="H29" s="72" t="s">
        <v>63</v>
      </c>
      <c r="I29" s="72">
        <v>7898994908760</v>
      </c>
      <c r="J29" s="72">
        <v>17898994908767</v>
      </c>
      <c r="K29" s="74">
        <f>VLOOKUP($R$7,'ST BISCOITINHOS'!A:B,2,FALSE)</f>
        <v>0.12</v>
      </c>
      <c r="L29" s="44">
        <f>VLOOKUP($R$7,PREÇOS!$A$2:$L$31,4,FALSE)*90%</f>
        <v>11.661659999999999</v>
      </c>
      <c r="M29" s="45">
        <f>L29*12</f>
        <v>139.93992</v>
      </c>
      <c r="N29" s="75">
        <f>IF($K$8="SIM",VLOOKUP($R$7,'ST BISCOITINHOS'!$A$1:$J$31,10,FALSE),VLOOKUP($R$7,'ST BISCOITINHOS'!$A$1:$J$31,9,FALSE))</f>
        <v>0</v>
      </c>
      <c r="O29" s="75">
        <v>0</v>
      </c>
      <c r="P29" s="46">
        <f>(L29+N29)*12</f>
        <v>139.93992</v>
      </c>
      <c r="Q29" s="41"/>
      <c r="R29" s="47">
        <f t="shared" si="4"/>
        <v>0</v>
      </c>
      <c r="S29" s="46">
        <f t="shared" si="5"/>
        <v>0</v>
      </c>
    </row>
    <row r="30" spans="1:19" x14ac:dyDescent="0.3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</row>
    <row r="31" spans="1:19" x14ac:dyDescent="0.3">
      <c r="A31" s="49"/>
      <c r="B31" s="181" t="s">
        <v>65</v>
      </c>
      <c r="C31" s="183"/>
      <c r="D31" s="35">
        <v>5290</v>
      </c>
      <c r="E31" s="34" t="s">
        <v>66</v>
      </c>
      <c r="F31" s="34" t="s">
        <v>67</v>
      </c>
      <c r="G31" s="37">
        <f>VLOOKUP($R$7,'PSC PAPAPA'!$A$2:$L$31,5,FALSE)</f>
        <v>13.69</v>
      </c>
      <c r="H31" s="35" t="s">
        <v>68</v>
      </c>
      <c r="I31" s="35">
        <v>7898969895293</v>
      </c>
      <c r="J31" s="35">
        <v>17898969895293</v>
      </c>
      <c r="K31" s="36">
        <f>VLOOKUP($R$7,'ST PAPAPASTA'!A:B,2,FALSE)</f>
        <v>0.12</v>
      </c>
      <c r="L31" s="37">
        <f>VLOOKUP($R$7,PREÇOS!$A$2:$L$31,5,FALSE)*90%</f>
        <v>7.6049999999999995</v>
      </c>
      <c r="M31" s="38">
        <f>L31*12</f>
        <v>91.259999999999991</v>
      </c>
      <c r="N31" s="39">
        <f>IF($K$8="SIM",VLOOKUP($R$7,'ST PAPAPASTA'!$A$1:$J$31,10,FALSE),VLOOKUP($R$7,'ST PAPAPASTA'!$A$1:$J$31,9,FALSE))</f>
        <v>0</v>
      </c>
      <c r="O31" s="39">
        <v>0</v>
      </c>
      <c r="P31" s="40">
        <f>(L31+N31)*12</f>
        <v>91.259999999999991</v>
      </c>
      <c r="Q31" s="41"/>
      <c r="R31" s="42">
        <f t="shared" si="4"/>
        <v>0</v>
      </c>
      <c r="S31" s="40">
        <f t="shared" si="5"/>
        <v>0</v>
      </c>
    </row>
    <row r="32" spans="1:19" x14ac:dyDescent="0.3">
      <c r="A32" s="49"/>
      <c r="B32" s="179" t="s">
        <v>69</v>
      </c>
      <c r="C32" s="183"/>
      <c r="D32" s="72">
        <v>5283</v>
      </c>
      <c r="E32" s="73" t="s">
        <v>66</v>
      </c>
      <c r="F32" s="73" t="s">
        <v>67</v>
      </c>
      <c r="G32" s="44">
        <f>VLOOKUP($R$7,'PSC PAPAPA'!$A$2:$L$31,5,FALSE)</f>
        <v>13.69</v>
      </c>
      <c r="H32" s="72" t="s">
        <v>68</v>
      </c>
      <c r="I32" s="72">
        <v>7898969895286</v>
      </c>
      <c r="J32" s="72">
        <v>17898969895286</v>
      </c>
      <c r="K32" s="74">
        <f>VLOOKUP($R$7,'ST PAPAPASTA'!A:B,2,FALSE)</f>
        <v>0.12</v>
      </c>
      <c r="L32" s="44">
        <f>VLOOKUP($R$7,PREÇOS!$A$2:$L$31,5,FALSE)*90%</f>
        <v>7.6049999999999995</v>
      </c>
      <c r="M32" s="45">
        <f>L32*12</f>
        <v>91.259999999999991</v>
      </c>
      <c r="N32" s="75">
        <f>IF($K$8="SIM",VLOOKUP($R$7,'ST PAPAPASTA'!$A$1:$J$31,10,FALSE),VLOOKUP($R$7,'ST PAPAPASTA'!$A$1:$J$31,9,FALSE))</f>
        <v>0</v>
      </c>
      <c r="O32" s="75">
        <v>0</v>
      </c>
      <c r="P32" s="46">
        <f>(L32+N32)*12</f>
        <v>91.259999999999991</v>
      </c>
      <c r="Q32" s="41"/>
      <c r="R32" s="47">
        <f t="shared" si="4"/>
        <v>0</v>
      </c>
      <c r="S32" s="46">
        <f t="shared" si="5"/>
        <v>0</v>
      </c>
    </row>
    <row r="33" spans="1:19" x14ac:dyDescent="0.3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</row>
    <row r="34" spans="1:19" x14ac:dyDescent="0.3">
      <c r="B34" s="181" t="s">
        <v>70</v>
      </c>
      <c r="C34" s="183"/>
      <c r="D34" s="35">
        <v>5276</v>
      </c>
      <c r="E34" s="34" t="s">
        <v>71</v>
      </c>
      <c r="F34" s="34" t="s">
        <v>44</v>
      </c>
      <c r="G34" s="37">
        <f>VLOOKUP($R$7,'PSC PAPAPA'!$A$2:$L$31,6,FALSE)</f>
        <v>17.989999999999998</v>
      </c>
      <c r="H34" s="35" t="s">
        <v>36</v>
      </c>
      <c r="I34" s="35">
        <v>7898969895279</v>
      </c>
      <c r="J34" s="35">
        <v>17898969895276</v>
      </c>
      <c r="K34" s="36">
        <f>VLOOKUP($R$7,'ST PAPAPASTA'!A:B,2,FALSE)</f>
        <v>0.12</v>
      </c>
      <c r="L34" s="37">
        <f>VLOOKUP($R$7,PREÇOS!$A$2:$L$31,6,FALSE)*90%</f>
        <v>10.620000000000001</v>
      </c>
      <c r="M34" s="38">
        <f>L34*6</f>
        <v>63.720000000000006</v>
      </c>
      <c r="N34" s="39">
        <v>0</v>
      </c>
      <c r="O34" s="39">
        <v>0</v>
      </c>
      <c r="P34" s="40">
        <f>(L34+N34)*6</f>
        <v>63.720000000000006</v>
      </c>
      <c r="Q34" s="41"/>
      <c r="R34" s="42">
        <f t="shared" si="4"/>
        <v>0</v>
      </c>
      <c r="S34" s="40">
        <f t="shared" si="5"/>
        <v>0</v>
      </c>
    </row>
    <row r="35" spans="1:19" x14ac:dyDescent="0.3">
      <c r="B35" s="179" t="s">
        <v>72</v>
      </c>
      <c r="C35" s="183"/>
      <c r="D35" s="72">
        <v>5269</v>
      </c>
      <c r="E35" s="73" t="s">
        <v>71</v>
      </c>
      <c r="F35" s="73" t="s">
        <v>44</v>
      </c>
      <c r="G35" s="44">
        <f>VLOOKUP($R$7,'PSC PAPAPA'!$A$2:$L$31,6,FALSE)</f>
        <v>17.989999999999998</v>
      </c>
      <c r="H35" s="72" t="s">
        <v>36</v>
      </c>
      <c r="I35" s="72">
        <v>7898969895262</v>
      </c>
      <c r="J35" s="72">
        <v>17898969895269</v>
      </c>
      <c r="K35" s="74">
        <f>VLOOKUP($R$7,'ST PAPAPASTA'!A:B,2,FALSE)</f>
        <v>0.12</v>
      </c>
      <c r="L35" s="44">
        <f>VLOOKUP($R$7,PREÇOS!$A$2:$L$31,6,FALSE)*90%</f>
        <v>10.620000000000001</v>
      </c>
      <c r="M35" s="45">
        <f>L35*6</f>
        <v>63.720000000000006</v>
      </c>
      <c r="N35" s="75">
        <v>0</v>
      </c>
      <c r="O35" s="75">
        <v>0</v>
      </c>
      <c r="P35" s="46">
        <f>(L35+N35)*6</f>
        <v>63.720000000000006</v>
      </c>
      <c r="Q35" s="41"/>
      <c r="R35" s="47">
        <f t="shared" si="4"/>
        <v>0</v>
      </c>
      <c r="S35" s="46">
        <f t="shared" si="5"/>
        <v>0</v>
      </c>
    </row>
    <row r="36" spans="1:19" x14ac:dyDescent="0.3">
      <c r="B36" s="181" t="s">
        <v>73</v>
      </c>
      <c r="C36" s="183"/>
      <c r="D36" s="35">
        <v>5252</v>
      </c>
      <c r="E36" s="34" t="s">
        <v>71</v>
      </c>
      <c r="F36" s="34" t="s">
        <v>44</v>
      </c>
      <c r="G36" s="37">
        <f>VLOOKUP($R$7,'PSC PAPAPA'!$A$2:$L$31,6,FALSE)</f>
        <v>17.989999999999998</v>
      </c>
      <c r="H36" s="35" t="s">
        <v>36</v>
      </c>
      <c r="I36" s="35">
        <v>7898969895255</v>
      </c>
      <c r="J36" s="35">
        <v>17898969895252</v>
      </c>
      <c r="K36" s="36">
        <f>VLOOKUP($R$7,'ST PAPAPASTA'!A:B,2,FALSE)</f>
        <v>0.12</v>
      </c>
      <c r="L36" s="37">
        <f>VLOOKUP($R$7,PREÇOS!$A$2:$L$31,6,FALSE)*90%</f>
        <v>10.620000000000001</v>
      </c>
      <c r="M36" s="38">
        <f>L36*6</f>
        <v>63.720000000000006</v>
      </c>
      <c r="N36" s="39">
        <v>0</v>
      </c>
      <c r="O36" s="39">
        <v>0</v>
      </c>
      <c r="P36" s="40">
        <f>(L36+N36)*6</f>
        <v>63.720000000000006</v>
      </c>
      <c r="Q36" s="41"/>
      <c r="R36" s="42">
        <f t="shared" si="4"/>
        <v>0</v>
      </c>
      <c r="S36" s="40">
        <f t="shared" si="5"/>
        <v>0</v>
      </c>
    </row>
    <row r="37" spans="1:19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</row>
    <row r="38" spans="1:19" x14ac:dyDescent="0.3">
      <c r="B38" s="179" t="s">
        <v>74</v>
      </c>
      <c r="C38" s="180"/>
      <c r="D38" s="72">
        <v>5402</v>
      </c>
      <c r="E38" s="72" t="s">
        <v>75</v>
      </c>
      <c r="F38" s="73" t="s">
        <v>35</v>
      </c>
      <c r="G38" s="44">
        <f>VLOOKUP($R$7,'PSC PAPAPA'!$A$2:$L$31,10,FALSE)</f>
        <v>9.99</v>
      </c>
      <c r="H38" s="72" t="s">
        <v>76</v>
      </c>
      <c r="I38" s="72">
        <v>7898969895408</v>
      </c>
      <c r="J38" s="72">
        <v>27898969895402</v>
      </c>
      <c r="K38" s="74">
        <f>VLOOKUP($R$7,'ST CEREAL SABOR POUCH 170'!A:B,2,FALSE)</f>
        <v>0.12</v>
      </c>
      <c r="L38" s="44">
        <f>VLOOKUP($R$7,PREÇOS!$A$2:$L$31,10,FALSE)*90%</f>
        <v>5.5350000000000001</v>
      </c>
      <c r="M38" s="45">
        <f t="shared" ref="M38:M41" si="8">L38*12</f>
        <v>66.42</v>
      </c>
      <c r="N38" s="136">
        <f>IF($K$8="SIM",VLOOKUP($R$7,'ST CEREAL SABOR POUCH 170'!$A$1:$J$31,10,FALSE),VLOOKUP($R$7,'ST CEREAL SABOR POUCH 170'!$A$1:$J$31,9,FALSE))</f>
        <v>1.1903940000000002</v>
      </c>
      <c r="O38" s="136">
        <v>0</v>
      </c>
      <c r="P38" s="46">
        <f t="shared" ref="P38:P41" si="9">(L38+N38)*12</f>
        <v>80.704728000000003</v>
      </c>
      <c r="Q38" s="41"/>
      <c r="R38" s="47">
        <f t="shared" ref="R38" si="10">Q38*M38</f>
        <v>0</v>
      </c>
      <c r="S38" s="46">
        <f t="shared" ref="S38" si="11">Q38*P38</f>
        <v>0</v>
      </c>
    </row>
    <row r="39" spans="1:19" x14ac:dyDescent="0.3">
      <c r="B39" s="181" t="s">
        <v>77</v>
      </c>
      <c r="C39" s="182"/>
      <c r="D39" s="35">
        <v>5419</v>
      </c>
      <c r="E39" s="35" t="s">
        <v>75</v>
      </c>
      <c r="F39" s="34" t="s">
        <v>35</v>
      </c>
      <c r="G39" s="37">
        <f>VLOOKUP($R$7,'PSC PAPAPA'!$A$2:$L$31,10,FALSE)</f>
        <v>9.99</v>
      </c>
      <c r="H39" s="35" t="s">
        <v>76</v>
      </c>
      <c r="I39" s="35">
        <v>7898969895415</v>
      </c>
      <c r="J39" s="35">
        <v>27898969895419</v>
      </c>
      <c r="K39" s="36">
        <f>VLOOKUP($R$7,'ST CEREAL SABOR POUCH 170'!A:B,2,FALSE)</f>
        <v>0.12</v>
      </c>
      <c r="L39" s="37">
        <f>VLOOKUP($R$7,PREÇOS!$A$2:$L$31,10,FALSE)*90%</f>
        <v>5.5350000000000001</v>
      </c>
      <c r="M39" s="38">
        <f t="shared" si="8"/>
        <v>66.42</v>
      </c>
      <c r="N39" s="39">
        <f>IF($K$8="SIM",VLOOKUP($R$7,'ST CEREAL SABOR POUCH 170'!$A$1:$J$31,10,FALSE),VLOOKUP($R$7,'ST CEREAL SABOR POUCH 170'!$A$1:$J$31,9,FALSE))</f>
        <v>1.1903940000000002</v>
      </c>
      <c r="O39" s="39">
        <v>0</v>
      </c>
      <c r="P39" s="40">
        <f t="shared" si="9"/>
        <v>80.704728000000003</v>
      </c>
      <c r="Q39" s="41"/>
      <c r="R39" s="42">
        <f>Q39*M39</f>
        <v>0</v>
      </c>
      <c r="S39" s="40">
        <f t="shared" ref="S39" si="12">Q39*P39</f>
        <v>0</v>
      </c>
    </row>
    <row r="40" spans="1:19" x14ac:dyDescent="0.3">
      <c r="B40" s="179" t="s">
        <v>78</v>
      </c>
      <c r="C40" s="180"/>
      <c r="D40" s="72">
        <v>5429</v>
      </c>
      <c r="E40" s="72" t="s">
        <v>75</v>
      </c>
      <c r="F40" s="73" t="s">
        <v>35</v>
      </c>
      <c r="G40" s="44">
        <f>VLOOKUP($R$7,'PSC PAPAPA'!$A$2:$L$31,11,FALSE)</f>
        <v>9.99</v>
      </c>
      <c r="H40" s="72" t="s">
        <v>76</v>
      </c>
      <c r="I40" s="72">
        <v>7898969895422</v>
      </c>
      <c r="J40" s="72">
        <v>17898969895429</v>
      </c>
      <c r="K40" s="74">
        <f>VLOOKUP($R$7,'ST MULTI 170 POUCH'!A:B,2,FALSE)</f>
        <v>0.12</v>
      </c>
      <c r="L40" s="44">
        <f>VLOOKUP($R$7,PREÇOS!$A$2:$L$31,11,FALSE)*90%</f>
        <v>5.5350000000000001</v>
      </c>
      <c r="M40" s="45">
        <f t="shared" si="8"/>
        <v>66.42</v>
      </c>
      <c r="N40" s="136">
        <f>IF($K$8="SIM",VLOOKUP($R$7,'ST MULTI 170 POUCH'!$A$1:$J$31,10,FALSE),VLOOKUP($R$7,'ST MULTI 170 POUCH'!$A$1:$J$31,9,FALSE))</f>
        <v>1.1903940000000002</v>
      </c>
      <c r="O40" s="136">
        <v>0</v>
      </c>
      <c r="P40" s="46">
        <f t="shared" si="9"/>
        <v>80.704728000000003</v>
      </c>
      <c r="Q40" s="41"/>
      <c r="R40" s="47">
        <f>Q40*M40</f>
        <v>0</v>
      </c>
      <c r="S40" s="46">
        <f>Q40*P40</f>
        <v>0</v>
      </c>
    </row>
    <row r="41" spans="1:19" x14ac:dyDescent="0.3">
      <c r="B41" s="181" t="s">
        <v>79</v>
      </c>
      <c r="C41" s="182"/>
      <c r="D41" s="35">
        <v>5399</v>
      </c>
      <c r="E41" s="35" t="s">
        <v>80</v>
      </c>
      <c r="F41" s="34" t="s">
        <v>35</v>
      </c>
      <c r="G41" s="37">
        <f>VLOOKUP($R$7,'PSC PAPAPA'!$A$2:$L$31,12,FALSE)</f>
        <v>24.99</v>
      </c>
      <c r="H41" s="35" t="s">
        <v>76</v>
      </c>
      <c r="I41" s="35">
        <v>7898969895392</v>
      </c>
      <c r="J41" s="35">
        <v>17898969895399</v>
      </c>
      <c r="K41" s="36">
        <f>VLOOKUP($R$7,'ST MULTI 500 POUCH'!A:B,2,FALSE)</f>
        <v>0.12</v>
      </c>
      <c r="L41" s="37">
        <f>VLOOKUP($R$7,PREÇOS!$A$2:$L$31,12,FALSE)*90%</f>
        <v>13.491</v>
      </c>
      <c r="M41" s="38">
        <f t="shared" si="8"/>
        <v>161.892</v>
      </c>
      <c r="N41" s="39">
        <f>IF($K$8="SIM",VLOOKUP($R$7,'ST MULTI 500 POUCH'!$A$1:$J$31,10,FALSE),VLOOKUP($R$7,'ST MULTI 500 POUCH'!$A$1:$J$31,9,FALSE))</f>
        <v>2.9014644000000009</v>
      </c>
      <c r="O41" s="39">
        <v>0</v>
      </c>
      <c r="P41" s="40">
        <f t="shared" si="9"/>
        <v>196.70957280000002</v>
      </c>
      <c r="Q41" s="41"/>
      <c r="R41" s="42">
        <f>Q41*M41</f>
        <v>0</v>
      </c>
      <c r="S41" s="40">
        <f>Q41*P41</f>
        <v>0</v>
      </c>
    </row>
    <row r="42" spans="1:19" x14ac:dyDescent="0.3">
      <c r="B42" s="78"/>
      <c r="C42" s="79"/>
      <c r="D42" s="80"/>
      <c r="E42" s="81"/>
      <c r="F42" s="81"/>
      <c r="G42" s="52"/>
      <c r="H42" s="80"/>
      <c r="I42" s="80"/>
      <c r="J42" s="80"/>
      <c r="K42" s="82"/>
      <c r="L42" s="53"/>
      <c r="M42" s="54"/>
      <c r="N42" s="83"/>
      <c r="O42" s="83"/>
      <c r="P42" s="55"/>
      <c r="R42" s="55"/>
      <c r="S42" s="55"/>
    </row>
    <row r="43" spans="1:19" x14ac:dyDescent="0.3">
      <c r="B43" s="181" t="s">
        <v>81</v>
      </c>
      <c r="C43" s="183"/>
      <c r="D43" s="35">
        <v>5375</v>
      </c>
      <c r="E43" s="34" t="s">
        <v>82</v>
      </c>
      <c r="F43" s="34" t="s">
        <v>83</v>
      </c>
      <c r="G43" s="37">
        <f>VLOOKUP($R$7,'PSC PAPAPA'!$A$2:$L$31,8,FALSE)</f>
        <v>13.49</v>
      </c>
      <c r="H43" s="35" t="s">
        <v>63</v>
      </c>
      <c r="I43" s="35">
        <v>7898969895378</v>
      </c>
      <c r="J43" s="35">
        <v>17898969895375</v>
      </c>
      <c r="K43" s="36">
        <f>VLOOKUP($R$7,'ST BISCOTTI'!A:B,2,FALSE)</f>
        <v>0.12</v>
      </c>
      <c r="L43" s="37">
        <f>VLOOKUP($R$7,PREÇOS!$A$2:$L$31,8,FALSE)*90%</f>
        <v>7.5600000000000005</v>
      </c>
      <c r="M43" s="38">
        <f>L43*12</f>
        <v>90.72</v>
      </c>
      <c r="N43" s="39">
        <f>IF($K$8="SIM",VLOOKUP($R$7,'ST BISCOTTI'!$A$1:$J$31,10,FALSE),VLOOKUP($R$7,'ST BISCOTTI'!$A$1:$J$31,9,FALSE))</f>
        <v>0</v>
      </c>
      <c r="O43" s="39">
        <v>0</v>
      </c>
      <c r="P43" s="40">
        <f>(L43+N43)*12</f>
        <v>90.72</v>
      </c>
      <c r="Q43" s="41"/>
      <c r="R43" s="42">
        <f t="shared" ref="R43:R47" si="13">Q43*M43</f>
        <v>0</v>
      </c>
      <c r="S43" s="40">
        <f t="shared" ref="S43:S47" si="14">Q43*P43</f>
        <v>0</v>
      </c>
    </row>
    <row r="44" spans="1:19" x14ac:dyDescent="0.3">
      <c r="B44" s="179" t="s">
        <v>84</v>
      </c>
      <c r="C44" s="183"/>
      <c r="D44" s="72">
        <v>5351</v>
      </c>
      <c r="E44" s="73" t="s">
        <v>82</v>
      </c>
      <c r="F44" s="73" t="s">
        <v>83</v>
      </c>
      <c r="G44" s="44">
        <f>VLOOKUP($R$7,'PSC PAPAPA'!$A$2:$L$31,8,FALSE)</f>
        <v>13.49</v>
      </c>
      <c r="H44" s="72" t="s">
        <v>63</v>
      </c>
      <c r="I44" s="72">
        <v>7898969895354</v>
      </c>
      <c r="J44" s="72">
        <v>17898969895351</v>
      </c>
      <c r="K44" s="74">
        <f>VLOOKUP($R$7,'ST BISCOTTI'!A:B,2,FALSE)</f>
        <v>0.12</v>
      </c>
      <c r="L44" s="44">
        <f>VLOOKUP($R$7,PREÇOS!$A$2:$L$31,8,FALSE)*90%</f>
        <v>7.5600000000000005</v>
      </c>
      <c r="M44" s="45">
        <f t="shared" ref="M44:M47" si="15">L44*12</f>
        <v>90.72</v>
      </c>
      <c r="N44" s="75">
        <f>IF($K$8="SIM",VLOOKUP($R$7,'ST BISCOTTI'!$A$1:$J$31,10,FALSE),VLOOKUP($R$7,'ST BISCOTTI'!$A$1:$J$31,9,FALSE))</f>
        <v>0</v>
      </c>
      <c r="O44" s="75">
        <v>0</v>
      </c>
      <c r="P44" s="46">
        <f t="shared" ref="P44:P47" si="16">(L44+N44)*12</f>
        <v>90.72</v>
      </c>
      <c r="Q44" s="41"/>
      <c r="R44" s="47">
        <f t="shared" si="13"/>
        <v>0</v>
      </c>
      <c r="S44" s="46">
        <f t="shared" si="14"/>
        <v>0</v>
      </c>
    </row>
    <row r="45" spans="1:19" x14ac:dyDescent="0.3">
      <c r="B45" s="181" t="s">
        <v>85</v>
      </c>
      <c r="C45" s="183"/>
      <c r="D45" s="35">
        <v>5368</v>
      </c>
      <c r="E45" s="34" t="s">
        <v>82</v>
      </c>
      <c r="F45" s="34" t="s">
        <v>83</v>
      </c>
      <c r="G45" s="37">
        <f>VLOOKUP($R$7,'PSC PAPAPA'!$A$2:$L$31,8,FALSE)</f>
        <v>13.49</v>
      </c>
      <c r="H45" s="35" t="s">
        <v>63</v>
      </c>
      <c r="I45" s="35">
        <v>7898969895361</v>
      </c>
      <c r="J45" s="35">
        <v>17898969895368</v>
      </c>
      <c r="K45" s="36">
        <f>VLOOKUP($R$7,'ST BISCOTTI'!A:B,2,FALSE)</f>
        <v>0.12</v>
      </c>
      <c r="L45" s="37">
        <f>VLOOKUP($R$7,PREÇOS!$A$2:$L$31,8,FALSE)*90%</f>
        <v>7.5600000000000005</v>
      </c>
      <c r="M45" s="38">
        <f t="shared" si="15"/>
        <v>90.72</v>
      </c>
      <c r="N45" s="39">
        <f>IF($K$8="SIM",VLOOKUP($R$7,'ST BISCOTTI'!$A$1:$J$31,10,FALSE),VLOOKUP($R$7,'ST BISCOTTI'!$A$1:$J$31,9,FALSE))</f>
        <v>0</v>
      </c>
      <c r="O45" s="39">
        <v>0</v>
      </c>
      <c r="P45" s="40">
        <f t="shared" si="16"/>
        <v>90.72</v>
      </c>
      <c r="Q45" s="41"/>
      <c r="R45" s="42">
        <f t="shared" si="13"/>
        <v>0</v>
      </c>
      <c r="S45" s="40">
        <f t="shared" si="14"/>
        <v>0</v>
      </c>
    </row>
    <row r="46" spans="1:19" x14ac:dyDescent="0.3">
      <c r="B46" s="179" t="s">
        <v>86</v>
      </c>
      <c r="C46" s="183"/>
      <c r="D46" s="72">
        <v>5597</v>
      </c>
      <c r="E46" s="73" t="s">
        <v>82</v>
      </c>
      <c r="F46" s="73" t="s">
        <v>83</v>
      </c>
      <c r="G46" s="44">
        <f>VLOOKUP($R$7,'PSC PAPAPA'!$A$2:$L$31,8,FALSE)</f>
        <v>13.49</v>
      </c>
      <c r="H46" s="72" t="s">
        <v>63</v>
      </c>
      <c r="I46" s="72">
        <v>7898969895590</v>
      </c>
      <c r="J46" s="72">
        <v>17898969895597</v>
      </c>
      <c r="K46" s="74">
        <f>VLOOKUP($R$7,'ST BISCOTTI'!A:B,2,FALSE)</f>
        <v>0.12</v>
      </c>
      <c r="L46" s="44">
        <f>VLOOKUP($R$7,PREÇOS!$A$2:$L$31,8,FALSE)*90%</f>
        <v>7.5600000000000005</v>
      </c>
      <c r="M46" s="45">
        <f t="shared" si="15"/>
        <v>90.72</v>
      </c>
      <c r="N46" s="75">
        <f>IF($K$8="SIM",VLOOKUP($R$7,'ST BISCOTTI'!$A$1:$J$31,10,FALSE),VLOOKUP($R$7,'ST BISCOTTI'!$A$1:$J$31,9,FALSE))</f>
        <v>0</v>
      </c>
      <c r="O46" s="75">
        <v>0</v>
      </c>
      <c r="P46" s="46">
        <f t="shared" si="16"/>
        <v>90.72</v>
      </c>
      <c r="Q46" s="41"/>
      <c r="R46" s="47">
        <f t="shared" si="13"/>
        <v>0</v>
      </c>
      <c r="S46" s="46">
        <f t="shared" si="14"/>
        <v>0</v>
      </c>
    </row>
    <row r="47" spans="1:19" x14ac:dyDescent="0.3">
      <c r="B47" s="181" t="s">
        <v>87</v>
      </c>
      <c r="C47" s="183"/>
      <c r="D47" s="147">
        <v>5580</v>
      </c>
      <c r="E47" s="34" t="s">
        <v>82</v>
      </c>
      <c r="F47" s="34" t="s">
        <v>83</v>
      </c>
      <c r="G47" s="37">
        <f>VLOOKUP($R$7,'PSC PAPAPA'!$A$2:$L$31,8,FALSE)</f>
        <v>13.49</v>
      </c>
      <c r="H47" s="35" t="s">
        <v>63</v>
      </c>
      <c r="I47" s="148">
        <v>7898969895583</v>
      </c>
      <c r="J47" s="148">
        <v>17898969895580</v>
      </c>
      <c r="K47" s="36">
        <f>VLOOKUP($R$7,'ST BISCOTTI'!A:B,2,FALSE)</f>
        <v>0.12</v>
      </c>
      <c r="L47" s="37">
        <f>VLOOKUP($R$7,PREÇOS!$A$2:$L$31,8,FALSE)*90%</f>
        <v>7.5600000000000005</v>
      </c>
      <c r="M47" s="38">
        <f t="shared" si="15"/>
        <v>90.72</v>
      </c>
      <c r="N47" s="39">
        <f>IF($K$8="SIM",VLOOKUP($R$7,'ST BISCOTTI'!$A$1:$J$31,10,FALSE),VLOOKUP($R$7,'ST BISCOTTI'!$A$1:$J$31,9,FALSE))</f>
        <v>0</v>
      </c>
      <c r="O47" s="39">
        <v>0</v>
      </c>
      <c r="P47" s="40">
        <f t="shared" si="16"/>
        <v>90.72</v>
      </c>
      <c r="Q47" s="41"/>
      <c r="R47" s="42">
        <f t="shared" si="13"/>
        <v>0</v>
      </c>
      <c r="S47" s="40">
        <f t="shared" si="14"/>
        <v>0</v>
      </c>
    </row>
    <row r="49" spans="2:19" x14ac:dyDescent="0.3">
      <c r="B49" s="181" t="s">
        <v>88</v>
      </c>
      <c r="C49" s="183"/>
      <c r="D49" s="35">
        <v>5610</v>
      </c>
      <c r="E49" s="34" t="s">
        <v>89</v>
      </c>
      <c r="F49" s="34" t="s">
        <v>35</v>
      </c>
      <c r="G49" s="37">
        <v>18.989999999999998</v>
      </c>
      <c r="H49" s="35" t="s">
        <v>36</v>
      </c>
      <c r="I49" s="35">
        <v>7898969895613</v>
      </c>
      <c r="J49" s="35">
        <v>17898969895610</v>
      </c>
      <c r="K49" s="36">
        <f>VLOOKUP($R$7,'ST PAPAPASTA'!A:B,2,FALSE)</f>
        <v>0.12</v>
      </c>
      <c r="L49" s="37">
        <f>VLOOKUP($R$7,PREÇOS!$A$2:$N$31,14,FALSE)*90%</f>
        <v>11.642400000000002</v>
      </c>
      <c r="M49" s="38">
        <f>L49*6</f>
        <v>69.854400000000012</v>
      </c>
      <c r="N49" s="39">
        <v>0</v>
      </c>
      <c r="O49" s="39">
        <v>0</v>
      </c>
      <c r="P49" s="40">
        <f>(L49+N49)*6</f>
        <v>69.854400000000012</v>
      </c>
      <c r="Q49" s="41"/>
      <c r="R49" s="42">
        <f t="shared" ref="R49:R52" si="17">Q49*M49</f>
        <v>0</v>
      </c>
      <c r="S49" s="40">
        <f t="shared" ref="S49:S52" si="18">Q49*P49</f>
        <v>0</v>
      </c>
    </row>
    <row r="50" spans="2:19" x14ac:dyDescent="0.3">
      <c r="B50" s="179" t="s">
        <v>90</v>
      </c>
      <c r="C50" s="183"/>
      <c r="D50" s="72">
        <v>5634</v>
      </c>
      <c r="E50" s="73" t="s">
        <v>89</v>
      </c>
      <c r="F50" s="73" t="s">
        <v>35</v>
      </c>
      <c r="G50" s="44">
        <v>18.989999999999998</v>
      </c>
      <c r="H50" s="72" t="s">
        <v>36</v>
      </c>
      <c r="I50" s="72">
        <v>7898969895637</v>
      </c>
      <c r="J50" s="72">
        <v>17898969895634</v>
      </c>
      <c r="K50" s="74">
        <f>VLOOKUP($R$7,'ST PAPAPASTA'!A:B,2,FALSE)</f>
        <v>0.12</v>
      </c>
      <c r="L50" s="44">
        <f>VLOOKUP($R$7,PREÇOS!$A$2:$N$31,14,FALSE)*90%</f>
        <v>11.642400000000002</v>
      </c>
      <c r="M50" s="45">
        <f>L50*6</f>
        <v>69.854400000000012</v>
      </c>
      <c r="N50" s="75">
        <v>0</v>
      </c>
      <c r="O50" s="75">
        <v>0</v>
      </c>
      <c r="P50" s="46">
        <f t="shared" ref="P50:P52" si="19">(L50+N50)*6</f>
        <v>69.854400000000012</v>
      </c>
      <c r="Q50" s="41"/>
      <c r="R50" s="47">
        <f t="shared" si="17"/>
        <v>0</v>
      </c>
      <c r="S50" s="46">
        <f t="shared" si="18"/>
        <v>0</v>
      </c>
    </row>
    <row r="51" spans="2:19" x14ac:dyDescent="0.3">
      <c r="B51" s="181" t="s">
        <v>91</v>
      </c>
      <c r="C51" s="183"/>
      <c r="D51" s="35">
        <v>5627</v>
      </c>
      <c r="E51" s="34" t="s">
        <v>89</v>
      </c>
      <c r="F51" s="34" t="s">
        <v>92</v>
      </c>
      <c r="G51" s="37">
        <v>18.989999999999998</v>
      </c>
      <c r="H51" s="35" t="s">
        <v>36</v>
      </c>
      <c r="I51" s="35">
        <v>7898969895620</v>
      </c>
      <c r="J51" s="35">
        <v>17898969895627</v>
      </c>
      <c r="K51" s="36">
        <f>VLOOKUP($R$7,'ST PAPAPASTA'!A:B,2,FALSE)</f>
        <v>0.12</v>
      </c>
      <c r="L51" s="37">
        <f>VLOOKUP($R$7,PREÇOS!$A$2:$N$31,14,FALSE)*90%</f>
        <v>11.642400000000002</v>
      </c>
      <c r="M51" s="38">
        <f t="shared" ref="M51:M52" si="20">L51*6</f>
        <v>69.854400000000012</v>
      </c>
      <c r="N51" s="39">
        <v>0</v>
      </c>
      <c r="O51" s="39">
        <v>0</v>
      </c>
      <c r="P51" s="40">
        <f t="shared" si="19"/>
        <v>69.854400000000012</v>
      </c>
      <c r="Q51" s="41"/>
      <c r="R51" s="42">
        <f t="shared" si="17"/>
        <v>0</v>
      </c>
      <c r="S51" s="40">
        <f t="shared" si="18"/>
        <v>0</v>
      </c>
    </row>
    <row r="52" spans="2:19" x14ac:dyDescent="0.3">
      <c r="B52" s="179" t="s">
        <v>93</v>
      </c>
      <c r="C52" s="183"/>
      <c r="D52" s="72">
        <v>5603</v>
      </c>
      <c r="E52" s="73" t="s">
        <v>89</v>
      </c>
      <c r="F52" s="73" t="s">
        <v>92</v>
      </c>
      <c r="G52" s="44">
        <v>18.989999999999998</v>
      </c>
      <c r="H52" s="72" t="s">
        <v>36</v>
      </c>
      <c r="I52" s="72">
        <v>7898969895606</v>
      </c>
      <c r="J52" s="72">
        <v>17898969895603</v>
      </c>
      <c r="K52" s="74">
        <f>VLOOKUP($R$7,'ST PAPAPASTA'!A:B,2,FALSE)</f>
        <v>0.12</v>
      </c>
      <c r="L52" s="44">
        <f>VLOOKUP($R$7,PREÇOS!$A$2:$N$31,14,FALSE)*90%</f>
        <v>11.642400000000002</v>
      </c>
      <c r="M52" s="45">
        <f t="shared" si="20"/>
        <v>69.854400000000012</v>
      </c>
      <c r="N52" s="75">
        <v>0</v>
      </c>
      <c r="O52" s="75">
        <v>0</v>
      </c>
      <c r="P52" s="46">
        <f t="shared" si="19"/>
        <v>69.854400000000012</v>
      </c>
      <c r="Q52" s="41"/>
      <c r="R52" s="47">
        <f t="shared" si="17"/>
        <v>0</v>
      </c>
      <c r="S52" s="46">
        <f t="shared" si="18"/>
        <v>0</v>
      </c>
    </row>
    <row r="53" spans="2:19" x14ac:dyDescent="0.3">
      <c r="B53" s="78"/>
      <c r="C53" s="79"/>
      <c r="D53" s="80"/>
      <c r="E53" s="81"/>
      <c r="F53" s="81"/>
      <c r="G53" s="53"/>
      <c r="H53" s="80"/>
      <c r="I53" s="80"/>
      <c r="J53" s="80"/>
      <c r="K53" s="82"/>
      <c r="L53" s="53"/>
      <c r="M53" s="54"/>
      <c r="N53" s="83"/>
      <c r="O53" s="83"/>
      <c r="P53" s="55"/>
      <c r="Q53" s="149"/>
      <c r="R53" s="55"/>
      <c r="S53" s="55"/>
    </row>
    <row r="54" spans="2:19" x14ac:dyDescent="0.3">
      <c r="B54" s="181" t="s">
        <v>155</v>
      </c>
      <c r="C54" s="183"/>
      <c r="D54" s="35">
        <v>5670</v>
      </c>
      <c r="E54" s="34" t="s">
        <v>156</v>
      </c>
      <c r="F54" s="34" t="s">
        <v>57</v>
      </c>
      <c r="G54" s="37">
        <f>VLOOKUP($R$7,PSC!$A$2:$Q$31,15,FALSE)</f>
        <v>7.99</v>
      </c>
      <c r="H54" s="35" t="s">
        <v>58</v>
      </c>
      <c r="I54" s="35">
        <v>7898969895811</v>
      </c>
      <c r="J54" s="35">
        <v>17898969895818</v>
      </c>
      <c r="K54" s="36">
        <f>VLOOKUP($R$7,'[1]ST EXTRUSADOS'!A:B,2,FALSE)</f>
        <v>0.12</v>
      </c>
      <c r="L54" s="37">
        <f>VLOOKUP($R$7,[1]PREÇOS!$A$2:$Q$31,15,FALSE)</f>
        <v>5.55</v>
      </c>
      <c r="M54" s="38">
        <f>L54*18</f>
        <v>99.899999999999991</v>
      </c>
      <c r="N54" s="39">
        <f>IF($K$8="SIM",VLOOKUP($R$7,'[1]ST EXTRUSADOS'!$A$1:$J$31,10,FALSE),VLOOKUP($R$7,'[1]ST EXTRUSADOS'!$A$1:$J$31,9,FALSE))</f>
        <v>1.1597557500000002</v>
      </c>
      <c r="O54" s="39">
        <v>0</v>
      </c>
      <c r="P54" s="40">
        <f>(L54+N54)*18</f>
        <v>120.7756035</v>
      </c>
      <c r="Q54" s="41"/>
      <c r="R54" s="42">
        <f t="shared" ref="R54:R56" si="21">Q54*M54</f>
        <v>0</v>
      </c>
      <c r="S54" s="40">
        <f t="shared" ref="S54:S56" si="22">Q54*P54</f>
        <v>0</v>
      </c>
    </row>
    <row r="55" spans="2:19" x14ac:dyDescent="0.3">
      <c r="B55" s="179" t="s">
        <v>157</v>
      </c>
      <c r="C55" s="183"/>
      <c r="D55" s="72">
        <v>5671</v>
      </c>
      <c r="E55" s="73" t="s">
        <v>156</v>
      </c>
      <c r="F55" s="73" t="s">
        <v>57</v>
      </c>
      <c r="G55" s="37">
        <f>VLOOKUP($R$7,PSC!$A$2:$Q$31,15,FALSE)</f>
        <v>7.99</v>
      </c>
      <c r="H55" s="72" t="s">
        <v>58</v>
      </c>
      <c r="I55" s="72">
        <v>7898969895804</v>
      </c>
      <c r="J55" s="72">
        <v>17898969895801</v>
      </c>
      <c r="K55" s="74">
        <f>VLOOKUP($R$7,'[1]ST EXTRUSADOS'!A:B,2,FALSE)</f>
        <v>0.12</v>
      </c>
      <c r="L55" s="44">
        <f>VLOOKUP($R$7,[1]PREÇOS!$A$2:$Q$31,15,FALSE)</f>
        <v>5.55</v>
      </c>
      <c r="M55" s="45">
        <f t="shared" ref="M55:M56" si="23">L55*18</f>
        <v>99.899999999999991</v>
      </c>
      <c r="N55" s="75">
        <f>IF($K$8="SIM",VLOOKUP($R$7,'[1]ST EXTRUSADOS'!$A$1:$J$31,10,FALSE),VLOOKUP($R$7,'[1]ST EXTRUSADOS'!$A$1:$J$31,9,FALSE))</f>
        <v>1.1597557500000002</v>
      </c>
      <c r="O55" s="75">
        <v>0</v>
      </c>
      <c r="P55" s="46">
        <f t="shared" ref="P55:P56" si="24">(L55+N55)*18</f>
        <v>120.7756035</v>
      </c>
      <c r="Q55" s="41"/>
      <c r="R55" s="47">
        <f t="shared" si="21"/>
        <v>0</v>
      </c>
      <c r="S55" s="46">
        <f t="shared" si="22"/>
        <v>0</v>
      </c>
    </row>
    <row r="56" spans="2:19" x14ac:dyDescent="0.3">
      <c r="B56" s="181" t="s">
        <v>158</v>
      </c>
      <c r="C56" s="183"/>
      <c r="D56" s="35">
        <v>5673</v>
      </c>
      <c r="E56" s="34" t="s">
        <v>156</v>
      </c>
      <c r="F56" s="34" t="s">
        <v>57</v>
      </c>
      <c r="G56" s="37">
        <f>VLOOKUP($R$7,PSC!$A$2:$Q$31,15,FALSE)</f>
        <v>7.99</v>
      </c>
      <c r="H56" s="35" t="s">
        <v>58</v>
      </c>
      <c r="I56" s="35">
        <v>7898969895798</v>
      </c>
      <c r="J56" s="35">
        <v>17898969895795</v>
      </c>
      <c r="K56" s="36">
        <f>VLOOKUP($R$7,'[1]ST EXTRUSADOS'!A:B,2,FALSE)</f>
        <v>0.12</v>
      </c>
      <c r="L56" s="37">
        <f>VLOOKUP($R$7,[1]PREÇOS!$A$2:$Q$31,15,FALSE)</f>
        <v>5.55</v>
      </c>
      <c r="M56" s="38">
        <f t="shared" si="23"/>
        <v>99.899999999999991</v>
      </c>
      <c r="N56" s="39">
        <f>IF($K$8="SIM",VLOOKUP($R$7,'[1]ST EXTRUSADOS'!$A$1:$J$31,10,FALSE),VLOOKUP($R$7,'[1]ST EXTRUSADOS'!$A$1:$J$31,9,FALSE))</f>
        <v>1.1597557500000002</v>
      </c>
      <c r="O56" s="39">
        <v>0</v>
      </c>
      <c r="P56" s="40">
        <f t="shared" si="24"/>
        <v>120.7756035</v>
      </c>
      <c r="Q56" s="41"/>
      <c r="R56" s="42">
        <f t="shared" si="21"/>
        <v>0</v>
      </c>
      <c r="S56" s="40">
        <f t="shared" si="22"/>
        <v>0</v>
      </c>
    </row>
    <row r="57" spans="2:19" x14ac:dyDescent="0.3">
      <c r="B57" s="78"/>
      <c r="C57" s="79"/>
      <c r="D57" s="80"/>
      <c r="E57" s="81"/>
      <c r="F57" s="81"/>
      <c r="G57" s="80"/>
      <c r="H57" s="80"/>
      <c r="I57" s="80"/>
      <c r="J57" s="80"/>
      <c r="K57" s="82"/>
      <c r="L57" s="53"/>
      <c r="M57" s="54"/>
      <c r="N57" s="83"/>
      <c r="O57" s="83"/>
      <c r="P57" s="55"/>
      <c r="Q57" s="49"/>
      <c r="R57" s="55"/>
      <c r="S57" s="55"/>
    </row>
    <row r="58" spans="2:19" ht="15" customHeight="1" x14ac:dyDescent="0.3">
      <c r="B58" s="184" t="s">
        <v>159</v>
      </c>
      <c r="C58" s="183"/>
      <c r="D58" s="150">
        <v>5677</v>
      </c>
      <c r="E58" s="151" t="s">
        <v>160</v>
      </c>
      <c r="F58" s="151" t="s">
        <v>83</v>
      </c>
      <c r="G58" s="37">
        <f>VLOOKUP($R$7,[1]PSC!$A$2:$Q$31,16,FALSE)</f>
        <v>8.6</v>
      </c>
      <c r="H58" s="150" t="s">
        <v>63</v>
      </c>
      <c r="I58" s="150">
        <v>7898969895828</v>
      </c>
      <c r="J58" s="150">
        <v>17898969895917</v>
      </c>
      <c r="K58" s="153">
        <f>VLOOKUP($R$7,'[1]ST RECHEADOS'!A:B,2,FALSE)</f>
        <v>0.12</v>
      </c>
      <c r="L58" s="152">
        <f>VLOOKUP($R$7,[1]PREÇOS!$A$2:$Q$31,16,FALSE)</f>
        <v>6.2</v>
      </c>
      <c r="M58" s="154">
        <f>L58*8</f>
        <v>49.6</v>
      </c>
      <c r="N58" s="136">
        <f>IF($K$8="SIM",VLOOKUP($R$7,'[1]ST RECHEADOS'!$A$1:$J$31,10,FALSE),VLOOKUP($R$7,'[1]ST RECHEADOS'!$A$1:$J$31,9,FALSE))</f>
        <v>0</v>
      </c>
      <c r="O58" s="136">
        <v>0</v>
      </c>
      <c r="P58" s="155">
        <f>(L58+N58)*8</f>
        <v>49.6</v>
      </c>
      <c r="Q58" s="41"/>
      <c r="R58" s="156">
        <f t="shared" ref="R58:R59" si="25">Q58*M58</f>
        <v>0</v>
      </c>
      <c r="S58" s="155">
        <f t="shared" ref="S58:S59" si="26">Q58*P58</f>
        <v>0</v>
      </c>
    </row>
    <row r="59" spans="2:19" x14ac:dyDescent="0.3">
      <c r="B59" s="181" t="s">
        <v>161</v>
      </c>
      <c r="C59" s="183"/>
      <c r="D59" s="35">
        <v>5678</v>
      </c>
      <c r="E59" s="34" t="s">
        <v>160</v>
      </c>
      <c r="F59" s="34" t="s">
        <v>83</v>
      </c>
      <c r="G59" s="37">
        <f>VLOOKUP($R$7,[1]PSC!$A$2:$Q$31,16,FALSE)</f>
        <v>8.6</v>
      </c>
      <c r="H59" s="35" t="s">
        <v>63</v>
      </c>
      <c r="I59" s="35">
        <v>7898969895835</v>
      </c>
      <c r="J59" s="35">
        <v>17898969895900</v>
      </c>
      <c r="K59" s="36">
        <f>VLOOKUP($R$7,'[1]ST RECHEADOS'!A:B,2,FALSE)</f>
        <v>0.12</v>
      </c>
      <c r="L59" s="37">
        <f>VLOOKUP($R$7,[1]PREÇOS!$A$2:$Q$31,16,FALSE)</f>
        <v>6.2</v>
      </c>
      <c r="M59" s="38">
        <f>L59*8</f>
        <v>49.6</v>
      </c>
      <c r="N59" s="39">
        <f>IF($K$8="SIM",VLOOKUP($R$7,'[1]ST RECHEADOS'!$A$1:$J$31,10,FALSE),VLOOKUP($R$7,'[1]ST RECHEADOS'!$A$1:$J$31,9,FALSE))</f>
        <v>0</v>
      </c>
      <c r="O59" s="39">
        <v>0</v>
      </c>
      <c r="P59" s="40">
        <f>(L59+N59)*8</f>
        <v>49.6</v>
      </c>
      <c r="Q59" s="41"/>
      <c r="R59" s="42">
        <f t="shared" si="25"/>
        <v>0</v>
      </c>
      <c r="S59" s="40">
        <f t="shared" si="26"/>
        <v>0</v>
      </c>
    </row>
    <row r="60" spans="2:19" x14ac:dyDescent="0.3">
      <c r="B60" s="78"/>
      <c r="C60" s="79"/>
      <c r="D60" s="80"/>
      <c r="E60" s="81"/>
      <c r="F60" s="81"/>
      <c r="G60" s="80"/>
      <c r="H60" s="80"/>
      <c r="I60" s="80"/>
      <c r="J60" s="80"/>
      <c r="K60" s="82"/>
      <c r="L60" s="53"/>
      <c r="M60" s="54"/>
      <c r="N60" s="83"/>
      <c r="O60" s="83"/>
      <c r="P60" s="55"/>
      <c r="Q60" s="49"/>
      <c r="R60" s="55"/>
      <c r="S60" s="55"/>
    </row>
    <row r="61" spans="2:19" x14ac:dyDescent="0.3">
      <c r="B61" s="181" t="s">
        <v>162</v>
      </c>
      <c r="C61" s="183"/>
      <c r="D61" s="35">
        <v>5680</v>
      </c>
      <c r="E61" s="34" t="s">
        <v>163</v>
      </c>
      <c r="F61" s="34" t="s">
        <v>164</v>
      </c>
      <c r="G61" s="37">
        <f>VLOOKUP($R$7,[1]PSC!$A$2:$Q$31,17,FALSE)</f>
        <v>4.99</v>
      </c>
      <c r="H61" s="35" t="s">
        <v>165</v>
      </c>
      <c r="I61" s="35">
        <v>7898969895880</v>
      </c>
      <c r="J61" s="35">
        <v>17898969895887</v>
      </c>
      <c r="K61" s="36">
        <f>VLOOKUP($R$7,'[1]ST BISCOTTI'!A:B,2,FALSE)</f>
        <v>0.12</v>
      </c>
      <c r="L61" s="37">
        <f>VLOOKUP($R$7,[1]PREÇOS!$A$2:$Q$31,17,FALSE)</f>
        <v>3.55</v>
      </c>
      <c r="M61" s="38">
        <f>L61*27</f>
        <v>95.85</v>
      </c>
      <c r="N61" s="39">
        <v>0</v>
      </c>
      <c r="O61" s="39">
        <v>0</v>
      </c>
      <c r="P61" s="40">
        <f>(L61+N61)*27</f>
        <v>95.85</v>
      </c>
      <c r="Q61" s="41"/>
      <c r="R61" s="42">
        <f t="shared" ref="R61:R64" si="27">Q61*M61</f>
        <v>0</v>
      </c>
      <c r="S61" s="40">
        <f t="shared" ref="S61:S64" si="28">Q61*P61</f>
        <v>0</v>
      </c>
    </row>
    <row r="62" spans="2:19" x14ac:dyDescent="0.3">
      <c r="B62" s="179" t="s">
        <v>166</v>
      </c>
      <c r="C62" s="183"/>
      <c r="D62" s="72">
        <v>5681</v>
      </c>
      <c r="E62" s="73" t="s">
        <v>163</v>
      </c>
      <c r="F62" s="73" t="s">
        <v>164</v>
      </c>
      <c r="G62" s="37">
        <f>VLOOKUP($R$7,[1]PSC!$A$2:$Q$31,17,FALSE)</f>
        <v>4.99</v>
      </c>
      <c r="H62" s="72" t="s">
        <v>165</v>
      </c>
      <c r="I62" s="72">
        <v>7898969895859</v>
      </c>
      <c r="J62" s="72">
        <v>17898969895856</v>
      </c>
      <c r="K62" s="74">
        <f>VLOOKUP($R$7,'[1]ST BISCOTTI'!A:B,2,FALSE)</f>
        <v>0.12</v>
      </c>
      <c r="L62" s="44">
        <f>VLOOKUP($R$7,[1]PREÇOS!$A$2:$Q$31,17,FALSE)</f>
        <v>3.55</v>
      </c>
      <c r="M62" s="45">
        <f t="shared" ref="M62:M66" si="29">L62*27</f>
        <v>95.85</v>
      </c>
      <c r="N62" s="75">
        <v>0</v>
      </c>
      <c r="O62" s="75">
        <v>0</v>
      </c>
      <c r="P62" s="46">
        <f t="shared" ref="P62:P64" si="30">(L62+N62)*27</f>
        <v>95.85</v>
      </c>
      <c r="Q62" s="41"/>
      <c r="R62" s="47">
        <f t="shared" si="27"/>
        <v>0</v>
      </c>
      <c r="S62" s="46">
        <f t="shared" si="28"/>
        <v>0</v>
      </c>
    </row>
    <row r="63" spans="2:19" x14ac:dyDescent="0.3">
      <c r="B63" s="181" t="s">
        <v>167</v>
      </c>
      <c r="C63" s="183"/>
      <c r="D63" s="35">
        <v>5682</v>
      </c>
      <c r="E63" s="34" t="s">
        <v>163</v>
      </c>
      <c r="F63" s="34" t="s">
        <v>164</v>
      </c>
      <c r="G63" s="37">
        <f>VLOOKUP($R$7,[1]PSC!$A$2:$Q$31,17,FALSE)</f>
        <v>4.99</v>
      </c>
      <c r="H63" s="35" t="s">
        <v>165</v>
      </c>
      <c r="I63" s="35">
        <v>7898969895866</v>
      </c>
      <c r="J63" s="35">
        <v>17898969895863</v>
      </c>
      <c r="K63" s="36">
        <f>VLOOKUP($R$7,'[1]ST BISCOTTI'!A:B,2,FALSE)</f>
        <v>0.12</v>
      </c>
      <c r="L63" s="37">
        <f>VLOOKUP($R$7,[1]PREÇOS!$A$2:$Q$31,17,FALSE)</f>
        <v>3.55</v>
      </c>
      <c r="M63" s="38">
        <f t="shared" si="29"/>
        <v>95.85</v>
      </c>
      <c r="N63" s="39">
        <v>0</v>
      </c>
      <c r="O63" s="39">
        <v>0</v>
      </c>
      <c r="P63" s="40">
        <f t="shared" si="30"/>
        <v>95.85</v>
      </c>
      <c r="Q63" s="41"/>
      <c r="R63" s="42">
        <f t="shared" si="27"/>
        <v>0</v>
      </c>
      <c r="S63" s="40">
        <f t="shared" si="28"/>
        <v>0</v>
      </c>
    </row>
    <row r="64" spans="2:19" x14ac:dyDescent="0.3">
      <c r="B64" s="179" t="s">
        <v>168</v>
      </c>
      <c r="C64" s="183"/>
      <c r="D64" s="72">
        <v>5683</v>
      </c>
      <c r="E64" s="73" t="s">
        <v>163</v>
      </c>
      <c r="F64" s="73" t="s">
        <v>164</v>
      </c>
      <c r="G64" s="37">
        <f>VLOOKUP($R$7,[1]PSC!$A$2:$Q$31,17,FALSE)</f>
        <v>4.99</v>
      </c>
      <c r="H64" s="72" t="s">
        <v>165</v>
      </c>
      <c r="I64" s="72">
        <v>7898969895873</v>
      </c>
      <c r="J64" s="72">
        <v>17898969895870</v>
      </c>
      <c r="K64" s="74">
        <f>VLOOKUP($R$7,'[1]ST BISCOTTI'!A:B,2,FALSE)</f>
        <v>0.12</v>
      </c>
      <c r="L64" s="44">
        <f>VLOOKUP($R$7,[1]PREÇOS!$A$2:$Q$31,17,FALSE)</f>
        <v>3.55</v>
      </c>
      <c r="M64" s="45">
        <f t="shared" si="29"/>
        <v>95.85</v>
      </c>
      <c r="N64" s="75">
        <v>0</v>
      </c>
      <c r="O64" s="75">
        <v>0</v>
      </c>
      <c r="P64" s="46">
        <f t="shared" si="30"/>
        <v>95.85</v>
      </c>
      <c r="Q64" s="41"/>
      <c r="R64" s="47">
        <f t="shared" si="27"/>
        <v>0</v>
      </c>
      <c r="S64" s="46">
        <f t="shared" si="28"/>
        <v>0</v>
      </c>
    </row>
    <row r="65" spans="2:19" x14ac:dyDescent="0.3">
      <c r="B65" s="78"/>
      <c r="C65" s="79"/>
      <c r="D65" s="80"/>
      <c r="E65" s="81"/>
      <c r="F65" s="81"/>
      <c r="G65" s="80"/>
      <c r="H65" s="80"/>
      <c r="I65" s="80"/>
      <c r="J65" s="80"/>
      <c r="K65" s="82"/>
      <c r="L65" s="53"/>
      <c r="M65" s="54"/>
      <c r="N65" s="83"/>
      <c r="O65" s="83"/>
      <c r="P65" s="55"/>
      <c r="Q65" s="49"/>
      <c r="R65" s="55"/>
      <c r="S65" s="55"/>
    </row>
    <row r="66" spans="2:19" x14ac:dyDescent="0.3">
      <c r="B66" s="181" t="s">
        <v>169</v>
      </c>
      <c r="C66" s="183"/>
      <c r="D66" s="35">
        <v>5310</v>
      </c>
      <c r="E66" s="34" t="s">
        <v>163</v>
      </c>
      <c r="F66" s="34" t="s">
        <v>170</v>
      </c>
      <c r="G66" s="37">
        <f>VLOOKUP($R$7,[1]PSC!$A$2:$T$31,18,FALSE)</f>
        <v>5.99</v>
      </c>
      <c r="H66" s="35" t="s">
        <v>165</v>
      </c>
      <c r="I66" s="35">
        <v>7898969895897</v>
      </c>
      <c r="J66" s="35">
        <v>17898969895894</v>
      </c>
      <c r="K66" s="36">
        <f>VLOOKUP($R$7,'[1]ST BISCOTTI'!A:B,2,FALSE)</f>
        <v>0.12</v>
      </c>
      <c r="L66" s="37">
        <f>VLOOKUP($R$7,[1]PREÇOS!$A$2:$T$31,18,FALSE)</f>
        <v>4.1500000000000004</v>
      </c>
      <c r="M66" s="38">
        <f t="shared" si="29"/>
        <v>112.05000000000001</v>
      </c>
      <c r="N66" s="39">
        <v>0</v>
      </c>
      <c r="O66" s="39">
        <v>0</v>
      </c>
      <c r="P66" s="40">
        <f t="shared" ref="P66" si="31">(L66+N66)*27</f>
        <v>112.05000000000001</v>
      </c>
      <c r="Q66" s="41"/>
      <c r="R66" s="42">
        <f>Q66*M66</f>
        <v>0</v>
      </c>
      <c r="S66" s="40">
        <f>Q66*P66</f>
        <v>0</v>
      </c>
    </row>
    <row r="67" spans="2:19" x14ac:dyDescent="0.3">
      <c r="B67" s="78"/>
      <c r="C67" s="79"/>
      <c r="D67" s="80"/>
      <c r="E67" s="81"/>
      <c r="F67" s="81"/>
      <c r="G67" s="80"/>
      <c r="H67" s="80"/>
      <c r="I67" s="80"/>
      <c r="J67" s="80"/>
      <c r="K67" s="82"/>
      <c r="L67" s="53"/>
      <c r="M67" s="54"/>
      <c r="N67" s="83"/>
      <c r="O67" s="83"/>
      <c r="P67" s="55"/>
      <c r="Q67" s="49"/>
      <c r="R67" s="55"/>
      <c r="S67" s="55"/>
    </row>
    <row r="68" spans="2:19" x14ac:dyDescent="0.3">
      <c r="B68" s="181" t="s">
        <v>171</v>
      </c>
      <c r="C68" s="182"/>
      <c r="D68" s="35">
        <v>5641</v>
      </c>
      <c r="E68" s="34" t="s">
        <v>172</v>
      </c>
      <c r="F68" s="34" t="s">
        <v>173</v>
      </c>
      <c r="G68" s="37">
        <f>VLOOKUP($R$7,[1]PSC!$A$2:$V$31,19,FALSE)</f>
        <v>36</v>
      </c>
      <c r="H68" s="35" t="s">
        <v>174</v>
      </c>
      <c r="I68" s="35">
        <v>7898969895644</v>
      </c>
      <c r="J68" s="35">
        <v>17898969895641</v>
      </c>
      <c r="K68" s="36">
        <f>VLOOKUP($R$7,'[1]ST BISCOITINHOS'!A:B,2,FALSE)</f>
        <v>0.12</v>
      </c>
      <c r="L68" s="37">
        <f>VLOOKUP($R$7,[1]PREÇOS!$A$2:$V$31,19,FALSE)</f>
        <v>17.09090909090909</v>
      </c>
      <c r="M68" s="38">
        <f>L68</f>
        <v>17.09090909090909</v>
      </c>
      <c r="N68" s="39">
        <v>0</v>
      </c>
      <c r="O68" s="39">
        <f>L68*6.5%</f>
        <v>1.1109090909090908</v>
      </c>
      <c r="P68" s="40">
        <f>(L68+N68+O68)</f>
        <v>18.201818181818179</v>
      </c>
      <c r="Q68" s="41"/>
      <c r="R68" s="42">
        <f t="shared" ref="R68:R79" si="32">Q68*M68</f>
        <v>0</v>
      </c>
      <c r="S68" s="40">
        <f t="shared" ref="S68:S79" si="33">Q68*P68</f>
        <v>0</v>
      </c>
    </row>
    <row r="69" spans="2:19" x14ac:dyDescent="0.3">
      <c r="B69" s="157" t="s">
        <v>175</v>
      </c>
      <c r="C69" s="158"/>
      <c r="D69" s="159">
        <v>5658</v>
      </c>
      <c r="E69" s="160" t="s">
        <v>172</v>
      </c>
      <c r="F69" s="160" t="s">
        <v>173</v>
      </c>
      <c r="G69" s="37">
        <f>VLOOKUP($R$7,[1]PSC!$A$2:$V$31,19,FALSE)</f>
        <v>36</v>
      </c>
      <c r="H69" s="159" t="s">
        <v>174</v>
      </c>
      <c r="I69" s="159">
        <v>7898969895651</v>
      </c>
      <c r="J69" s="159">
        <v>17898969895658</v>
      </c>
      <c r="K69" s="162">
        <f>VLOOKUP($R$7,'[1]ST BISCOITINHOS'!A:B,2,FALSE)</f>
        <v>0.12</v>
      </c>
      <c r="L69" s="161">
        <f>VLOOKUP($R$7,[1]PREÇOS!$A$2:$V$31,19,FALSE)</f>
        <v>17.09090909090909</v>
      </c>
      <c r="M69" s="38">
        <f t="shared" ref="M69:M79" si="34">L69</f>
        <v>17.09090909090909</v>
      </c>
      <c r="N69" s="163">
        <v>0</v>
      </c>
      <c r="O69" s="163">
        <f t="shared" ref="O69:O79" si="35">L69*6.5%</f>
        <v>1.1109090909090908</v>
      </c>
      <c r="P69" s="40">
        <f t="shared" ref="P69:P79" si="36">(L69+N69+O69)</f>
        <v>18.201818181818179</v>
      </c>
      <c r="Q69" s="41"/>
      <c r="R69" s="164">
        <f t="shared" si="32"/>
        <v>0</v>
      </c>
      <c r="S69" s="165">
        <f t="shared" si="33"/>
        <v>0</v>
      </c>
    </row>
    <row r="70" spans="2:19" x14ac:dyDescent="0.3">
      <c r="B70" s="166" t="s">
        <v>176</v>
      </c>
      <c r="C70" s="167"/>
      <c r="D70" s="35">
        <v>5665</v>
      </c>
      <c r="E70" s="34" t="s">
        <v>172</v>
      </c>
      <c r="F70" s="34" t="s">
        <v>173</v>
      </c>
      <c r="G70" s="37">
        <f>VLOOKUP($R$7,[1]PSC!$A$2:$V$31,19,FALSE)</f>
        <v>36</v>
      </c>
      <c r="H70" s="35" t="s">
        <v>174</v>
      </c>
      <c r="I70" s="35">
        <v>7898969895668</v>
      </c>
      <c r="J70" s="35">
        <v>17898969895665</v>
      </c>
      <c r="K70" s="36">
        <f>VLOOKUP($R$7,'[1]ST BISCOITINHOS'!A:B,2,FALSE)</f>
        <v>0.12</v>
      </c>
      <c r="L70" s="37">
        <f>VLOOKUP($R$7,[1]PREÇOS!$A$2:$V$31,19,FALSE)</f>
        <v>17.09090909090909</v>
      </c>
      <c r="M70" s="38">
        <f t="shared" si="34"/>
        <v>17.09090909090909</v>
      </c>
      <c r="N70" s="39">
        <v>0</v>
      </c>
      <c r="O70" s="39">
        <f t="shared" si="35"/>
        <v>1.1109090909090908</v>
      </c>
      <c r="P70" s="40">
        <f t="shared" si="36"/>
        <v>18.201818181818179</v>
      </c>
      <c r="Q70" s="41"/>
      <c r="R70" s="42">
        <f t="shared" si="32"/>
        <v>0</v>
      </c>
      <c r="S70" s="40">
        <f t="shared" si="33"/>
        <v>0</v>
      </c>
    </row>
    <row r="71" spans="2:19" x14ac:dyDescent="0.3">
      <c r="B71" s="157" t="s">
        <v>177</v>
      </c>
      <c r="C71" s="158"/>
      <c r="D71" s="150">
        <v>5733</v>
      </c>
      <c r="E71" s="151" t="s">
        <v>172</v>
      </c>
      <c r="F71" s="151" t="s">
        <v>173</v>
      </c>
      <c r="G71" s="37">
        <f>VLOOKUP($R$7,[1]PSC!$A$2:$V$31,21,FALSE)</f>
        <v>27</v>
      </c>
      <c r="H71" s="150" t="s">
        <v>174</v>
      </c>
      <c r="I71" s="150">
        <v>7898969895736</v>
      </c>
      <c r="J71" s="150">
        <v>17898969895733</v>
      </c>
      <c r="K71" s="153">
        <f>VLOOKUP($R$7,'[1]ST BISCOITINHOS'!A:B,2,FALSE)</f>
        <v>0.12</v>
      </c>
      <c r="L71" s="152">
        <f>VLOOKUP($R$7,[1]PREÇOS!$A$2:$V$31,20,FALSE)</f>
        <v>14.954545454545455</v>
      </c>
      <c r="M71" s="38">
        <f t="shared" si="34"/>
        <v>14.954545454545455</v>
      </c>
      <c r="N71" s="136">
        <v>0</v>
      </c>
      <c r="O71" s="136">
        <f t="shared" si="35"/>
        <v>0.97204545454545466</v>
      </c>
      <c r="P71" s="40">
        <f t="shared" si="36"/>
        <v>15.92659090909091</v>
      </c>
      <c r="Q71" s="41"/>
      <c r="R71" s="156">
        <f t="shared" si="32"/>
        <v>0</v>
      </c>
      <c r="S71" s="155">
        <f t="shared" si="33"/>
        <v>0</v>
      </c>
    </row>
    <row r="72" spans="2:19" x14ac:dyDescent="0.3">
      <c r="B72" s="166" t="s">
        <v>178</v>
      </c>
      <c r="C72" s="167"/>
      <c r="D72" s="168">
        <v>5740</v>
      </c>
      <c r="E72" s="169" t="s">
        <v>172</v>
      </c>
      <c r="F72" s="169" t="s">
        <v>173</v>
      </c>
      <c r="G72" s="37">
        <f>VLOOKUP($R$7,[1]PSC!$A$2:$V$31,21,FALSE)</f>
        <v>27</v>
      </c>
      <c r="H72" s="168" t="s">
        <v>174</v>
      </c>
      <c r="I72" s="168">
        <v>7898969895743</v>
      </c>
      <c r="J72" s="168">
        <v>17898969895740</v>
      </c>
      <c r="K72" s="171">
        <f>VLOOKUP($R$7,'[1]ST BISCOITINHOS'!A:B,2,FALSE)</f>
        <v>0.12</v>
      </c>
      <c r="L72" s="170">
        <f>VLOOKUP($R$7,[1]PREÇOS!$A$2:$V$31,20,FALSE)</f>
        <v>14.954545454545455</v>
      </c>
      <c r="M72" s="38">
        <f t="shared" si="34"/>
        <v>14.954545454545455</v>
      </c>
      <c r="N72" s="172">
        <v>0</v>
      </c>
      <c r="O72" s="172">
        <f t="shared" si="35"/>
        <v>0.97204545454545466</v>
      </c>
      <c r="P72" s="40">
        <f t="shared" si="36"/>
        <v>15.92659090909091</v>
      </c>
      <c r="Q72" s="41"/>
      <c r="R72" s="173">
        <f t="shared" si="32"/>
        <v>0</v>
      </c>
      <c r="S72" s="174">
        <f t="shared" si="33"/>
        <v>0</v>
      </c>
    </row>
    <row r="73" spans="2:19" x14ac:dyDescent="0.3">
      <c r="B73" s="157" t="s">
        <v>179</v>
      </c>
      <c r="C73" s="158"/>
      <c r="D73" s="150">
        <v>5757</v>
      </c>
      <c r="E73" s="151" t="s">
        <v>172</v>
      </c>
      <c r="F73" s="151" t="s">
        <v>173</v>
      </c>
      <c r="G73" s="37">
        <f>VLOOKUP($R$7,[1]PSC!$A$2:$V$31,21,FALSE)</f>
        <v>27</v>
      </c>
      <c r="H73" s="150" t="s">
        <v>174</v>
      </c>
      <c r="I73" s="150">
        <v>7898969895750</v>
      </c>
      <c r="J73" s="150">
        <v>17898969895757</v>
      </c>
      <c r="K73" s="153">
        <f>VLOOKUP($R$7,'[1]ST BISCOITINHOS'!A:B,2,FALSE)</f>
        <v>0.12</v>
      </c>
      <c r="L73" s="152">
        <f>VLOOKUP($R$7,[1]PREÇOS!$A$2:$V$31,20,FALSE)</f>
        <v>14.954545454545455</v>
      </c>
      <c r="M73" s="38">
        <f t="shared" si="34"/>
        <v>14.954545454545455</v>
      </c>
      <c r="N73" s="136">
        <v>0</v>
      </c>
      <c r="O73" s="136">
        <f t="shared" si="35"/>
        <v>0.97204545454545466</v>
      </c>
      <c r="P73" s="40">
        <f t="shared" si="36"/>
        <v>15.92659090909091</v>
      </c>
      <c r="Q73" s="41"/>
      <c r="R73" s="156">
        <f t="shared" si="32"/>
        <v>0</v>
      </c>
      <c r="S73" s="155">
        <f t="shared" si="33"/>
        <v>0</v>
      </c>
    </row>
    <row r="74" spans="2:19" x14ac:dyDescent="0.3">
      <c r="B74" s="166" t="s">
        <v>180</v>
      </c>
      <c r="C74" s="167"/>
      <c r="D74" s="35">
        <v>5702</v>
      </c>
      <c r="E74" s="34" t="s">
        <v>172</v>
      </c>
      <c r="F74" s="34" t="s">
        <v>173</v>
      </c>
      <c r="G74" s="37">
        <f>VLOOKUP($R$7,[1]PSC!$A$2:$V$31,20,FALSE)</f>
        <v>36</v>
      </c>
      <c r="H74" s="35" t="s">
        <v>174</v>
      </c>
      <c r="I74" s="35">
        <v>7898969895705</v>
      </c>
      <c r="J74" s="35">
        <v>17898969895702</v>
      </c>
      <c r="K74" s="36">
        <f>VLOOKUP($R$7,'[1]ST BISCOITINHOS'!A:B,2,FALSE)</f>
        <v>0.12</v>
      </c>
      <c r="L74" s="37">
        <f>VLOOKUP($R$7,[1]PREÇOS!$A$2:$V$31,21,FALSE)</f>
        <v>19.227272727272727</v>
      </c>
      <c r="M74" s="38">
        <f t="shared" si="34"/>
        <v>19.227272727272727</v>
      </c>
      <c r="N74" s="39">
        <v>0</v>
      </c>
      <c r="O74" s="39">
        <f t="shared" si="35"/>
        <v>1.2497727272727273</v>
      </c>
      <c r="P74" s="40">
        <f t="shared" si="36"/>
        <v>20.477045454545454</v>
      </c>
      <c r="Q74" s="41"/>
      <c r="R74" s="42">
        <f t="shared" si="32"/>
        <v>0</v>
      </c>
      <c r="S74" s="40">
        <f t="shared" si="33"/>
        <v>0</v>
      </c>
    </row>
    <row r="75" spans="2:19" x14ac:dyDescent="0.3">
      <c r="B75" s="157" t="s">
        <v>181</v>
      </c>
      <c r="C75" s="158"/>
      <c r="D75" s="159">
        <v>5719</v>
      </c>
      <c r="E75" s="160" t="s">
        <v>172</v>
      </c>
      <c r="F75" s="160" t="s">
        <v>173</v>
      </c>
      <c r="G75" s="37">
        <f>VLOOKUP($R$7,[1]PSC!$A$2:$V$31,20,FALSE)</f>
        <v>36</v>
      </c>
      <c r="H75" s="159" t="s">
        <v>174</v>
      </c>
      <c r="I75" s="159">
        <v>7898969895712</v>
      </c>
      <c r="J75" s="159">
        <v>17898969895719</v>
      </c>
      <c r="K75" s="162">
        <f>VLOOKUP($R$7,'[1]ST BISCOITINHOS'!A:B,2,FALSE)</f>
        <v>0.12</v>
      </c>
      <c r="L75" s="161">
        <f>VLOOKUP($R$7,[1]PREÇOS!$A$2:$V$31,21,FALSE)</f>
        <v>19.227272727272727</v>
      </c>
      <c r="M75" s="38">
        <f t="shared" si="34"/>
        <v>19.227272727272727</v>
      </c>
      <c r="N75" s="163">
        <v>0</v>
      </c>
      <c r="O75" s="163">
        <f t="shared" si="35"/>
        <v>1.2497727272727273</v>
      </c>
      <c r="P75" s="40">
        <f t="shared" si="36"/>
        <v>20.477045454545454</v>
      </c>
      <c r="Q75" s="41"/>
      <c r="R75" s="164">
        <f t="shared" si="32"/>
        <v>0</v>
      </c>
      <c r="S75" s="165">
        <f t="shared" si="33"/>
        <v>0</v>
      </c>
    </row>
    <row r="76" spans="2:19" x14ac:dyDescent="0.3">
      <c r="B76" s="166" t="s">
        <v>182</v>
      </c>
      <c r="C76" s="167"/>
      <c r="D76" s="35">
        <v>5726</v>
      </c>
      <c r="E76" s="34" t="s">
        <v>172</v>
      </c>
      <c r="F76" s="34" t="s">
        <v>173</v>
      </c>
      <c r="G76" s="37">
        <f>VLOOKUP($R$7,[1]PSC!$A$2:$V$31,20,FALSE)</f>
        <v>36</v>
      </c>
      <c r="H76" s="35" t="s">
        <v>174</v>
      </c>
      <c r="I76" s="35">
        <v>7898969895729</v>
      </c>
      <c r="J76" s="35">
        <v>17898969895726</v>
      </c>
      <c r="K76" s="36">
        <f>VLOOKUP($R$7,'[1]ST BISCOITINHOS'!A:B,2,FALSE)</f>
        <v>0.12</v>
      </c>
      <c r="L76" s="37">
        <f>VLOOKUP($R$7,[1]PREÇOS!$A$2:$V$31,21,FALSE)</f>
        <v>19.227272727272727</v>
      </c>
      <c r="M76" s="38">
        <f t="shared" si="34"/>
        <v>19.227272727272727</v>
      </c>
      <c r="N76" s="39">
        <v>0</v>
      </c>
      <c r="O76" s="39">
        <f t="shared" si="35"/>
        <v>1.2497727272727273</v>
      </c>
      <c r="P76" s="40">
        <f t="shared" si="36"/>
        <v>20.477045454545454</v>
      </c>
      <c r="Q76" s="41"/>
      <c r="R76" s="42">
        <f t="shared" si="32"/>
        <v>0</v>
      </c>
      <c r="S76" s="40">
        <f t="shared" si="33"/>
        <v>0</v>
      </c>
    </row>
    <row r="77" spans="2:19" x14ac:dyDescent="0.3">
      <c r="B77" s="157" t="s">
        <v>183</v>
      </c>
      <c r="C77" s="158"/>
      <c r="D77" s="150">
        <v>5675</v>
      </c>
      <c r="E77" s="151" t="s">
        <v>172</v>
      </c>
      <c r="F77" s="151" t="s">
        <v>173</v>
      </c>
      <c r="G77" s="37">
        <f>VLOOKUP($R$7,[1]PSC!$A$2:$V$31,22,FALSE)</f>
        <v>48</v>
      </c>
      <c r="H77" s="150" t="s">
        <v>174</v>
      </c>
      <c r="I77" s="150">
        <v>7898969895675</v>
      </c>
      <c r="J77" s="150">
        <v>17898969895672</v>
      </c>
      <c r="K77" s="153">
        <f>VLOOKUP($R$7,'[1]ST BISCOITINHOS'!A:B,2,FALSE)</f>
        <v>0.12</v>
      </c>
      <c r="L77" s="152">
        <f>VLOOKUP($R$7,[1]PREÇOS!$A$2:$V$31,22,FALSE)</f>
        <v>29.150681818181813</v>
      </c>
      <c r="M77" s="38">
        <f t="shared" si="34"/>
        <v>29.150681818181813</v>
      </c>
      <c r="N77" s="136">
        <v>0</v>
      </c>
      <c r="O77" s="136">
        <f t="shared" si="35"/>
        <v>1.8947943181818179</v>
      </c>
      <c r="P77" s="40">
        <f t="shared" si="36"/>
        <v>31.045476136363632</v>
      </c>
      <c r="Q77" s="41"/>
      <c r="R77" s="156">
        <f t="shared" si="32"/>
        <v>0</v>
      </c>
      <c r="S77" s="155">
        <f t="shared" si="33"/>
        <v>0</v>
      </c>
    </row>
    <row r="78" spans="2:19" x14ac:dyDescent="0.3">
      <c r="B78" s="166" t="s">
        <v>184</v>
      </c>
      <c r="C78" s="167"/>
      <c r="D78" s="168">
        <v>5689</v>
      </c>
      <c r="E78" s="169" t="s">
        <v>172</v>
      </c>
      <c r="F78" s="169" t="s">
        <v>173</v>
      </c>
      <c r="G78" s="37">
        <f>VLOOKUP($R$7,[1]PSC!$A$2:$V$31,22,FALSE)</f>
        <v>48</v>
      </c>
      <c r="H78" s="168" t="s">
        <v>174</v>
      </c>
      <c r="I78" s="168">
        <v>7898969895682</v>
      </c>
      <c r="J78" s="168">
        <v>17898969895689</v>
      </c>
      <c r="K78" s="171">
        <f>VLOOKUP($R$7,'[1]ST BISCOITINHOS'!A:B,2,FALSE)</f>
        <v>0.12</v>
      </c>
      <c r="L78" s="170">
        <f>VLOOKUP($R$7,[1]PREÇOS!$A$2:$V$31,22,FALSE)</f>
        <v>29.150681818181813</v>
      </c>
      <c r="M78" s="38">
        <f t="shared" si="34"/>
        <v>29.150681818181813</v>
      </c>
      <c r="N78" s="172">
        <v>0</v>
      </c>
      <c r="O78" s="172">
        <f t="shared" si="35"/>
        <v>1.8947943181818179</v>
      </c>
      <c r="P78" s="40">
        <f t="shared" si="36"/>
        <v>31.045476136363632</v>
      </c>
      <c r="Q78" s="41"/>
      <c r="R78" s="173">
        <f t="shared" si="32"/>
        <v>0</v>
      </c>
      <c r="S78" s="174">
        <f t="shared" si="33"/>
        <v>0</v>
      </c>
    </row>
    <row r="79" spans="2:19" x14ac:dyDescent="0.3">
      <c r="B79" s="157" t="s">
        <v>185</v>
      </c>
      <c r="C79" s="158"/>
      <c r="D79" s="150">
        <v>5696</v>
      </c>
      <c r="E79" s="151" t="s">
        <v>172</v>
      </c>
      <c r="F79" s="151" t="s">
        <v>173</v>
      </c>
      <c r="G79" s="37">
        <f>VLOOKUP($R$7,[1]PSC!$A$2:$V$31,22,FALSE)</f>
        <v>48</v>
      </c>
      <c r="H79" s="150" t="s">
        <v>174</v>
      </c>
      <c r="I79" s="150">
        <v>7898969895699</v>
      </c>
      <c r="J79" s="150">
        <v>17898969895696</v>
      </c>
      <c r="K79" s="153">
        <f>VLOOKUP($R$7,'[1]ST BISCOITINHOS'!A:B,2,FALSE)</f>
        <v>0.12</v>
      </c>
      <c r="L79" s="152">
        <f>VLOOKUP($R$7,[1]PREÇOS!$A$2:$V$31,22,FALSE)</f>
        <v>29.150681818181813</v>
      </c>
      <c r="M79" s="38">
        <f t="shared" si="34"/>
        <v>29.150681818181813</v>
      </c>
      <c r="N79" s="136">
        <v>0</v>
      </c>
      <c r="O79" s="136">
        <f t="shared" si="35"/>
        <v>1.8947943181818179</v>
      </c>
      <c r="P79" s="40">
        <f t="shared" si="36"/>
        <v>31.045476136363632</v>
      </c>
      <c r="Q79" s="41"/>
      <c r="R79" s="156">
        <f t="shared" si="32"/>
        <v>0</v>
      </c>
      <c r="S79" s="155">
        <f t="shared" si="33"/>
        <v>0</v>
      </c>
    </row>
    <row r="80" spans="2:19" ht="15" thickBot="1" x14ac:dyDescent="0.35">
      <c r="B80" s="78"/>
      <c r="M80" s="175" t="s">
        <v>186</v>
      </c>
    </row>
    <row r="81" spans="2:19" ht="15" thickBot="1" x14ac:dyDescent="0.35">
      <c r="B81" s="78"/>
      <c r="P81" s="84" t="s">
        <v>94</v>
      </c>
      <c r="Q81" s="85"/>
      <c r="R81" s="86"/>
      <c r="S81" s="15">
        <f>SUM(R11:R78)</f>
        <v>0</v>
      </c>
    </row>
    <row r="82" spans="2:19" ht="15" thickBot="1" x14ac:dyDescent="0.35">
      <c r="B82" s="78"/>
      <c r="Q82" s="49"/>
      <c r="R82" s="87"/>
      <c r="S82" s="16"/>
    </row>
    <row r="83" spans="2:19" ht="15" thickBot="1" x14ac:dyDescent="0.35">
      <c r="B83" s="78"/>
      <c r="P83" s="84" t="s">
        <v>95</v>
      </c>
      <c r="Q83" s="85"/>
      <c r="R83" s="86"/>
      <c r="S83" s="15">
        <f>S85-S81</f>
        <v>0</v>
      </c>
    </row>
    <row r="84" spans="2:19" ht="15" thickBot="1" x14ac:dyDescent="0.35">
      <c r="B84" s="78"/>
      <c r="P84" s="56"/>
      <c r="Q84" s="49"/>
      <c r="R84" s="87"/>
      <c r="S84" s="16"/>
    </row>
    <row r="85" spans="2:19" ht="15" thickBot="1" x14ac:dyDescent="0.35">
      <c r="B85" s="78"/>
      <c r="P85" s="84" t="s">
        <v>96</v>
      </c>
      <c r="Q85" s="85"/>
      <c r="R85" s="86"/>
      <c r="S85" s="15">
        <f>SUM(S11:S79)</f>
        <v>0</v>
      </c>
    </row>
  </sheetData>
  <protectedRanges>
    <protectedRange sqref="Q43:Q48" name="Intervalo1_3_1"/>
    <protectedRange sqref="Q38:Q42" name="Intervalo1_4"/>
    <protectedRange sqref="Q22" name="Intervalo1"/>
    <protectedRange sqref="Q17:Q21 Q11:Q12 Q23:Q37 Q14:Q15" name="Intervalo1_3"/>
    <protectedRange sqref="Q49:Q53" name="Intervalo1_3_1_1"/>
    <protectedRange sqref="Q58:Q59 Q54:Q56 Q68:Q79" name="Intervalo1_3_2"/>
    <protectedRange sqref="Q61:Q64 Q66" name="Intervalo1_3_1_2"/>
  </protectedRanges>
  <dataConsolidate/>
  <mergeCells count="45">
    <mergeCell ref="B66:C66"/>
    <mergeCell ref="B68:C68"/>
    <mergeCell ref="B59:C59"/>
    <mergeCell ref="B61:C61"/>
    <mergeCell ref="B62:C62"/>
    <mergeCell ref="B63:C63"/>
    <mergeCell ref="B64:C64"/>
    <mergeCell ref="B26:C26"/>
    <mergeCell ref="B35:C35"/>
    <mergeCell ref="B36:C36"/>
    <mergeCell ref="B28:C28"/>
    <mergeCell ref="B29:C29"/>
    <mergeCell ref="B31:C31"/>
    <mergeCell ref="B45:C45"/>
    <mergeCell ref="B43:C43"/>
    <mergeCell ref="B44:C44"/>
    <mergeCell ref="B46:C46"/>
    <mergeCell ref="B47:C47"/>
    <mergeCell ref="B49:C49"/>
    <mergeCell ref="B50:C50"/>
    <mergeCell ref="B51:C51"/>
    <mergeCell ref="B52:C52"/>
    <mergeCell ref="B54:C54"/>
    <mergeCell ref="B55:C55"/>
    <mergeCell ref="B56:C56"/>
    <mergeCell ref="B58:C58"/>
    <mergeCell ref="R7:S7"/>
    <mergeCell ref="B20:C20"/>
    <mergeCell ref="B21:C21"/>
    <mergeCell ref="B24:C24"/>
    <mergeCell ref="B25:C25"/>
    <mergeCell ref="B22:C22"/>
    <mergeCell ref="B11:C11"/>
    <mergeCell ref="B12:C12"/>
    <mergeCell ref="B17:C17"/>
    <mergeCell ref="B18:C18"/>
    <mergeCell ref="B19:C19"/>
    <mergeCell ref="B14:C14"/>
    <mergeCell ref="B15:C15"/>
    <mergeCell ref="B40:C40"/>
    <mergeCell ref="B41:C41"/>
    <mergeCell ref="B32:C32"/>
    <mergeCell ref="B34:C34"/>
    <mergeCell ref="B38:C38"/>
    <mergeCell ref="B39:C39"/>
  </mergeCells>
  <pageMargins left="3.937007874015748E-2" right="3.937007874015748E-2" top="0.78740157480314965" bottom="0.78740157480314965" header="0.31496062992125984" footer="0.31496062992125984"/>
  <pageSetup paperSize="9" scale="54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R7:S7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Q21" sqref="Q21"/>
    </sheetView>
  </sheetViews>
  <sheetFormatPr defaultRowHeight="14.4" x14ac:dyDescent="0.3"/>
  <sheetData>
    <row r="2" spans="3:3" x14ac:dyDescent="0.3">
      <c r="C2" t="s">
        <v>97</v>
      </c>
    </row>
    <row r="3" spans="3:3" x14ac:dyDescent="0.3">
      <c r="C3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Q21" sqref="Q21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332031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24">
        <v>0.04</v>
      </c>
      <c r="C2" s="124">
        <v>0.04</v>
      </c>
      <c r="D2" s="125"/>
      <c r="E2" s="125"/>
      <c r="F2" s="125"/>
      <c r="G2" s="125"/>
      <c r="H2" s="4">
        <f>PREÇOS!D3</f>
        <v>11.814100000000002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6" t="s">
        <v>109</v>
      </c>
      <c r="B3" s="127">
        <v>0.04</v>
      </c>
      <c r="C3" s="127">
        <v>0.2</v>
      </c>
      <c r="D3" s="93">
        <v>0.3</v>
      </c>
      <c r="E3" s="93"/>
      <c r="F3" s="93">
        <v>0.56000000000000005</v>
      </c>
      <c r="G3" s="93"/>
      <c r="H3" s="4">
        <f>PREÇOS!D4</f>
        <v>11.814100000000002</v>
      </c>
      <c r="I3" s="4">
        <f>IF(F3=0,,H3*(1+F3)*C3-(H3*B3))</f>
        <v>3.2134352000000006</v>
      </c>
      <c r="J3" s="4">
        <f t="shared" ref="J3:J26" si="0">IF(G3=0,IF(F3=0,,H3*(1+F3)*C3-(H3*B3)),H3*(1+G3)*C3-(H3*B3))</f>
        <v>3.2134352000000006</v>
      </c>
    </row>
    <row r="4" spans="1:10" x14ac:dyDescent="0.3">
      <c r="A4" s="123" t="s">
        <v>110</v>
      </c>
      <c r="B4" s="124">
        <v>0.04</v>
      </c>
      <c r="C4" s="124">
        <v>0.04</v>
      </c>
      <c r="D4" s="125"/>
      <c r="E4" s="125"/>
      <c r="F4" s="125"/>
      <c r="G4" s="125"/>
      <c r="H4" s="4">
        <f>PREÇOS!D5</f>
        <v>11.814100000000002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23" t="s">
        <v>111</v>
      </c>
      <c r="B5" s="124">
        <v>0.04</v>
      </c>
      <c r="C5" s="124">
        <v>0.18</v>
      </c>
      <c r="D5" s="125">
        <v>0.34</v>
      </c>
      <c r="E5" s="125"/>
      <c r="F5" s="125">
        <v>0.56879999999999997</v>
      </c>
      <c r="G5" s="125"/>
      <c r="H5" s="4">
        <f>PREÇOS!D6</f>
        <v>11.814100000000002</v>
      </c>
      <c r="I5" s="4">
        <f t="shared" si="1"/>
        <v>2.8635488144000001</v>
      </c>
      <c r="J5" s="4">
        <f t="shared" si="0"/>
        <v>2.8635488144000001</v>
      </c>
    </row>
    <row r="6" spans="1:10" x14ac:dyDescent="0.3">
      <c r="A6" s="123" t="s">
        <v>112</v>
      </c>
      <c r="B6" s="124">
        <v>0.04</v>
      </c>
      <c r="C6" s="124">
        <v>0.04</v>
      </c>
      <c r="D6" s="125"/>
      <c r="E6" s="125"/>
      <c r="F6" s="125"/>
      <c r="G6" s="125"/>
      <c r="H6" s="4">
        <f>PREÇOS!D7</f>
        <v>11.814100000000002</v>
      </c>
      <c r="I6" s="4">
        <f t="shared" si="1"/>
        <v>0</v>
      </c>
      <c r="J6" s="4">
        <f t="shared" si="0"/>
        <v>0</v>
      </c>
    </row>
    <row r="7" spans="1:10" x14ac:dyDescent="0.3">
      <c r="A7" s="123" t="s">
        <v>113</v>
      </c>
      <c r="B7" s="124">
        <v>0.04</v>
      </c>
      <c r="C7" s="124">
        <v>0.04</v>
      </c>
      <c r="D7" s="125"/>
      <c r="E7" s="125"/>
      <c r="F7" s="125"/>
      <c r="G7" s="125"/>
      <c r="H7" s="4">
        <f>PREÇOS!D8</f>
        <v>11.814100000000002</v>
      </c>
      <c r="I7" s="4">
        <f t="shared" si="1"/>
        <v>0</v>
      </c>
      <c r="J7" s="4">
        <f t="shared" si="0"/>
        <v>0</v>
      </c>
    </row>
    <row r="8" spans="1:10" x14ac:dyDescent="0.3">
      <c r="A8" s="123" t="s">
        <v>114</v>
      </c>
      <c r="B8" s="124">
        <v>0.04</v>
      </c>
      <c r="C8" s="124">
        <v>0.04</v>
      </c>
      <c r="D8" s="125"/>
      <c r="E8" s="125"/>
      <c r="F8" s="125"/>
      <c r="G8" s="125"/>
      <c r="H8" s="4">
        <f>PREÇOS!D9</f>
        <v>11.814100000000002</v>
      </c>
      <c r="I8" s="4">
        <f t="shared" si="1"/>
        <v>0</v>
      </c>
      <c r="J8" s="4">
        <f t="shared" si="0"/>
        <v>0</v>
      </c>
    </row>
    <row r="9" spans="1:10" x14ac:dyDescent="0.3">
      <c r="A9" s="123" t="s">
        <v>115</v>
      </c>
      <c r="B9" s="124">
        <v>0.04</v>
      </c>
      <c r="C9" s="124">
        <v>0.04</v>
      </c>
      <c r="D9" s="125"/>
      <c r="E9" s="125"/>
      <c r="F9" s="125"/>
      <c r="G9" s="125"/>
      <c r="H9" s="4">
        <f>PREÇOS!D10</f>
        <v>11.814100000000002</v>
      </c>
      <c r="I9" s="4">
        <f t="shared" si="1"/>
        <v>0</v>
      </c>
      <c r="J9" s="4">
        <f t="shared" si="0"/>
        <v>0</v>
      </c>
    </row>
    <row r="10" spans="1:10" x14ac:dyDescent="0.3">
      <c r="A10" s="123" t="s">
        <v>116</v>
      </c>
      <c r="B10" s="124">
        <v>0.04</v>
      </c>
      <c r="C10" s="124">
        <v>0.04</v>
      </c>
      <c r="D10" s="125"/>
      <c r="E10" s="125"/>
      <c r="F10" s="125"/>
      <c r="G10" s="125"/>
      <c r="H10" s="4">
        <f>PREÇOS!D11</f>
        <v>11.814100000000002</v>
      </c>
      <c r="I10" s="4">
        <f t="shared" si="1"/>
        <v>0</v>
      </c>
      <c r="J10" s="4">
        <f t="shared" si="0"/>
        <v>0</v>
      </c>
    </row>
    <row r="11" spans="1:10" x14ac:dyDescent="0.3">
      <c r="A11" s="123" t="s">
        <v>117</v>
      </c>
      <c r="B11" s="124">
        <v>0.04</v>
      </c>
      <c r="C11" s="124">
        <v>0.04</v>
      </c>
      <c r="D11" s="125"/>
      <c r="E11" s="125"/>
      <c r="F11" s="125"/>
      <c r="G11" s="125"/>
      <c r="H11" s="4">
        <f>PREÇOS!D12</f>
        <v>11.814100000000002</v>
      </c>
      <c r="I11" s="4">
        <f t="shared" si="1"/>
        <v>0</v>
      </c>
      <c r="J11" s="4">
        <f t="shared" si="0"/>
        <v>0</v>
      </c>
    </row>
    <row r="12" spans="1:10" x14ac:dyDescent="0.3">
      <c r="A12" s="126" t="s">
        <v>118</v>
      </c>
      <c r="B12" s="127">
        <v>0.04</v>
      </c>
      <c r="C12" s="127">
        <v>0.18</v>
      </c>
      <c r="D12" s="93">
        <v>0.25</v>
      </c>
      <c r="E12" s="93"/>
      <c r="F12" s="93">
        <v>0.36359999999999998</v>
      </c>
      <c r="G12" s="93"/>
      <c r="H12" s="4">
        <f>PREÇOS!D13</f>
        <v>11.814100000000002</v>
      </c>
      <c r="I12" s="4">
        <f>IF(F12=0,,H12*(1+F12)*C12-(H12*B12))</f>
        <v>2.4271832168</v>
      </c>
      <c r="J12" s="4">
        <f t="shared" si="0"/>
        <v>2.4271832168</v>
      </c>
    </row>
    <row r="13" spans="1:10" x14ac:dyDescent="0.3">
      <c r="A13" s="123" t="s">
        <v>119</v>
      </c>
      <c r="B13" s="124">
        <v>0.04</v>
      </c>
      <c r="C13" s="124">
        <v>0.04</v>
      </c>
      <c r="D13" s="125"/>
      <c r="E13" s="125"/>
      <c r="F13" s="125"/>
      <c r="G13" s="125"/>
      <c r="H13" s="4">
        <f>PREÇOS!D14</f>
        <v>11.814100000000002</v>
      </c>
      <c r="I13" s="4">
        <f t="shared" si="1"/>
        <v>0</v>
      </c>
      <c r="J13" s="4">
        <f t="shared" si="0"/>
        <v>0</v>
      </c>
    </row>
    <row r="14" spans="1:10" x14ac:dyDescent="0.3">
      <c r="A14" s="126" t="s">
        <v>120</v>
      </c>
      <c r="B14" s="127">
        <v>0.04</v>
      </c>
      <c r="C14" s="127">
        <v>0.04</v>
      </c>
      <c r="D14" s="93"/>
      <c r="E14" s="93"/>
      <c r="F14" s="93"/>
      <c r="G14" s="93"/>
      <c r="H14" s="4">
        <f>PREÇOS!D15</f>
        <v>11.814100000000002</v>
      </c>
      <c r="I14" s="4">
        <f t="shared" si="1"/>
        <v>0</v>
      </c>
      <c r="J14" s="4">
        <f t="shared" si="0"/>
        <v>0</v>
      </c>
    </row>
    <row r="15" spans="1:10" x14ac:dyDescent="0.3">
      <c r="A15" s="128" t="s">
        <v>121</v>
      </c>
      <c r="B15" s="129">
        <v>0.04</v>
      </c>
      <c r="C15" s="129">
        <v>0.04</v>
      </c>
      <c r="D15" s="130"/>
      <c r="E15" s="130"/>
      <c r="F15" s="130"/>
      <c r="G15" s="130"/>
      <c r="H15" s="4">
        <f>PREÇOS!D16</f>
        <v>11.814100000000002</v>
      </c>
      <c r="I15" s="4">
        <f t="shared" si="1"/>
        <v>0</v>
      </c>
      <c r="J15" s="4">
        <f t="shared" si="0"/>
        <v>0</v>
      </c>
    </row>
    <row r="16" spans="1:10" x14ac:dyDescent="0.3">
      <c r="A16" s="128" t="s">
        <v>122</v>
      </c>
      <c r="B16" s="129">
        <v>0.04</v>
      </c>
      <c r="C16" s="129">
        <v>0.04</v>
      </c>
      <c r="D16" s="130"/>
      <c r="E16" s="130"/>
      <c r="F16" s="130"/>
      <c r="G16" s="130"/>
      <c r="H16" s="4">
        <f>PREÇOS!D17</f>
        <v>11.814100000000002</v>
      </c>
      <c r="I16" s="4">
        <f t="shared" si="1"/>
        <v>0</v>
      </c>
      <c r="J16" s="4">
        <f t="shared" si="0"/>
        <v>0</v>
      </c>
    </row>
    <row r="17" spans="1:16" x14ac:dyDescent="0.3">
      <c r="A17" s="128" t="s">
        <v>123</v>
      </c>
      <c r="B17" s="129">
        <v>0.04</v>
      </c>
      <c r="C17" s="129">
        <v>0.04</v>
      </c>
      <c r="D17" s="130"/>
      <c r="E17" s="130"/>
      <c r="F17" s="130"/>
      <c r="G17" s="130"/>
      <c r="H17" s="4">
        <f>PREÇOS!D18</f>
        <v>11.814100000000002</v>
      </c>
      <c r="I17" s="4">
        <f t="shared" si="1"/>
        <v>0</v>
      </c>
      <c r="J17" s="4">
        <f t="shared" si="0"/>
        <v>0</v>
      </c>
    </row>
    <row r="18" spans="1:16" x14ac:dyDescent="0.3">
      <c r="A18" s="128" t="s">
        <v>124</v>
      </c>
      <c r="B18" s="129">
        <v>0.04</v>
      </c>
      <c r="C18" s="129">
        <v>0.04</v>
      </c>
      <c r="D18" s="130"/>
      <c r="E18" s="130"/>
      <c r="F18" s="130"/>
      <c r="G18" s="130"/>
      <c r="H18" s="4">
        <f>PREÇOS!D19</f>
        <v>11.814100000000002</v>
      </c>
      <c r="I18" s="4">
        <f t="shared" si="1"/>
        <v>0</v>
      </c>
      <c r="J18" s="4">
        <f t="shared" si="0"/>
        <v>0</v>
      </c>
    </row>
    <row r="19" spans="1:16" x14ac:dyDescent="0.3">
      <c r="A19" s="128" t="s">
        <v>10</v>
      </c>
      <c r="B19" s="129">
        <v>0.12</v>
      </c>
      <c r="C19" s="129">
        <v>0.12</v>
      </c>
      <c r="D19" s="130"/>
      <c r="E19" s="130"/>
      <c r="F19" s="130"/>
      <c r="G19" s="130"/>
      <c r="H19" s="4">
        <f>PREÇOS!D20</f>
        <v>12.9574</v>
      </c>
      <c r="I19" s="4">
        <f t="shared" si="1"/>
        <v>0</v>
      </c>
      <c r="J19" s="4">
        <f t="shared" si="0"/>
        <v>0</v>
      </c>
    </row>
    <row r="20" spans="1:16" x14ac:dyDescent="0.3">
      <c r="A20" s="126" t="s">
        <v>125</v>
      </c>
      <c r="B20" s="127">
        <v>0.04</v>
      </c>
      <c r="C20" s="127">
        <v>0.22</v>
      </c>
      <c r="D20" s="93">
        <v>0.35199999999999998</v>
      </c>
      <c r="E20" s="93"/>
      <c r="F20" s="93">
        <v>0.66400000000000003</v>
      </c>
      <c r="G20" s="93"/>
      <c r="H20" s="4">
        <f>PREÇOS!D21</f>
        <v>11.814100000000002</v>
      </c>
      <c r="I20" s="4">
        <f>IF(F20=0,,H20*(1+F20)*C20-(H20*B20))</f>
        <v>3.8523417280000007</v>
      </c>
      <c r="J20" s="4">
        <f t="shared" si="0"/>
        <v>3.8523417280000007</v>
      </c>
    </row>
    <row r="21" spans="1:16" x14ac:dyDescent="0.3">
      <c r="A21" s="123" t="s">
        <v>126</v>
      </c>
      <c r="B21" s="124">
        <v>0.04</v>
      </c>
      <c r="C21" s="124">
        <v>0.04</v>
      </c>
      <c r="D21" s="125"/>
      <c r="E21" s="125"/>
      <c r="F21" s="125"/>
      <c r="G21" s="125"/>
      <c r="H21" s="4">
        <f>PREÇOS!D22</f>
        <v>11.814100000000002</v>
      </c>
      <c r="I21" s="4">
        <f t="shared" si="1"/>
        <v>0</v>
      </c>
      <c r="J21" s="4">
        <f t="shared" si="0"/>
        <v>0</v>
      </c>
    </row>
    <row r="22" spans="1:16" x14ac:dyDescent="0.3">
      <c r="A22" s="123" t="s">
        <v>127</v>
      </c>
      <c r="B22" s="124">
        <v>0.04</v>
      </c>
      <c r="C22" s="124">
        <v>0.04</v>
      </c>
      <c r="D22" s="125"/>
      <c r="E22" s="125"/>
      <c r="F22" s="125"/>
      <c r="G22" s="125"/>
      <c r="H22" s="4">
        <f>PREÇOS!D23</f>
        <v>11.814100000000002</v>
      </c>
      <c r="I22" s="4">
        <f t="shared" si="1"/>
        <v>0</v>
      </c>
      <c r="J22" s="4">
        <f t="shared" si="0"/>
        <v>0</v>
      </c>
    </row>
    <row r="23" spans="1:16" x14ac:dyDescent="0.3">
      <c r="A23" s="123" t="s">
        <v>128</v>
      </c>
      <c r="B23" s="124">
        <v>0.04</v>
      </c>
      <c r="C23" s="124">
        <v>0.04</v>
      </c>
      <c r="D23" s="125"/>
      <c r="E23" s="125"/>
      <c r="F23" s="125"/>
      <c r="G23" s="125"/>
      <c r="H23" s="4">
        <f>PREÇOS!D24</f>
        <v>11.814100000000002</v>
      </c>
      <c r="I23" s="4">
        <f t="shared" si="1"/>
        <v>0</v>
      </c>
      <c r="J23" s="4">
        <f t="shared" si="0"/>
        <v>0</v>
      </c>
    </row>
    <row r="24" spans="1:16" x14ac:dyDescent="0.3">
      <c r="A24" s="123" t="s">
        <v>129</v>
      </c>
      <c r="B24" s="124">
        <v>0.04</v>
      </c>
      <c r="C24" s="124">
        <v>0.04</v>
      </c>
      <c r="D24" s="125"/>
      <c r="E24" s="125"/>
      <c r="F24" s="125"/>
      <c r="G24" s="125"/>
      <c r="H24" s="4">
        <f>PREÇOS!D25</f>
        <v>11.814100000000002</v>
      </c>
      <c r="I24" s="4">
        <f t="shared" si="1"/>
        <v>0</v>
      </c>
      <c r="J24" s="4">
        <f t="shared" si="0"/>
        <v>0</v>
      </c>
    </row>
    <row r="25" spans="1:16" x14ac:dyDescent="0.3">
      <c r="A25" s="123" t="s">
        <v>130</v>
      </c>
      <c r="B25" s="124">
        <v>0.04</v>
      </c>
      <c r="C25" s="124">
        <v>0.04</v>
      </c>
      <c r="D25" s="125"/>
      <c r="E25" s="125"/>
      <c r="F25" s="125"/>
      <c r="G25" s="125"/>
      <c r="H25" s="4">
        <f>PREÇOS!D26</f>
        <v>11.814100000000002</v>
      </c>
      <c r="I25" s="4">
        <f t="shared" si="1"/>
        <v>0</v>
      </c>
      <c r="J25" s="4">
        <f t="shared" si="0"/>
        <v>0</v>
      </c>
    </row>
    <row r="26" spans="1:16" x14ac:dyDescent="0.3">
      <c r="A26" s="123" t="s">
        <v>131</v>
      </c>
      <c r="B26" s="124">
        <v>0.04</v>
      </c>
      <c r="C26" s="124">
        <v>0.04</v>
      </c>
      <c r="D26" s="125"/>
      <c r="E26" s="125"/>
      <c r="F26" s="125"/>
      <c r="G26" s="125"/>
      <c r="H26" s="4">
        <f>PREÇOS!D27</f>
        <v>11.814100000000002</v>
      </c>
      <c r="I26" s="4">
        <f t="shared" si="1"/>
        <v>0</v>
      </c>
      <c r="J26" s="4">
        <f t="shared" si="0"/>
        <v>0</v>
      </c>
    </row>
    <row r="27" spans="1:16" x14ac:dyDescent="0.3">
      <c r="A27" s="123" t="s">
        <v>132</v>
      </c>
      <c r="B27" s="124">
        <v>0.04</v>
      </c>
      <c r="C27" s="124">
        <v>0.18</v>
      </c>
      <c r="D27" s="125">
        <v>0.48320000000000002</v>
      </c>
      <c r="E27" s="125"/>
      <c r="F27" s="125">
        <v>0.61799999999999999</v>
      </c>
      <c r="G27" s="125"/>
      <c r="H27" s="4">
        <f>PREÇOS!D28</f>
        <v>11.814100000000002</v>
      </c>
      <c r="I27" s="4">
        <f t="shared" ref="I27:I30" si="2">IF(F27=0,,H27*(1+F27)*C27-(H27*B27))</f>
        <v>2.9681744840000004</v>
      </c>
      <c r="J27" s="4">
        <f t="shared" ref="J27:J30" si="3">IF(G27=0,IF(F27=0,,H27*(1+F27)*C27-(H27*B27)),H27*(1+G27)*C27-(H27*B27))</f>
        <v>2.9681744840000004</v>
      </c>
      <c r="L27" s="6"/>
      <c r="N27" s="6"/>
      <c r="P27" s="6"/>
    </row>
    <row r="28" spans="1:16" x14ac:dyDescent="0.3">
      <c r="A28" s="126" t="s">
        <v>133</v>
      </c>
      <c r="B28" s="127">
        <f>B27</f>
        <v>0.04</v>
      </c>
      <c r="C28" s="127">
        <f t="shared" ref="C28:G28" si="4">C27</f>
        <v>0.18</v>
      </c>
      <c r="D28" s="93">
        <f t="shared" si="4"/>
        <v>0.48320000000000002</v>
      </c>
      <c r="E28" s="127">
        <f t="shared" si="4"/>
        <v>0</v>
      </c>
      <c r="F28" s="93">
        <f t="shared" si="4"/>
        <v>0.61799999999999999</v>
      </c>
      <c r="G28" s="127">
        <f t="shared" si="4"/>
        <v>0</v>
      </c>
      <c r="H28" s="120">
        <f>PREÇOS!D29</f>
        <v>11.814100000000002</v>
      </c>
      <c r="I28" s="120">
        <f t="shared" si="2"/>
        <v>2.9681744840000004</v>
      </c>
      <c r="J28" s="120">
        <f t="shared" si="3"/>
        <v>2.9681744840000004</v>
      </c>
      <c r="L28" s="6"/>
      <c r="N28" s="6"/>
      <c r="P28" s="6"/>
    </row>
    <row r="29" spans="1:16" x14ac:dyDescent="0.3">
      <c r="A29" s="123" t="s">
        <v>134</v>
      </c>
      <c r="B29" s="124">
        <v>0.04</v>
      </c>
      <c r="C29" s="124">
        <v>0.04</v>
      </c>
      <c r="D29" s="125"/>
      <c r="E29" s="125"/>
      <c r="F29" s="125"/>
      <c r="G29" s="125"/>
      <c r="H29" s="4">
        <f>PREÇOS!D30</f>
        <v>11.814100000000002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135</v>
      </c>
      <c r="H30" s="4">
        <f>PREÇOS!D31</f>
        <v>0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zoomScale="82" zoomScaleNormal="82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v>7.0000000000000007E-2</v>
      </c>
      <c r="C2" s="131">
        <v>7.0000000000000007E-2</v>
      </c>
      <c r="D2" s="125"/>
      <c r="E2" s="125"/>
      <c r="F2" s="125"/>
      <c r="G2" s="125"/>
      <c r="H2" s="7">
        <f>PREÇOS!E3</f>
        <v>7.93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3" t="s">
        <v>109</v>
      </c>
      <c r="B3" s="131">
        <v>7.0000000000000007E-2</v>
      </c>
      <c r="C3" s="131">
        <v>0.19</v>
      </c>
      <c r="D3" s="125">
        <v>0.2</v>
      </c>
      <c r="E3" s="125"/>
      <c r="F3" s="125">
        <v>0.36099999999999999</v>
      </c>
      <c r="G3" s="125"/>
      <c r="H3" s="7">
        <f>PREÇOS!E4</f>
        <v>7.93</v>
      </c>
      <c r="I3" s="4">
        <f t="shared" si="0"/>
        <v>1.4955186999999999</v>
      </c>
      <c r="J3" s="4">
        <f t="shared" si="1"/>
        <v>1.4955186999999999</v>
      </c>
    </row>
    <row r="4" spans="1:10" x14ac:dyDescent="0.3">
      <c r="A4" s="123" t="s">
        <v>110</v>
      </c>
      <c r="B4" s="131">
        <v>7.0000000000000007E-2</v>
      </c>
      <c r="C4" s="131">
        <v>7.0000000000000007E-2</v>
      </c>
      <c r="D4" s="125"/>
      <c r="E4" s="125"/>
      <c r="F4" s="125"/>
      <c r="G4" s="125"/>
      <c r="H4" s="7">
        <f>PREÇOS!E5</f>
        <v>7.93</v>
      </c>
      <c r="I4" s="4">
        <f t="shared" si="0"/>
        <v>0</v>
      </c>
      <c r="J4" s="4">
        <f t="shared" si="1"/>
        <v>0</v>
      </c>
    </row>
    <row r="5" spans="1:10" x14ac:dyDescent="0.3">
      <c r="A5" s="123" t="s">
        <v>111</v>
      </c>
      <c r="B5" s="131">
        <v>7.0000000000000007E-2</v>
      </c>
      <c r="C5" s="131">
        <v>0.18</v>
      </c>
      <c r="D5" s="125">
        <v>0.38</v>
      </c>
      <c r="E5" s="125"/>
      <c r="F5" s="125">
        <v>0.56510000000000005</v>
      </c>
      <c r="G5" s="125"/>
      <c r="H5" s="7">
        <f>PREÇOS!E6</f>
        <v>7.93</v>
      </c>
      <c r="I5" s="4">
        <f t="shared" si="0"/>
        <v>1.6789237400000001</v>
      </c>
      <c r="J5" s="4">
        <f t="shared" si="1"/>
        <v>1.6789237400000001</v>
      </c>
    </row>
    <row r="6" spans="1:10" x14ac:dyDescent="0.3">
      <c r="A6" s="123" t="s">
        <v>112</v>
      </c>
      <c r="B6" s="131">
        <v>7.0000000000000007E-2</v>
      </c>
      <c r="C6" s="131">
        <v>7.0000000000000007E-2</v>
      </c>
      <c r="D6" s="125"/>
      <c r="E6" s="125"/>
      <c r="F6" s="125"/>
      <c r="G6" s="125"/>
      <c r="H6" s="7">
        <f>PREÇOS!E7</f>
        <v>7.93</v>
      </c>
      <c r="I6" s="4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v>7.0000000000000007E-2</v>
      </c>
      <c r="C7" s="131">
        <v>7.0000000000000007E-2</v>
      </c>
      <c r="D7" s="125"/>
      <c r="E7" s="125"/>
      <c r="F7" s="125"/>
      <c r="G7" s="125"/>
      <c r="H7" s="7">
        <f>PREÇOS!E8</f>
        <v>7.93</v>
      </c>
      <c r="I7" s="4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v>7.0000000000000007E-2</v>
      </c>
      <c r="C8" s="131">
        <v>7.0000000000000007E-2</v>
      </c>
      <c r="D8" s="125"/>
      <c r="E8" s="125"/>
      <c r="F8" s="125"/>
      <c r="G8" s="125"/>
      <c r="H8" s="7">
        <f>PREÇOS!E9</f>
        <v>7.93</v>
      </c>
      <c r="I8" s="4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v>7.0000000000000007E-2</v>
      </c>
      <c r="C9" s="124">
        <v>7.0000000000000007E-2</v>
      </c>
      <c r="D9" s="125"/>
      <c r="E9" s="125"/>
      <c r="F9" s="125"/>
      <c r="G9" s="125"/>
      <c r="H9" s="7">
        <f>PREÇOS!E10</f>
        <v>7.93</v>
      </c>
      <c r="I9" s="4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v>7.0000000000000007E-2</v>
      </c>
      <c r="C10" s="124">
        <v>7.0000000000000007E-2</v>
      </c>
      <c r="D10" s="125"/>
      <c r="E10" s="125"/>
      <c r="F10" s="125"/>
      <c r="G10" s="125"/>
      <c r="H10" s="7">
        <f>PREÇOS!E11</f>
        <v>7.93</v>
      </c>
      <c r="I10" s="4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v>7.0000000000000007E-2</v>
      </c>
      <c r="C11" s="124">
        <v>7.0000000000000007E-2</v>
      </c>
      <c r="D11" s="125"/>
      <c r="E11" s="125"/>
      <c r="F11" s="125"/>
      <c r="G11" s="125"/>
      <c r="H11" s="7">
        <f>PREÇOS!E12</f>
        <v>7.93</v>
      </c>
      <c r="I11" s="4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v>0.12</v>
      </c>
      <c r="C12" s="124">
        <v>0.18</v>
      </c>
      <c r="D12" s="125">
        <v>0.35</v>
      </c>
      <c r="E12" s="125"/>
      <c r="F12" s="125">
        <v>0.35</v>
      </c>
      <c r="G12" s="125"/>
      <c r="H12" s="7">
        <f>PREÇOS!E13</f>
        <v>8.4499999999999993</v>
      </c>
      <c r="I12" s="4">
        <f t="shared" si="0"/>
        <v>1.0393500000000002</v>
      </c>
      <c r="J12" s="4">
        <f t="shared" si="1"/>
        <v>1.0393500000000002</v>
      </c>
    </row>
    <row r="13" spans="1:10" x14ac:dyDescent="0.3">
      <c r="A13" s="123" t="s">
        <v>119</v>
      </c>
      <c r="B13" s="131">
        <v>7.0000000000000007E-2</v>
      </c>
      <c r="C13" s="124">
        <v>7.0000000000000007E-2</v>
      </c>
      <c r="D13" s="125"/>
      <c r="E13" s="125"/>
      <c r="F13" s="125"/>
      <c r="G13" s="125"/>
      <c r="H13" s="7">
        <f>PREÇOS!E14</f>
        <v>7.93</v>
      </c>
      <c r="I13" s="4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v>7.0000000000000007E-2</v>
      </c>
      <c r="C14" s="124">
        <v>0.17</v>
      </c>
      <c r="D14" s="125">
        <v>0.35449999999999998</v>
      </c>
      <c r="E14" s="125"/>
      <c r="F14" s="125">
        <v>0.35449999999999998</v>
      </c>
      <c r="G14" s="125"/>
      <c r="H14" s="7">
        <f>PREÇOS!E15</f>
        <v>7.93</v>
      </c>
      <c r="I14" s="4">
        <f t="shared" si="0"/>
        <v>1.2709014500000002</v>
      </c>
      <c r="J14" s="4">
        <f t="shared" si="1"/>
        <v>1.2709014500000002</v>
      </c>
    </row>
    <row r="15" spans="1:10" x14ac:dyDescent="0.3">
      <c r="A15" s="123" t="s">
        <v>121</v>
      </c>
      <c r="B15" s="131">
        <v>7.0000000000000007E-2</v>
      </c>
      <c r="C15" s="124">
        <v>7.0000000000000007E-2</v>
      </c>
      <c r="D15" s="125"/>
      <c r="E15" s="125"/>
      <c r="F15" s="125"/>
      <c r="G15" s="125"/>
      <c r="H15" s="7">
        <f>PREÇOS!E16</f>
        <v>7.93</v>
      </c>
      <c r="I15" s="4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v>7.0000000000000007E-2</v>
      </c>
      <c r="C16" s="124">
        <v>7.0000000000000007E-2</v>
      </c>
      <c r="D16" s="125"/>
      <c r="E16" s="125"/>
      <c r="F16" s="125"/>
      <c r="G16" s="125"/>
      <c r="H16" s="7">
        <f>PREÇOS!E17</f>
        <v>7.93</v>
      </c>
      <c r="I16" s="4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v>7.0000000000000007E-2</v>
      </c>
      <c r="C17" s="124">
        <v>7.0000000000000007E-2</v>
      </c>
      <c r="D17" s="125"/>
      <c r="E17" s="125"/>
      <c r="F17" s="125"/>
      <c r="G17" s="125"/>
      <c r="H17" s="7">
        <f>PREÇOS!E18</f>
        <v>7.93</v>
      </c>
      <c r="I17" s="4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v>7.0000000000000007E-2</v>
      </c>
      <c r="C18" s="124">
        <v>7.0000000000000007E-2</v>
      </c>
      <c r="D18" s="125"/>
      <c r="E18" s="125"/>
      <c r="F18" s="125"/>
      <c r="G18" s="125"/>
      <c r="H18" s="7">
        <f>PREÇOS!E19</f>
        <v>7.93</v>
      </c>
      <c r="I18" s="4">
        <f t="shared" si="0"/>
        <v>0</v>
      </c>
      <c r="J18" s="4">
        <f t="shared" si="1"/>
        <v>0</v>
      </c>
    </row>
    <row r="19" spans="1:10" x14ac:dyDescent="0.3">
      <c r="A19" s="123" t="s">
        <v>10</v>
      </c>
      <c r="B19" s="131">
        <v>0.12</v>
      </c>
      <c r="C19" s="124">
        <v>0.12</v>
      </c>
      <c r="D19" s="125"/>
      <c r="E19" s="125"/>
      <c r="F19" s="125"/>
      <c r="G19" s="125"/>
      <c r="H19" s="7">
        <f>PREÇOS!E20</f>
        <v>8.4499999999999993</v>
      </c>
      <c r="I19" s="4">
        <f t="shared" si="0"/>
        <v>0</v>
      </c>
      <c r="J19" s="4">
        <f t="shared" si="1"/>
        <v>0</v>
      </c>
    </row>
    <row r="20" spans="1:10" x14ac:dyDescent="0.3">
      <c r="A20" s="123" t="s">
        <v>125</v>
      </c>
      <c r="B20" s="131">
        <v>0.12</v>
      </c>
      <c r="C20" s="124">
        <v>0.12</v>
      </c>
      <c r="D20" s="125"/>
      <c r="E20" s="125"/>
      <c r="F20" s="125"/>
      <c r="G20" s="125"/>
      <c r="H20" s="7">
        <f>PREÇOS!E21</f>
        <v>8.4499999999999993</v>
      </c>
      <c r="I20" s="4">
        <f t="shared" si="0"/>
        <v>0</v>
      </c>
      <c r="J20" s="4">
        <f t="shared" si="1"/>
        <v>0</v>
      </c>
    </row>
    <row r="21" spans="1:10" x14ac:dyDescent="0.3">
      <c r="A21" s="123" t="s">
        <v>126</v>
      </c>
      <c r="B21" s="131">
        <v>7.0000000000000007E-2</v>
      </c>
      <c r="C21" s="124">
        <v>7.0000000000000007E-2</v>
      </c>
      <c r="D21" s="125"/>
      <c r="E21" s="125"/>
      <c r="F21" s="125"/>
      <c r="G21" s="125"/>
      <c r="H21" s="7">
        <f>PREÇOS!E22</f>
        <v>7.93</v>
      </c>
      <c r="I21" s="4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v>7.0000000000000007E-2</v>
      </c>
      <c r="C22" s="124">
        <v>7.0000000000000007E-2</v>
      </c>
      <c r="D22" s="125"/>
      <c r="E22" s="125"/>
      <c r="F22" s="125"/>
      <c r="G22" s="125"/>
      <c r="H22" s="7">
        <f>PREÇOS!E23</f>
        <v>7.93</v>
      </c>
      <c r="I22" s="4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v>7.0000000000000007E-2</v>
      </c>
      <c r="C23" s="124">
        <v>7.0000000000000007E-2</v>
      </c>
      <c r="D23" s="125"/>
      <c r="E23" s="125"/>
      <c r="F23" s="125"/>
      <c r="G23" s="125"/>
      <c r="H23" s="7">
        <f>PREÇOS!E24</f>
        <v>7.93</v>
      </c>
      <c r="I23" s="4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v>0.12</v>
      </c>
      <c r="C24" s="124">
        <v>0.12</v>
      </c>
      <c r="D24" s="125"/>
      <c r="E24" s="125"/>
      <c r="F24" s="125"/>
      <c r="G24" s="125"/>
      <c r="H24" s="7">
        <f>PREÇOS!E25</f>
        <v>8.4499999999999993</v>
      </c>
      <c r="I24" s="4">
        <f t="shared" si="0"/>
        <v>0</v>
      </c>
      <c r="J24" s="4">
        <f t="shared" si="1"/>
        <v>0</v>
      </c>
    </row>
    <row r="25" spans="1:10" x14ac:dyDescent="0.3">
      <c r="A25" s="123" t="s">
        <v>130</v>
      </c>
      <c r="B25" s="131">
        <v>0.12</v>
      </c>
      <c r="C25" s="124">
        <v>0.12</v>
      </c>
      <c r="D25" s="125"/>
      <c r="E25" s="125"/>
      <c r="F25" s="125"/>
      <c r="G25" s="125"/>
      <c r="H25" s="7">
        <f>PREÇOS!E26</f>
        <v>8.4499999999999993</v>
      </c>
      <c r="I25" s="4">
        <f t="shared" si="0"/>
        <v>0</v>
      </c>
      <c r="J25" s="4">
        <f t="shared" si="1"/>
        <v>0</v>
      </c>
    </row>
    <row r="26" spans="1:10" x14ac:dyDescent="0.3">
      <c r="A26" s="123" t="s">
        <v>131</v>
      </c>
      <c r="B26" s="131">
        <v>7.0000000000000007E-2</v>
      </c>
      <c r="C26" s="124">
        <v>7.0000000000000007E-2</v>
      </c>
      <c r="D26" s="125"/>
      <c r="E26" s="125"/>
      <c r="F26" s="125"/>
      <c r="G26" s="125"/>
      <c r="H26" s="7">
        <f>PREÇOS!E27</f>
        <v>7.93</v>
      </c>
      <c r="I26" s="4">
        <f t="shared" si="0"/>
        <v>0</v>
      </c>
      <c r="J26" s="4">
        <f t="shared" si="1"/>
        <v>0</v>
      </c>
    </row>
    <row r="27" spans="1:10" x14ac:dyDescent="0.3">
      <c r="A27" s="123" t="s">
        <v>132</v>
      </c>
      <c r="B27" s="131">
        <v>0.12</v>
      </c>
      <c r="C27" s="124">
        <v>0.12</v>
      </c>
      <c r="D27" s="125"/>
      <c r="E27" s="125"/>
      <c r="F27" s="125"/>
      <c r="G27" s="125"/>
      <c r="H27" s="7">
        <f>PREÇOS!E28</f>
        <v>8.4499999999999993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6" t="s">
        <v>133</v>
      </c>
      <c r="B28" s="94">
        <f>B27</f>
        <v>0.12</v>
      </c>
      <c r="C28" s="94">
        <f t="shared" ref="C28:G28" si="4">C27</f>
        <v>0.12</v>
      </c>
      <c r="D28" s="94">
        <f t="shared" si="4"/>
        <v>0</v>
      </c>
      <c r="E28" s="94">
        <f t="shared" si="4"/>
        <v>0</v>
      </c>
      <c r="F28" s="94">
        <f t="shared" si="4"/>
        <v>0</v>
      </c>
      <c r="G28" s="94">
        <f t="shared" si="4"/>
        <v>0</v>
      </c>
      <c r="H28" s="121">
        <f>PREÇOS!E29</f>
        <v>8.4499999999999993</v>
      </c>
      <c r="I28" s="120">
        <f t="shared" si="2"/>
        <v>0</v>
      </c>
      <c r="J28" s="120">
        <f t="shared" si="3"/>
        <v>0</v>
      </c>
    </row>
    <row r="29" spans="1:10" x14ac:dyDescent="0.3">
      <c r="A29" s="123" t="s">
        <v>134</v>
      </c>
      <c r="B29" s="131">
        <v>7.0000000000000007E-2</v>
      </c>
      <c r="C29" s="124">
        <v>7.0000000000000007E-2</v>
      </c>
      <c r="D29" s="125"/>
      <c r="E29" s="125"/>
      <c r="F29" s="125"/>
      <c r="G29" s="125"/>
      <c r="H29" s="7">
        <f>PREÇOS!E30</f>
        <v>7.93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135</v>
      </c>
      <c r="H30" s="7">
        <f>PREÇOS!E31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zoomScale="85" zoomScaleNormal="85" workbookViewId="0">
      <selection activeCell="G28" sqref="G28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v>7.0000000000000007E-2</v>
      </c>
      <c r="C2" s="131">
        <v>7.0000000000000007E-2</v>
      </c>
      <c r="D2" s="125"/>
      <c r="E2" s="125"/>
      <c r="F2" s="125"/>
      <c r="G2" s="125"/>
      <c r="H2" s="4">
        <f>PREÇOS!C3</f>
        <v>3.57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3" t="s">
        <v>109</v>
      </c>
      <c r="B3" s="131">
        <v>7.0000000000000007E-2</v>
      </c>
      <c r="C3" s="131">
        <v>0.19</v>
      </c>
      <c r="D3" s="125">
        <v>0.54320000000000002</v>
      </c>
      <c r="E3" s="125"/>
      <c r="F3" s="125">
        <v>0.79400000000000004</v>
      </c>
      <c r="G3" s="125"/>
      <c r="H3" s="4">
        <f>PREÇOS!C4</f>
        <v>3.57</v>
      </c>
      <c r="I3" s="4">
        <f t="shared" ref="I3:I26" si="0">IF(F3=0,,H3*(1+F3)*C3-(H3*B3))</f>
        <v>0.9669702</v>
      </c>
      <c r="J3" s="4">
        <f t="shared" ref="J3:J26" si="1">IF(G3=0,IF(F3=0,,H3*(1+F3)*C3-(H3*B3)),H3*(1+G3)*C3-(H3*B3))</f>
        <v>0.9669702</v>
      </c>
    </row>
    <row r="4" spans="1:10" x14ac:dyDescent="0.3">
      <c r="A4" s="123" t="s">
        <v>110</v>
      </c>
      <c r="B4" s="131">
        <v>7.0000000000000007E-2</v>
      </c>
      <c r="C4" s="131">
        <v>0.18</v>
      </c>
      <c r="D4" s="125"/>
      <c r="E4" s="125"/>
      <c r="F4" s="125"/>
      <c r="G4" s="125"/>
      <c r="H4" s="4">
        <f>PREÇOS!C5</f>
        <v>3.57</v>
      </c>
      <c r="I4" s="4">
        <f t="shared" si="0"/>
        <v>0</v>
      </c>
      <c r="J4" s="4">
        <f t="shared" si="1"/>
        <v>0</v>
      </c>
    </row>
    <row r="5" spans="1:10" x14ac:dyDescent="0.3">
      <c r="A5" s="123" t="s">
        <v>111</v>
      </c>
      <c r="B5" s="131">
        <v>7.0000000000000007E-2</v>
      </c>
      <c r="C5" s="131">
        <v>0.18</v>
      </c>
      <c r="D5" s="125">
        <v>0.41</v>
      </c>
      <c r="E5" s="125"/>
      <c r="F5" s="125">
        <v>0.59909999999999997</v>
      </c>
      <c r="G5" s="125"/>
      <c r="H5" s="4">
        <f>PREÇOS!C6</f>
        <v>3.57</v>
      </c>
      <c r="I5" s="4">
        <f t="shared" si="0"/>
        <v>0.77768166000000005</v>
      </c>
      <c r="J5" s="4">
        <f t="shared" si="1"/>
        <v>0.77768166000000005</v>
      </c>
    </row>
    <row r="6" spans="1:10" x14ac:dyDescent="0.3">
      <c r="A6" s="123" t="s">
        <v>112</v>
      </c>
      <c r="B6" s="131">
        <v>7.0000000000000007E-2</v>
      </c>
      <c r="C6" s="131">
        <v>7.0000000000000007E-2</v>
      </c>
      <c r="D6" s="125"/>
      <c r="E6" s="125"/>
      <c r="F6" s="125"/>
      <c r="G6" s="125"/>
      <c r="H6" s="4">
        <f>PREÇOS!C7</f>
        <v>3.57</v>
      </c>
      <c r="I6" s="4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v>7.0000000000000007E-2</v>
      </c>
      <c r="C7" s="131">
        <v>7.0000000000000007E-2</v>
      </c>
      <c r="D7" s="125"/>
      <c r="E7" s="125"/>
      <c r="F7" s="125"/>
      <c r="G7" s="125"/>
      <c r="H7" s="4">
        <f>PREÇOS!C8</f>
        <v>3.57</v>
      </c>
      <c r="I7" s="4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v>7.0000000000000007E-2</v>
      </c>
      <c r="C8" s="131">
        <v>7.0000000000000007E-2</v>
      </c>
      <c r="D8" s="125"/>
      <c r="E8" s="125"/>
      <c r="F8" s="125"/>
      <c r="G8" s="125"/>
      <c r="H8" s="4">
        <f>PREÇOS!C9</f>
        <v>3.57</v>
      </c>
      <c r="I8" s="4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v>7.0000000000000007E-2</v>
      </c>
      <c r="C9" s="124">
        <v>7.0000000000000007E-2</v>
      </c>
      <c r="D9" s="125"/>
      <c r="E9" s="125"/>
      <c r="F9" s="125"/>
      <c r="G9" s="125"/>
      <c r="H9" s="4">
        <f>PREÇOS!C10</f>
        <v>3.57</v>
      </c>
      <c r="I9" s="4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v>7.0000000000000007E-2</v>
      </c>
      <c r="C10" s="124">
        <v>7.0000000000000007E-2</v>
      </c>
      <c r="D10" s="125"/>
      <c r="E10" s="125"/>
      <c r="F10" s="125"/>
      <c r="G10" s="125"/>
      <c r="H10" s="4">
        <f>PREÇOS!C11</f>
        <v>3.57</v>
      </c>
      <c r="I10" s="4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v>7.0000000000000007E-2</v>
      </c>
      <c r="C11" s="124">
        <v>7.0000000000000007E-2</v>
      </c>
      <c r="D11" s="125"/>
      <c r="E11" s="125"/>
      <c r="F11" s="125"/>
      <c r="G11" s="125"/>
      <c r="H11" s="4">
        <f>PREÇOS!C12</f>
        <v>3.57</v>
      </c>
      <c r="I11" s="4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v>0.12</v>
      </c>
      <c r="C12" s="124">
        <v>0.18</v>
      </c>
      <c r="D12" s="125">
        <v>0.4</v>
      </c>
      <c r="E12" s="125"/>
      <c r="F12" s="125">
        <v>0.50239999999999996</v>
      </c>
      <c r="G12" s="125"/>
      <c r="H12" s="4">
        <f>PREÇOS!C13</f>
        <v>3.78</v>
      </c>
      <c r="I12" s="4">
        <f t="shared" si="0"/>
        <v>0.56863295999999997</v>
      </c>
      <c r="J12" s="4">
        <f t="shared" si="1"/>
        <v>0.56863295999999997</v>
      </c>
    </row>
    <row r="13" spans="1:10" x14ac:dyDescent="0.3">
      <c r="A13" s="123" t="s">
        <v>119</v>
      </c>
      <c r="B13" s="131">
        <v>7.0000000000000007E-2</v>
      </c>
      <c r="C13" s="124">
        <v>7.0000000000000007E-2</v>
      </c>
      <c r="D13" s="125"/>
      <c r="E13" s="125"/>
      <c r="F13" s="125"/>
      <c r="G13" s="125"/>
      <c r="H13" s="4">
        <f>PREÇOS!C14</f>
        <v>3.57</v>
      </c>
      <c r="I13" s="4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v>7.0000000000000007E-2</v>
      </c>
      <c r="C14" s="124">
        <v>0.17</v>
      </c>
      <c r="D14" s="125">
        <v>0.45519999999999999</v>
      </c>
      <c r="E14" s="125"/>
      <c r="F14" s="125">
        <v>0.63049999999999995</v>
      </c>
      <c r="G14" s="125"/>
      <c r="H14" s="4">
        <f>PREÇOS!C15</f>
        <v>3.57</v>
      </c>
      <c r="I14" s="4">
        <f t="shared" si="0"/>
        <v>0.73965044999999996</v>
      </c>
      <c r="J14" s="4">
        <f t="shared" si="1"/>
        <v>0.73965044999999996</v>
      </c>
    </row>
    <row r="15" spans="1:10" x14ac:dyDescent="0.3">
      <c r="A15" s="123" t="s">
        <v>121</v>
      </c>
      <c r="B15" s="131">
        <v>7.0000000000000007E-2</v>
      </c>
      <c r="C15" s="124">
        <v>7.0000000000000007E-2</v>
      </c>
      <c r="D15" s="125"/>
      <c r="E15" s="125"/>
      <c r="F15" s="125"/>
      <c r="G15" s="125"/>
      <c r="H15" s="4">
        <f>PREÇOS!C16</f>
        <v>3.57</v>
      </c>
      <c r="I15" s="4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v>7.0000000000000007E-2</v>
      </c>
      <c r="C16" s="124">
        <v>7.0000000000000007E-2</v>
      </c>
      <c r="D16" s="125"/>
      <c r="E16" s="125"/>
      <c r="F16" s="125"/>
      <c r="G16" s="125"/>
      <c r="H16" s="4">
        <f>PREÇOS!C17</f>
        <v>3.57</v>
      </c>
      <c r="I16" s="4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v>7.0000000000000007E-2</v>
      </c>
      <c r="C17" s="124">
        <v>7.0000000000000007E-2</v>
      </c>
      <c r="D17" s="125"/>
      <c r="E17" s="125"/>
      <c r="F17" s="125"/>
      <c r="G17" s="125"/>
      <c r="H17" s="4">
        <f>PREÇOS!C18</f>
        <v>3.57</v>
      </c>
      <c r="I17" s="4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v>7.0000000000000007E-2</v>
      </c>
      <c r="C18" s="124">
        <v>7.0000000000000007E-2</v>
      </c>
      <c r="D18" s="125"/>
      <c r="E18" s="125"/>
      <c r="F18" s="125"/>
      <c r="G18" s="125"/>
      <c r="H18" s="4">
        <f>PREÇOS!C19</f>
        <v>3.57</v>
      </c>
      <c r="I18" s="4">
        <f t="shared" si="0"/>
        <v>0</v>
      </c>
      <c r="J18" s="4">
        <f t="shared" si="1"/>
        <v>0</v>
      </c>
    </row>
    <row r="19" spans="1:10" x14ac:dyDescent="0.3">
      <c r="A19" s="126" t="s">
        <v>10</v>
      </c>
      <c r="B19" s="94">
        <v>0.12</v>
      </c>
      <c r="C19" s="127">
        <v>0.19500000000000001</v>
      </c>
      <c r="D19" s="93">
        <v>0.54320000000000002</v>
      </c>
      <c r="E19" s="93">
        <v>0.16300000000000001</v>
      </c>
      <c r="F19" s="93">
        <v>0.68700000000000006</v>
      </c>
      <c r="G19" s="93">
        <v>0.1968</v>
      </c>
      <c r="H19" s="4">
        <f>PREÇOS!C20</f>
        <v>3.78</v>
      </c>
      <c r="I19" s="4">
        <f t="shared" si="0"/>
        <v>0.78988769999999997</v>
      </c>
      <c r="J19" s="4">
        <f t="shared" si="1"/>
        <v>0.4285612800000001</v>
      </c>
    </row>
    <row r="20" spans="1:10" x14ac:dyDescent="0.3">
      <c r="A20" s="126" t="s">
        <v>125</v>
      </c>
      <c r="B20" s="94">
        <v>0.12</v>
      </c>
      <c r="C20" s="127">
        <v>0.22</v>
      </c>
      <c r="D20" s="93">
        <v>0.4698</v>
      </c>
      <c r="E20" s="93"/>
      <c r="F20" s="93">
        <v>0.65820000000000001</v>
      </c>
      <c r="G20" s="93"/>
      <c r="H20" s="4">
        <f>PREÇOS!C21</f>
        <v>3.78</v>
      </c>
      <c r="I20" s="4">
        <f t="shared" si="0"/>
        <v>0.92535911999999976</v>
      </c>
      <c r="J20" s="4">
        <f t="shared" si="1"/>
        <v>0.92535911999999976</v>
      </c>
    </row>
    <row r="21" spans="1:10" x14ac:dyDescent="0.3">
      <c r="A21" s="123" t="s">
        <v>126</v>
      </c>
      <c r="B21" s="131">
        <v>7.0000000000000007E-2</v>
      </c>
      <c r="C21" s="124">
        <v>7.0000000000000007E-2</v>
      </c>
      <c r="D21" s="125"/>
      <c r="E21" s="125"/>
      <c r="F21" s="125"/>
      <c r="G21" s="125"/>
      <c r="H21" s="4">
        <f>PREÇOS!C22</f>
        <v>3.57</v>
      </c>
      <c r="I21" s="4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v>7.0000000000000007E-2</v>
      </c>
      <c r="C22" s="124">
        <v>7.0000000000000007E-2</v>
      </c>
      <c r="D22" s="125"/>
      <c r="E22" s="125"/>
      <c r="F22" s="125"/>
      <c r="G22" s="125"/>
      <c r="H22" s="4">
        <f>PREÇOS!C23</f>
        <v>3.57</v>
      </c>
      <c r="I22" s="4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v>7.0000000000000007E-2</v>
      </c>
      <c r="C23" s="124">
        <v>7.0000000000000007E-2</v>
      </c>
      <c r="D23" s="125"/>
      <c r="E23" s="125"/>
      <c r="F23" s="125"/>
      <c r="G23" s="125"/>
      <c r="H23" s="4">
        <f>PREÇOS!C24</f>
        <v>3.57</v>
      </c>
      <c r="I23" s="4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v>0.12</v>
      </c>
      <c r="C24" s="124">
        <v>0.12</v>
      </c>
      <c r="D24" s="125"/>
      <c r="E24" s="125"/>
      <c r="F24" s="125"/>
      <c r="G24" s="125"/>
      <c r="H24" s="4">
        <f>PREÇOS!C25</f>
        <v>3.78</v>
      </c>
      <c r="I24" s="4">
        <f t="shared" si="0"/>
        <v>0</v>
      </c>
      <c r="J24" s="4">
        <f t="shared" si="1"/>
        <v>0</v>
      </c>
    </row>
    <row r="25" spans="1:10" x14ac:dyDescent="0.3">
      <c r="A25" s="123" t="s">
        <v>130</v>
      </c>
      <c r="B25" s="131">
        <v>0.12</v>
      </c>
      <c r="C25" s="124">
        <v>0.12</v>
      </c>
      <c r="D25" s="125"/>
      <c r="E25" s="125"/>
      <c r="F25" s="125"/>
      <c r="G25" s="125"/>
      <c r="H25" s="4">
        <f>PREÇOS!C26</f>
        <v>3.78</v>
      </c>
      <c r="I25" s="4">
        <f t="shared" si="0"/>
        <v>0</v>
      </c>
      <c r="J25" s="4">
        <f t="shared" si="1"/>
        <v>0</v>
      </c>
    </row>
    <row r="26" spans="1:10" x14ac:dyDescent="0.3">
      <c r="A26" s="123" t="s">
        <v>131</v>
      </c>
      <c r="B26" s="131">
        <v>7.0000000000000007E-2</v>
      </c>
      <c r="C26" s="124">
        <v>7.0000000000000007E-2</v>
      </c>
      <c r="D26" s="125"/>
      <c r="E26" s="125"/>
      <c r="F26" s="125"/>
      <c r="G26" s="125"/>
      <c r="H26" s="4">
        <f>PREÇOS!C27</f>
        <v>3.57</v>
      </c>
      <c r="I26" s="4">
        <f t="shared" si="0"/>
        <v>0</v>
      </c>
      <c r="J26" s="4">
        <f t="shared" si="1"/>
        <v>0</v>
      </c>
    </row>
    <row r="27" spans="1:10" x14ac:dyDescent="0.3">
      <c r="A27" s="123" t="s">
        <v>132</v>
      </c>
      <c r="B27" s="131">
        <v>0.12</v>
      </c>
      <c r="C27" s="124">
        <v>0.18</v>
      </c>
      <c r="D27" s="125"/>
      <c r="E27" s="125"/>
      <c r="F27" s="125"/>
      <c r="G27" s="125"/>
      <c r="H27" s="4">
        <f>PREÇOS!C28</f>
        <v>3.78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6" t="s">
        <v>133</v>
      </c>
      <c r="B28" s="94">
        <f>B27</f>
        <v>0.12</v>
      </c>
      <c r="C28" s="94">
        <f t="shared" ref="C28" si="4">C27</f>
        <v>0.18</v>
      </c>
      <c r="D28" s="93"/>
      <c r="E28" s="93"/>
      <c r="F28" s="93"/>
      <c r="G28" s="94"/>
      <c r="H28" s="120">
        <f>PREÇOS!C29</f>
        <v>3.78</v>
      </c>
      <c r="I28" s="120">
        <f t="shared" si="2"/>
        <v>0</v>
      </c>
      <c r="J28" s="120">
        <f t="shared" si="3"/>
        <v>0</v>
      </c>
    </row>
    <row r="29" spans="1:10" x14ac:dyDescent="0.3">
      <c r="A29" s="123" t="s">
        <v>134</v>
      </c>
      <c r="B29" s="131">
        <v>7.0000000000000007E-2</v>
      </c>
      <c r="C29" s="124">
        <v>7.0000000000000007E-2</v>
      </c>
      <c r="D29" s="125"/>
      <c r="E29" s="125"/>
      <c r="F29" s="125"/>
      <c r="G29" s="125"/>
      <c r="H29" s="4">
        <f>PREÇOS!C30</f>
        <v>3.57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135</v>
      </c>
      <c r="H30" s="4">
        <f>PREÇOS!C31</f>
        <v>0</v>
      </c>
      <c r="I30" s="4">
        <f t="shared" si="2"/>
        <v>0</v>
      </c>
      <c r="J30" s="4">
        <f t="shared" si="3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8" activePane="bottomRight" state="frozen"/>
      <selection pane="topRight" activeCell="Q21" sqref="Q21"/>
      <selection pane="bottomLeft" activeCell="Q21" sqref="Q21"/>
      <selection pane="bottomRight"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664062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v>7.0000000000000007E-2</v>
      </c>
      <c r="C2" s="131">
        <f>VLOOKUP(A2,[2]DIFAL!$C$13:$H$39,6,)</f>
        <v>0.19</v>
      </c>
      <c r="D2" s="125"/>
      <c r="E2" s="125"/>
      <c r="F2" s="125"/>
      <c r="G2" s="125"/>
      <c r="H2" s="51">
        <f>PREÇOS!H3</f>
        <v>7.93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3">
      <c r="A3" s="123" t="s">
        <v>109</v>
      </c>
      <c r="B3" s="131">
        <v>7.0000000000000007E-2</v>
      </c>
      <c r="C3" s="131">
        <v>0.2</v>
      </c>
      <c r="D3" s="125"/>
      <c r="E3" s="125"/>
      <c r="F3" s="125">
        <v>0.51129999999999998</v>
      </c>
      <c r="G3" s="125"/>
      <c r="H3" s="51">
        <f>PREÇOS!H4</f>
        <v>7.93</v>
      </c>
      <c r="I3" s="48">
        <f>IF(F3=0,,H3*(1+F3)*C3-(H3*B3))</f>
        <v>1.8418218</v>
      </c>
      <c r="J3" s="48">
        <f t="shared" si="1"/>
        <v>1.8418218</v>
      </c>
    </row>
    <row r="4" spans="1:10" x14ac:dyDescent="0.3">
      <c r="A4" s="123" t="s">
        <v>110</v>
      </c>
      <c r="B4" s="131">
        <v>7.0000000000000007E-2</v>
      </c>
      <c r="C4" s="131">
        <f>VLOOKUP(A4,[2]DIFAL!$C$13:$H$39,6,)</f>
        <v>0.2</v>
      </c>
      <c r="D4" s="125"/>
      <c r="E4" s="125"/>
      <c r="F4" s="125"/>
      <c r="G4" s="125"/>
      <c r="H4" s="51">
        <f>PREÇOS!H5</f>
        <v>7.93</v>
      </c>
      <c r="I4" s="48">
        <f t="shared" si="0"/>
        <v>0</v>
      </c>
      <c r="J4" s="48">
        <f t="shared" si="1"/>
        <v>0</v>
      </c>
    </row>
    <row r="5" spans="1:10" x14ac:dyDescent="0.3">
      <c r="A5" s="123" t="s">
        <v>111</v>
      </c>
      <c r="B5" s="131">
        <v>7.0000000000000007E-2</v>
      </c>
      <c r="C5" s="131">
        <f>VLOOKUP(A5,[2]DIFAL!$C$13:$H$39,5,)</f>
        <v>0.18</v>
      </c>
      <c r="D5" s="125"/>
      <c r="E5" s="125"/>
      <c r="F5" s="125">
        <v>0.51980000000000004</v>
      </c>
      <c r="G5" s="125"/>
      <c r="H5" s="51">
        <f>PREÇOS!H6</f>
        <v>7.93</v>
      </c>
      <c r="I5" s="48">
        <f t="shared" si="0"/>
        <v>1.61426252</v>
      </c>
      <c r="J5" s="48">
        <f t="shared" si="1"/>
        <v>1.61426252</v>
      </c>
    </row>
    <row r="6" spans="1:10" x14ac:dyDescent="0.3">
      <c r="A6" s="123" t="s">
        <v>112</v>
      </c>
      <c r="B6" s="131">
        <v>7.0000000000000007E-2</v>
      </c>
      <c r="C6" s="131">
        <f>VLOOKUP(A6,[2]DIFAL!$C$13:$H$39,6,)</f>
        <v>0.19</v>
      </c>
      <c r="D6" s="125"/>
      <c r="E6" s="125"/>
      <c r="F6" s="125"/>
      <c r="G6" s="125"/>
      <c r="H6" s="51">
        <f>PREÇOS!H7</f>
        <v>7.93</v>
      </c>
      <c r="I6" s="48">
        <f t="shared" si="0"/>
        <v>0</v>
      </c>
      <c r="J6" s="48">
        <f t="shared" si="1"/>
        <v>0</v>
      </c>
    </row>
    <row r="7" spans="1:10" x14ac:dyDescent="0.3">
      <c r="A7" s="123" t="s">
        <v>113</v>
      </c>
      <c r="B7" s="131">
        <v>7.0000000000000007E-2</v>
      </c>
      <c r="C7" s="131">
        <f>VLOOKUP(A7,[2]DIFAL!$C$13:$H$39,6,)</f>
        <v>0.2</v>
      </c>
      <c r="D7" s="125"/>
      <c r="E7" s="125"/>
      <c r="F7" s="125"/>
      <c r="G7" s="125"/>
      <c r="H7" s="51">
        <f>PREÇOS!H8</f>
        <v>7.93</v>
      </c>
      <c r="I7" s="48">
        <f t="shared" si="0"/>
        <v>0</v>
      </c>
      <c r="J7" s="48">
        <f t="shared" si="1"/>
        <v>0</v>
      </c>
    </row>
    <row r="8" spans="1:10" x14ac:dyDescent="0.3">
      <c r="A8" s="123" t="s">
        <v>114</v>
      </c>
      <c r="B8" s="131">
        <v>7.0000000000000007E-2</v>
      </c>
      <c r="C8" s="131">
        <f>VLOOKUP(A8,[2]DIFAL!$C$13:$H$39,5,)</f>
        <v>0.18</v>
      </c>
      <c r="D8" s="125"/>
      <c r="E8" s="125"/>
      <c r="F8" s="125"/>
      <c r="G8" s="125"/>
      <c r="H8" s="51">
        <f>PREÇOS!H9</f>
        <v>7.93</v>
      </c>
      <c r="I8" s="48">
        <f t="shared" si="0"/>
        <v>0</v>
      </c>
      <c r="J8" s="48">
        <f t="shared" si="1"/>
        <v>0</v>
      </c>
    </row>
    <row r="9" spans="1:10" x14ac:dyDescent="0.3">
      <c r="A9" s="123" t="s">
        <v>115</v>
      </c>
      <c r="B9" s="131">
        <v>7.0000000000000007E-2</v>
      </c>
      <c r="C9" s="131">
        <f>VLOOKUP(A9,[2]DIFAL!$C$13:$H$39,5,)</f>
        <v>0.17</v>
      </c>
      <c r="D9" s="125"/>
      <c r="E9" s="125"/>
      <c r="F9" s="125"/>
      <c r="G9" s="125"/>
      <c r="H9" s="51">
        <f>PREÇOS!H10</f>
        <v>7.93</v>
      </c>
      <c r="I9" s="48">
        <f t="shared" si="0"/>
        <v>0</v>
      </c>
      <c r="J9" s="48">
        <f t="shared" si="1"/>
        <v>0</v>
      </c>
    </row>
    <row r="10" spans="1:10" x14ac:dyDescent="0.3">
      <c r="A10" s="123" t="s">
        <v>116</v>
      </c>
      <c r="B10" s="131">
        <v>7.0000000000000007E-2</v>
      </c>
      <c r="C10" s="131">
        <f>VLOOKUP(A10,[2]DIFAL!$C$13:$H$39,5,)</f>
        <v>0.17</v>
      </c>
      <c r="D10" s="125"/>
      <c r="E10" s="125"/>
      <c r="F10" s="125"/>
      <c r="G10" s="125"/>
      <c r="H10" s="51">
        <f>PREÇOS!H11</f>
        <v>7.93</v>
      </c>
      <c r="I10" s="48">
        <f t="shared" si="0"/>
        <v>0</v>
      </c>
      <c r="J10" s="48">
        <f t="shared" si="1"/>
        <v>0</v>
      </c>
    </row>
    <row r="11" spans="1:10" x14ac:dyDescent="0.3">
      <c r="A11" s="123" t="s">
        <v>117</v>
      </c>
      <c r="B11" s="131">
        <v>7.0000000000000007E-2</v>
      </c>
      <c r="C11" s="131">
        <f>VLOOKUP(A11,[2]DIFAL!$C$13:$H$39,6,)</f>
        <v>0.2</v>
      </c>
      <c r="D11" s="125"/>
      <c r="E11" s="125"/>
      <c r="F11" s="125"/>
      <c r="G11" s="125"/>
      <c r="H11" s="51">
        <f>PREÇOS!H12</f>
        <v>7.93</v>
      </c>
      <c r="I11" s="48">
        <f t="shared" si="0"/>
        <v>0</v>
      </c>
      <c r="J11" s="48">
        <f t="shared" si="1"/>
        <v>0</v>
      </c>
    </row>
    <row r="12" spans="1:10" x14ac:dyDescent="0.3">
      <c r="A12" s="123" t="s">
        <v>118</v>
      </c>
      <c r="B12" s="131">
        <v>0.12</v>
      </c>
      <c r="C12" s="131">
        <v>0.12</v>
      </c>
      <c r="D12" s="125"/>
      <c r="E12" s="125"/>
      <c r="F12" s="125">
        <v>0.25</v>
      </c>
      <c r="G12" s="125"/>
      <c r="H12" s="90">
        <f>PREÇOS!H13</f>
        <v>8.4</v>
      </c>
      <c r="I12" s="92">
        <f t="shared" si="0"/>
        <v>0.252</v>
      </c>
      <c r="J12" s="92">
        <f t="shared" si="1"/>
        <v>0.252</v>
      </c>
    </row>
    <row r="13" spans="1:10" x14ac:dyDescent="0.3">
      <c r="A13" s="123" t="s">
        <v>119</v>
      </c>
      <c r="B13" s="131">
        <v>7.0000000000000007E-2</v>
      </c>
      <c r="C13" s="131">
        <f>VLOOKUP(A13,[2]DIFAL!$C$13:$H$39,5,)</f>
        <v>0.17</v>
      </c>
      <c r="D13" s="125"/>
      <c r="E13" s="125"/>
      <c r="F13" s="125"/>
      <c r="G13" s="125"/>
      <c r="H13" s="51">
        <f>PREÇOS!H14</f>
        <v>7.93</v>
      </c>
      <c r="I13" s="48">
        <f t="shared" si="0"/>
        <v>0</v>
      </c>
      <c r="J13" s="48">
        <f t="shared" si="1"/>
        <v>0</v>
      </c>
    </row>
    <row r="14" spans="1:10" x14ac:dyDescent="0.3">
      <c r="A14" s="123" t="s">
        <v>120</v>
      </c>
      <c r="B14" s="131">
        <v>7.0000000000000007E-2</v>
      </c>
      <c r="C14" s="131">
        <f>VLOOKUP(A14,[2]DIFAL!$C$13:$H$39,5,)</f>
        <v>0.17</v>
      </c>
      <c r="D14" s="125"/>
      <c r="E14" s="125"/>
      <c r="F14" s="125">
        <v>0.39779999999999999</v>
      </c>
      <c r="G14" s="125"/>
      <c r="H14" s="51">
        <f>PREÇOS!H15</f>
        <v>7.93</v>
      </c>
      <c r="I14" s="48">
        <f t="shared" si="0"/>
        <v>1.3292741800000001</v>
      </c>
      <c r="J14" s="48">
        <f t="shared" si="1"/>
        <v>1.3292741800000001</v>
      </c>
    </row>
    <row r="15" spans="1:10" x14ac:dyDescent="0.3">
      <c r="A15" s="123" t="s">
        <v>121</v>
      </c>
      <c r="B15" s="131">
        <v>7.0000000000000007E-2</v>
      </c>
      <c r="C15" s="131">
        <f>VLOOKUP(A15,[2]DIFAL!$C$13:$H$39,6,)</f>
        <v>0.19</v>
      </c>
      <c r="D15" s="125"/>
      <c r="E15" s="125"/>
      <c r="F15" s="125"/>
      <c r="G15" s="125"/>
      <c r="H15" s="51">
        <f>PREÇOS!H16</f>
        <v>7.93</v>
      </c>
      <c r="I15" s="48">
        <f t="shared" si="0"/>
        <v>0</v>
      </c>
      <c r="J15" s="48">
        <f t="shared" si="1"/>
        <v>0</v>
      </c>
    </row>
    <row r="16" spans="1:10" x14ac:dyDescent="0.3">
      <c r="A16" s="123" t="s">
        <v>122</v>
      </c>
      <c r="B16" s="131">
        <v>7.0000000000000007E-2</v>
      </c>
      <c r="C16" s="131">
        <f>VLOOKUP(A16,[2]DIFAL!$C$13:$H$39,5,)</f>
        <v>0.18</v>
      </c>
      <c r="D16" s="125"/>
      <c r="E16" s="125"/>
      <c r="F16" s="125"/>
      <c r="G16" s="125"/>
      <c r="H16" s="51">
        <f>PREÇOS!H17</f>
        <v>7.93</v>
      </c>
      <c r="I16" s="48">
        <f t="shared" si="0"/>
        <v>0</v>
      </c>
      <c r="J16" s="48">
        <f t="shared" si="1"/>
        <v>0</v>
      </c>
    </row>
    <row r="17" spans="1:10" x14ac:dyDescent="0.3">
      <c r="A17" s="123" t="s">
        <v>123</v>
      </c>
      <c r="B17" s="131">
        <v>7.0000000000000007E-2</v>
      </c>
      <c r="C17" s="131">
        <f>VLOOKUP(A17,[2]DIFAL!$C$13:$H$39,5,)</f>
        <v>0.18</v>
      </c>
      <c r="D17" s="125"/>
      <c r="E17" s="125"/>
      <c r="F17" s="125"/>
      <c r="G17" s="125"/>
      <c r="H17" s="51">
        <f>PREÇOS!H18</f>
        <v>7.93</v>
      </c>
      <c r="I17" s="48">
        <f t="shared" si="0"/>
        <v>0</v>
      </c>
      <c r="J17" s="48">
        <f t="shared" si="1"/>
        <v>0</v>
      </c>
    </row>
    <row r="18" spans="1:10" x14ac:dyDescent="0.3">
      <c r="A18" s="123" t="s">
        <v>124</v>
      </c>
      <c r="B18" s="131">
        <v>7.0000000000000007E-2</v>
      </c>
      <c r="C18" s="131">
        <f>VLOOKUP(A18,[2]DIFAL!$C$13:$H$39,6,)</f>
        <v>0.21</v>
      </c>
      <c r="D18" s="125"/>
      <c r="E18" s="125"/>
      <c r="F18" s="125"/>
      <c r="G18" s="125"/>
      <c r="H18" s="51">
        <f>PREÇOS!H19</f>
        <v>7.93</v>
      </c>
      <c r="I18" s="48">
        <f t="shared" si="0"/>
        <v>0</v>
      </c>
      <c r="J18" s="48">
        <f t="shared" si="1"/>
        <v>0</v>
      </c>
    </row>
    <row r="19" spans="1:10" x14ac:dyDescent="0.3">
      <c r="A19" s="123" t="s">
        <v>10</v>
      </c>
      <c r="B19" s="131">
        <v>0.12</v>
      </c>
      <c r="C19" s="131">
        <v>0.12</v>
      </c>
      <c r="D19" s="125"/>
      <c r="E19" s="125"/>
      <c r="F19" s="125"/>
      <c r="G19" s="125"/>
      <c r="H19" s="90">
        <f>PREÇOS!H20</f>
        <v>8.4</v>
      </c>
      <c r="I19" s="92">
        <f t="shared" si="0"/>
        <v>0</v>
      </c>
      <c r="J19" s="92">
        <f t="shared" si="1"/>
        <v>0</v>
      </c>
    </row>
    <row r="20" spans="1:10" x14ac:dyDescent="0.3">
      <c r="A20" s="126" t="s">
        <v>125</v>
      </c>
      <c r="B20" s="94">
        <v>0.12</v>
      </c>
      <c r="C20" s="94">
        <v>0.22</v>
      </c>
      <c r="D20" s="93"/>
      <c r="E20" s="93"/>
      <c r="F20" s="93">
        <v>0.52529999999999999</v>
      </c>
      <c r="G20" s="93"/>
      <c r="H20" s="90">
        <f>PREÇOS!H21</f>
        <v>8.4</v>
      </c>
      <c r="I20" s="92">
        <f t="shared" si="0"/>
        <v>1.8107544000000004</v>
      </c>
      <c r="J20" s="92">
        <f t="shared" si="1"/>
        <v>1.8107544000000004</v>
      </c>
    </row>
    <row r="21" spans="1:10" x14ac:dyDescent="0.3">
      <c r="A21" s="123" t="s">
        <v>126</v>
      </c>
      <c r="B21" s="131">
        <v>7.0000000000000007E-2</v>
      </c>
      <c r="C21" s="131">
        <f>VLOOKUP(A21,[2]DIFAL!$C$13:$H$39,6,)</f>
        <v>0.2</v>
      </c>
      <c r="D21" s="125"/>
      <c r="E21" s="125"/>
      <c r="F21" s="125"/>
      <c r="G21" s="125"/>
      <c r="H21" s="51">
        <f>PREÇOS!H22</f>
        <v>7.93</v>
      </c>
      <c r="I21" s="48">
        <f t="shared" si="0"/>
        <v>0</v>
      </c>
      <c r="J21" s="48">
        <f t="shared" si="1"/>
        <v>0</v>
      </c>
    </row>
    <row r="22" spans="1:10" x14ac:dyDescent="0.3">
      <c r="A22" s="123" t="s">
        <v>127</v>
      </c>
      <c r="B22" s="131">
        <v>7.0000000000000007E-2</v>
      </c>
      <c r="C22" s="131">
        <f>VLOOKUP(A22,[2]DIFAL!$C$13:$H$39,5,)</f>
        <v>0.17499999999999999</v>
      </c>
      <c r="D22" s="125"/>
      <c r="E22" s="125"/>
      <c r="F22" s="125"/>
      <c r="G22" s="125"/>
      <c r="H22" s="51">
        <f>PREÇOS!H23</f>
        <v>7.93</v>
      </c>
      <c r="I22" s="48">
        <f t="shared" si="0"/>
        <v>0</v>
      </c>
      <c r="J22" s="48">
        <f t="shared" si="1"/>
        <v>0</v>
      </c>
    </row>
    <row r="23" spans="1:10" x14ac:dyDescent="0.3">
      <c r="A23" s="123" t="s">
        <v>128</v>
      </c>
      <c r="B23" s="131">
        <v>7.0000000000000007E-2</v>
      </c>
      <c r="C23" s="131">
        <f>VLOOKUP(A23,[2]DIFAL!$C$13:$H$39,6,)</f>
        <v>0.2</v>
      </c>
      <c r="D23" s="125"/>
      <c r="E23" s="125"/>
      <c r="F23" s="125"/>
      <c r="G23" s="125"/>
      <c r="H23" s="51">
        <f>PREÇOS!H24</f>
        <v>7.93</v>
      </c>
      <c r="I23" s="48">
        <f t="shared" si="0"/>
        <v>0</v>
      </c>
      <c r="J23" s="48">
        <f t="shared" si="1"/>
        <v>0</v>
      </c>
    </row>
    <row r="24" spans="1:10" x14ac:dyDescent="0.3">
      <c r="A24" s="123" t="s">
        <v>129</v>
      </c>
      <c r="B24" s="131">
        <v>0.12</v>
      </c>
      <c r="C24" s="131">
        <f>VLOOKUP(A24,[2]DIFAL!$C$13:$H$39,5,)</f>
        <v>0.17</v>
      </c>
      <c r="D24" s="125"/>
      <c r="E24" s="125"/>
      <c r="F24" s="125"/>
      <c r="G24" s="125"/>
      <c r="H24" s="90">
        <f>PREÇOS!H25</f>
        <v>8.4</v>
      </c>
      <c r="I24" s="92">
        <f t="shared" si="0"/>
        <v>0</v>
      </c>
      <c r="J24" s="92">
        <f t="shared" si="1"/>
        <v>0</v>
      </c>
    </row>
    <row r="25" spans="1:10" x14ac:dyDescent="0.3">
      <c r="A25" s="123" t="s">
        <v>130</v>
      </c>
      <c r="B25" s="131">
        <v>0.12</v>
      </c>
      <c r="C25" s="131">
        <f>VLOOKUP(A25,[2]DIFAL!$C$13:$H$39,5,)</f>
        <v>0.17</v>
      </c>
      <c r="D25" s="125"/>
      <c r="E25" s="125"/>
      <c r="F25" s="125"/>
      <c r="G25" s="125"/>
      <c r="H25" s="90">
        <f>PREÇOS!H26</f>
        <v>8.4</v>
      </c>
      <c r="I25" s="92">
        <f t="shared" si="0"/>
        <v>0</v>
      </c>
      <c r="J25" s="92">
        <f t="shared" si="1"/>
        <v>0</v>
      </c>
    </row>
    <row r="26" spans="1:10" x14ac:dyDescent="0.3">
      <c r="A26" s="123" t="s">
        <v>131</v>
      </c>
      <c r="B26" s="131">
        <v>7.0000000000000007E-2</v>
      </c>
      <c r="C26" s="131">
        <v>0.2</v>
      </c>
      <c r="D26" s="125"/>
      <c r="E26" s="125"/>
      <c r="F26" s="125"/>
      <c r="G26" s="125"/>
      <c r="H26" s="51">
        <f>PREÇOS!H27</f>
        <v>7.93</v>
      </c>
      <c r="I26" s="48">
        <f t="shared" si="0"/>
        <v>0</v>
      </c>
      <c r="J26" s="48">
        <f t="shared" si="1"/>
        <v>0</v>
      </c>
    </row>
    <row r="27" spans="1:10" x14ac:dyDescent="0.3">
      <c r="A27" s="123" t="s">
        <v>132</v>
      </c>
      <c r="B27" s="131">
        <v>0.12</v>
      </c>
      <c r="C27" s="131">
        <f>VLOOKUP(A27,[2]DIFAL!$C$13:$H$39,5,)</f>
        <v>0.18</v>
      </c>
      <c r="D27" s="125">
        <v>0.5917</v>
      </c>
      <c r="E27" s="125"/>
      <c r="F27" s="125">
        <v>0.5917</v>
      </c>
      <c r="G27" s="125"/>
      <c r="H27" s="90">
        <f>PREÇOS!H28</f>
        <v>8.4</v>
      </c>
      <c r="I27" s="92">
        <f t="shared" ref="I27:I29" si="2">IF(F27=0,,H27*(1+F27)*C27-(H27*B27))</f>
        <v>1.3986503999999997</v>
      </c>
      <c r="J27" s="92">
        <f t="shared" ref="J27:J29" si="3">IF(G27=0,IF(F27=0,,H27*(1+F27)*C27-(H27*B27)),H27*(1+G27)*C27-(H27*B27))</f>
        <v>1.3986503999999997</v>
      </c>
    </row>
    <row r="28" spans="1:10" x14ac:dyDescent="0.3">
      <c r="A28" s="123" t="s">
        <v>133</v>
      </c>
      <c r="B28" s="131">
        <f>B27</f>
        <v>0.12</v>
      </c>
      <c r="C28" s="131">
        <f t="shared" ref="C28:G28" si="4">C27</f>
        <v>0.18</v>
      </c>
      <c r="D28" s="125">
        <v>0.48320000000000002</v>
      </c>
      <c r="E28" s="125">
        <f t="shared" si="4"/>
        <v>0</v>
      </c>
      <c r="F28" s="125">
        <v>0.48320000000000002</v>
      </c>
      <c r="G28" s="131">
        <f t="shared" si="4"/>
        <v>0</v>
      </c>
      <c r="H28" s="121">
        <f>PREÇOS!H29</f>
        <v>8.4</v>
      </c>
      <c r="I28" s="120">
        <f t="shared" si="2"/>
        <v>1.2345983999999999</v>
      </c>
      <c r="J28" s="120">
        <f t="shared" si="3"/>
        <v>1.2345983999999999</v>
      </c>
    </row>
    <row r="29" spans="1:10" x14ac:dyDescent="0.3">
      <c r="A29" s="123" t="s">
        <v>134</v>
      </c>
      <c r="B29" s="131">
        <v>7.0000000000000007E-2</v>
      </c>
      <c r="C29" s="131">
        <f>VLOOKUP(A29,[2]DIFAL!$C$13:$H$39,6,)</f>
        <v>0.2</v>
      </c>
      <c r="D29" s="125"/>
      <c r="E29" s="125"/>
      <c r="F29" s="125"/>
      <c r="G29" s="125"/>
      <c r="H29" s="51">
        <f>PREÇOS!H30</f>
        <v>7.93</v>
      </c>
      <c r="I29" s="48">
        <f t="shared" si="2"/>
        <v>0</v>
      </c>
      <c r="J29" s="48">
        <f t="shared" si="3"/>
        <v>0</v>
      </c>
    </row>
    <row r="30" spans="1:10" x14ac:dyDescent="0.3">
      <c r="A30" t="s">
        <v>135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topLeftCell="A3" zoomScale="91" zoomScaleNormal="91"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PREÇOS!G3</f>
        <v>7.85</v>
      </c>
      <c r="I2" s="88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3" t="s">
        <v>109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PREÇOS!G4</f>
        <v>7.85</v>
      </c>
      <c r="I3" s="88">
        <f>IF(F3=0,,H3*(1+F3)*C3-(H3*B3))</f>
        <v>2.1351999999999998</v>
      </c>
      <c r="J3" s="4">
        <f t="shared" si="1"/>
        <v>2.1351999999999998</v>
      </c>
    </row>
    <row r="4" spans="1:10" x14ac:dyDescent="0.3">
      <c r="A4" s="123" t="s">
        <v>110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PREÇOS!G5</f>
        <v>7.85</v>
      </c>
      <c r="I4" s="88">
        <f t="shared" si="0"/>
        <v>1.8899659999999998</v>
      </c>
      <c r="J4" s="4">
        <f t="shared" si="1"/>
        <v>1.8899659999999998</v>
      </c>
    </row>
    <row r="5" spans="1:10" x14ac:dyDescent="0.3">
      <c r="A5" s="123" t="s">
        <v>111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PREÇOS!G6</f>
        <v>7.85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112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PREÇOS!G7</f>
        <v>7.85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PREÇOS!G8</f>
        <v>7.85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PREÇOS!G9</f>
        <v>7.85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PREÇOS!G10</f>
        <v>7.85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PREÇOS!G11</f>
        <v>7.85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PREÇOS!G12</f>
        <v>7.85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90">
        <f>PREÇOS!G13</f>
        <v>8.3000000000000007</v>
      </c>
      <c r="I12" s="91">
        <f t="shared" si="0"/>
        <v>1.1685072000000001</v>
      </c>
      <c r="J12" s="92">
        <f t="shared" si="1"/>
        <v>1.1685072000000001</v>
      </c>
    </row>
    <row r="13" spans="1:10" x14ac:dyDescent="0.3">
      <c r="A13" s="123" t="s">
        <v>119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PREÇOS!G14</f>
        <v>7.85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PREÇOS!G15</f>
        <v>7.85</v>
      </c>
      <c r="I14" s="88">
        <f t="shared" si="0"/>
        <v>1.3924644000000002</v>
      </c>
      <c r="J14" s="4">
        <f t="shared" si="1"/>
        <v>1.3924644000000002</v>
      </c>
    </row>
    <row r="15" spans="1:10" x14ac:dyDescent="0.3">
      <c r="A15" s="123" t="s">
        <v>121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PREÇOS!G16</f>
        <v>7.85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PREÇOS!G17</f>
        <v>7.85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PREÇOS!G18</f>
        <v>7.85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PREÇOS!G19</f>
        <v>7.85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10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90">
        <f>PREÇOS!G20</f>
        <v>8.3000000000000007</v>
      </c>
      <c r="I19" s="91">
        <f>IF(F19=0,,H19*(1+F19)*C19-(H19*B19))</f>
        <v>1.6065480000000005</v>
      </c>
      <c r="J19" s="92">
        <f t="shared" si="1"/>
        <v>1.6065480000000005</v>
      </c>
    </row>
    <row r="20" spans="1:10" x14ac:dyDescent="0.3">
      <c r="A20" s="123" t="s">
        <v>125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90">
        <f>PREÇOS!G21</f>
        <v>8.3000000000000007</v>
      </c>
      <c r="I20" s="91">
        <f t="shared" si="0"/>
        <v>1.8293697999999998</v>
      </c>
      <c r="J20" s="92">
        <f t="shared" si="1"/>
        <v>1.8293697999999998</v>
      </c>
    </row>
    <row r="21" spans="1:10" x14ac:dyDescent="0.3">
      <c r="A21" s="123" t="s">
        <v>126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PREÇOS!G22</f>
        <v>7.85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PREÇOS!G23</f>
        <v>7.85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PREÇOS!G24</f>
        <v>7.85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90">
        <f>PREÇOS!G25</f>
        <v>8.3000000000000007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130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90">
        <f>PREÇOS!G26</f>
        <v>8.3000000000000007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131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PREÇOS!G27</f>
        <v>7.85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132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90">
        <f>PREÇOS!G28</f>
        <v>8.3000000000000007</v>
      </c>
      <c r="I27" s="91">
        <f t="shared" ref="I27:I30" si="2">IF(F27=0,,H27*(1+F27)*C27-(H27*B27))</f>
        <v>1.1897220000000002</v>
      </c>
      <c r="J27" s="92">
        <f t="shared" ref="J27:J30" si="3">IF(G27=0,IF(F27=0,,H27*(1+F27)*C27-(H27*B27)),H27*(1+G27)*C27-(H27*B27))</f>
        <v>1.1897220000000002</v>
      </c>
    </row>
    <row r="28" spans="1:10" x14ac:dyDescent="0.3">
      <c r="A28" s="126" t="s">
        <v>133</v>
      </c>
      <c r="B28" s="94">
        <f>B27</f>
        <v>0.12</v>
      </c>
      <c r="C28" s="94">
        <f t="shared" ref="C28:G28" si="4">C27</f>
        <v>0.18</v>
      </c>
      <c r="D28" s="93">
        <f t="shared" si="4"/>
        <v>0</v>
      </c>
      <c r="E28" s="93">
        <f t="shared" si="4"/>
        <v>0</v>
      </c>
      <c r="F28" s="93">
        <f t="shared" si="4"/>
        <v>0.46300000000000002</v>
      </c>
      <c r="G28" s="93">
        <f t="shared" si="4"/>
        <v>0</v>
      </c>
      <c r="H28" s="121">
        <f>PREÇOS!G29</f>
        <v>8.3000000000000007</v>
      </c>
      <c r="I28" s="122">
        <f t="shared" si="2"/>
        <v>1.1897220000000002</v>
      </c>
      <c r="J28" s="120">
        <f t="shared" si="3"/>
        <v>1.1897220000000002</v>
      </c>
    </row>
    <row r="29" spans="1:10" x14ac:dyDescent="0.3">
      <c r="A29" s="123" t="s">
        <v>134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PREÇOS!G30</f>
        <v>7.85</v>
      </c>
      <c r="I29" s="89">
        <f t="shared" si="2"/>
        <v>0</v>
      </c>
      <c r="J29" s="48">
        <f t="shared" si="3"/>
        <v>0</v>
      </c>
    </row>
    <row r="30" spans="1:10" x14ac:dyDescent="0.3">
      <c r="A30" s="3" t="s">
        <v>135</v>
      </c>
      <c r="H30" s="7">
        <f>PREÇOS!G31</f>
        <v>0</v>
      </c>
      <c r="I30" s="89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PREÇOS!J3</f>
        <v>6.35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3" t="s">
        <v>109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PREÇOS!J4</f>
        <v>6.35</v>
      </c>
      <c r="I3" s="88">
        <f>IF(F3=0,,H3*(1+F3)*C3-(H3*B3))</f>
        <v>1.7271999999999998</v>
      </c>
      <c r="J3" s="4">
        <f t="shared" si="1"/>
        <v>1.7271999999999998</v>
      </c>
    </row>
    <row r="4" spans="1:10" x14ac:dyDescent="0.3">
      <c r="A4" s="123" t="s">
        <v>110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PREÇOS!J5</f>
        <v>6.35</v>
      </c>
      <c r="I4" s="88">
        <f t="shared" si="0"/>
        <v>1.528826</v>
      </c>
      <c r="J4" s="4">
        <f t="shared" si="1"/>
        <v>1.528826</v>
      </c>
    </row>
    <row r="5" spans="1:10" x14ac:dyDescent="0.3">
      <c r="A5" s="123" t="s">
        <v>111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PREÇOS!J6</f>
        <v>6.35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112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PREÇOS!J7</f>
        <v>6.35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PREÇOS!J8</f>
        <v>6.35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PREÇOS!J9</f>
        <v>6.35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PREÇOS!J10</f>
        <v>5.82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PREÇOS!J11</f>
        <v>6.35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PREÇOS!J12</f>
        <v>6.35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PREÇOS!J13</f>
        <v>6.15</v>
      </c>
      <c r="I12" s="91">
        <f t="shared" si="0"/>
        <v>0.86582159999999986</v>
      </c>
      <c r="J12" s="92">
        <f t="shared" si="1"/>
        <v>0.86582159999999986</v>
      </c>
    </row>
    <row r="13" spans="1:10" x14ac:dyDescent="0.3">
      <c r="A13" s="123" t="s">
        <v>119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PREÇOS!J14</f>
        <v>6.35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PREÇOS!J15</f>
        <v>6.35</v>
      </c>
      <c r="I14" s="88">
        <f t="shared" si="0"/>
        <v>1.1263884000000002</v>
      </c>
      <c r="J14" s="4">
        <f t="shared" si="1"/>
        <v>1.1263884000000002</v>
      </c>
    </row>
    <row r="15" spans="1:10" x14ac:dyDescent="0.3">
      <c r="A15" s="123" t="s">
        <v>121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PREÇOS!J16</f>
        <v>6.35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PREÇOS!J17</f>
        <v>6.35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PREÇOS!J18</f>
        <v>6.35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PREÇOS!J19</f>
        <v>6.35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10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PREÇOS!J20</f>
        <v>6.15</v>
      </c>
      <c r="I19" s="91">
        <f>IF(F19=0,,H19*(1+F19)*C19-(H19*B19))</f>
        <v>1.1903940000000002</v>
      </c>
      <c r="J19" s="92">
        <f t="shared" si="1"/>
        <v>1.1903940000000002</v>
      </c>
    </row>
    <row r="20" spans="1:10" x14ac:dyDescent="0.3">
      <c r="A20" s="123" t="s">
        <v>125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PREÇOS!J21</f>
        <v>6.15</v>
      </c>
      <c r="I20" s="91">
        <f t="shared" si="0"/>
        <v>1.3554969000000003</v>
      </c>
      <c r="J20" s="92">
        <f t="shared" si="1"/>
        <v>1.3554969000000003</v>
      </c>
    </row>
    <row r="21" spans="1:10" x14ac:dyDescent="0.3">
      <c r="A21" s="123" t="s">
        <v>126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PREÇOS!J22</f>
        <v>6.35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PREÇOS!J23</f>
        <v>6.35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PREÇOS!J24</f>
        <v>6.35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7">
        <f>PREÇOS!J25</f>
        <v>6.15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130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7">
        <f>PREÇOS!J26</f>
        <v>6.15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131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PREÇOS!J27</f>
        <v>6.35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132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PREÇOS!J28</f>
        <v>6.15</v>
      </c>
      <c r="I27" s="91">
        <f t="shared" si="0"/>
        <v>0.88154100000000013</v>
      </c>
      <c r="J27" s="92">
        <f t="shared" si="1"/>
        <v>0.88154100000000013</v>
      </c>
    </row>
    <row r="28" spans="1:10" x14ac:dyDescent="0.3">
      <c r="A28" s="126" t="s">
        <v>133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PREÇOS!J29</f>
        <v>6.15</v>
      </c>
      <c r="I28" s="122">
        <f t="shared" si="0"/>
        <v>0.88154100000000013</v>
      </c>
      <c r="J28" s="120">
        <f t="shared" si="1"/>
        <v>0.88154100000000013</v>
      </c>
    </row>
    <row r="29" spans="1:10" x14ac:dyDescent="0.3">
      <c r="A29" s="123" t="s">
        <v>134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PREÇOS!J30</f>
        <v>6.35</v>
      </c>
      <c r="I29" s="89">
        <f t="shared" si="0"/>
        <v>0</v>
      </c>
      <c r="J29" s="48">
        <f t="shared" si="1"/>
        <v>0</v>
      </c>
    </row>
    <row r="30" spans="1:10" x14ac:dyDescent="0.3">
      <c r="A30" s="3" t="s">
        <v>135</v>
      </c>
      <c r="H30" s="7">
        <f>PREÇOS!J31</f>
        <v>0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PREÇOS!K3</f>
        <v>5.25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3" t="s">
        <v>109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PREÇOS!K4</f>
        <v>5.25</v>
      </c>
      <c r="I3" s="88">
        <f>IF(F3=0,,H3*(1+F3)*C3-(H3*B3))</f>
        <v>1.4279999999999999</v>
      </c>
      <c r="J3" s="4">
        <f t="shared" si="1"/>
        <v>1.4279999999999999</v>
      </c>
    </row>
    <row r="4" spans="1:10" x14ac:dyDescent="0.3">
      <c r="A4" s="123" t="s">
        <v>110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PREÇOS!K5</f>
        <v>5.25</v>
      </c>
      <c r="I4" s="88">
        <f t="shared" si="0"/>
        <v>1.2639899999999997</v>
      </c>
      <c r="J4" s="4">
        <f t="shared" si="1"/>
        <v>1.2639899999999997</v>
      </c>
    </row>
    <row r="5" spans="1:10" x14ac:dyDescent="0.3">
      <c r="A5" s="123" t="s">
        <v>111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PREÇOS!K6</f>
        <v>5.25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112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PREÇOS!K7</f>
        <v>5.25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PREÇOS!K8</f>
        <v>5.25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PREÇOS!K9</f>
        <v>5.25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PREÇOS!K10</f>
        <v>5.82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PREÇOS!K11</f>
        <v>5.25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PREÇOS!K12</f>
        <v>5.25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PREÇOS!K13</f>
        <v>6.15</v>
      </c>
      <c r="I12" s="91">
        <f t="shared" si="0"/>
        <v>0.86582159999999986</v>
      </c>
      <c r="J12" s="92">
        <f t="shared" si="1"/>
        <v>0.86582159999999986</v>
      </c>
    </row>
    <row r="13" spans="1:10" x14ac:dyDescent="0.3">
      <c r="A13" s="123" t="s">
        <v>119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PREÇOS!K14</f>
        <v>5.25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PREÇOS!K15</f>
        <v>5.25</v>
      </c>
      <c r="I14" s="88">
        <f t="shared" si="0"/>
        <v>0.93126600000000004</v>
      </c>
      <c r="J14" s="4">
        <f t="shared" si="1"/>
        <v>0.93126600000000004</v>
      </c>
    </row>
    <row r="15" spans="1:10" x14ac:dyDescent="0.3">
      <c r="A15" s="123" t="s">
        <v>121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PREÇOS!K16</f>
        <v>5.25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PREÇOS!K17</f>
        <v>5.25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PREÇOS!K18</f>
        <v>5.25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PREÇOS!K19</f>
        <v>5.25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10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PREÇOS!K20</f>
        <v>6.15</v>
      </c>
      <c r="I19" s="91">
        <f>IF(F19=0,,H19*(1+F19)*C19-(H19*B19))</f>
        <v>1.1903940000000002</v>
      </c>
      <c r="J19" s="92">
        <f t="shared" si="1"/>
        <v>1.1903940000000002</v>
      </c>
    </row>
    <row r="20" spans="1:10" x14ac:dyDescent="0.3">
      <c r="A20" s="123" t="s">
        <v>125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PREÇOS!K21</f>
        <v>6.15</v>
      </c>
      <c r="I20" s="91">
        <f t="shared" si="0"/>
        <v>1.3554969000000003</v>
      </c>
      <c r="J20" s="92">
        <f t="shared" si="1"/>
        <v>1.3554969000000003</v>
      </c>
    </row>
    <row r="21" spans="1:10" x14ac:dyDescent="0.3">
      <c r="A21" s="123" t="s">
        <v>126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PREÇOS!K22</f>
        <v>5.25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PREÇOS!K23</f>
        <v>5.25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PREÇOS!K24</f>
        <v>5.25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7">
        <f>PREÇOS!K25</f>
        <v>6.15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130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7">
        <f>PREÇOS!K26</f>
        <v>6.15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131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PREÇOS!K27</f>
        <v>5.25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132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PREÇOS!K28</f>
        <v>6.15</v>
      </c>
      <c r="I27" s="91">
        <f t="shared" si="0"/>
        <v>0.88154100000000013</v>
      </c>
      <c r="J27" s="92">
        <f t="shared" si="1"/>
        <v>0.88154100000000013</v>
      </c>
    </row>
    <row r="28" spans="1:10" x14ac:dyDescent="0.3">
      <c r="A28" s="126" t="s">
        <v>133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PREÇOS!K29</f>
        <v>6.15</v>
      </c>
      <c r="I28" s="122">
        <f t="shared" si="0"/>
        <v>0.88154100000000013</v>
      </c>
      <c r="J28" s="120">
        <f t="shared" si="1"/>
        <v>0.88154100000000013</v>
      </c>
    </row>
    <row r="29" spans="1:10" x14ac:dyDescent="0.3">
      <c r="A29" s="123" t="s">
        <v>134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PREÇOS!K30</f>
        <v>5.25</v>
      </c>
      <c r="I29" s="89">
        <f t="shared" si="0"/>
        <v>0</v>
      </c>
      <c r="J29" s="48">
        <f t="shared" si="1"/>
        <v>0</v>
      </c>
    </row>
    <row r="30" spans="1:10" x14ac:dyDescent="0.3">
      <c r="A30" s="3" t="s">
        <v>135</v>
      </c>
      <c r="H30" s="7">
        <f>PREÇOS!K31</f>
        <v>0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Q21" sqref="Q21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98</v>
      </c>
      <c r="B1" s="5" t="s">
        <v>99</v>
      </c>
      <c r="C1" s="5" t="s">
        <v>100</v>
      </c>
      <c r="D1" s="2" t="s">
        <v>101</v>
      </c>
      <c r="E1" s="2" t="s">
        <v>102</v>
      </c>
      <c r="F1" s="2" t="s">
        <v>103</v>
      </c>
      <c r="G1" s="2" t="s">
        <v>104</v>
      </c>
      <c r="H1" s="2" t="s">
        <v>105</v>
      </c>
      <c r="I1" s="2" t="s">
        <v>106</v>
      </c>
      <c r="J1" s="2" t="s">
        <v>107</v>
      </c>
    </row>
    <row r="2" spans="1:10" x14ac:dyDescent="0.3">
      <c r="A2" s="123" t="s">
        <v>108</v>
      </c>
      <c r="B2" s="131">
        <f>VLOOKUP(A2,[2]DIFAL!$C$13:$E$39,3,0)</f>
        <v>7.0000000000000007E-2</v>
      </c>
      <c r="C2" s="131">
        <v>0.17</v>
      </c>
      <c r="D2" s="125"/>
      <c r="E2" s="125"/>
      <c r="F2" s="125"/>
      <c r="G2" s="125"/>
      <c r="H2" s="7">
        <f>PREÇOS!L3</f>
        <v>13.4</v>
      </c>
      <c r="I2" s="88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3" t="s">
        <v>109</v>
      </c>
      <c r="B3" s="131">
        <f>VLOOKUP(A3,[2]DIFAL!$C$13:$E$39,3,0)</f>
        <v>7.0000000000000007E-2</v>
      </c>
      <c r="C3" s="131">
        <v>0.2</v>
      </c>
      <c r="D3" s="125"/>
      <c r="E3" s="125"/>
      <c r="F3" s="125">
        <v>0.71</v>
      </c>
      <c r="G3" s="125"/>
      <c r="H3" s="7">
        <f>PREÇOS!L4</f>
        <v>13.4</v>
      </c>
      <c r="I3" s="88">
        <f>IF(F3=0,,H3*(1+F3)*C3-(H3*B3))</f>
        <v>3.6448000000000005</v>
      </c>
      <c r="J3" s="4">
        <f t="shared" si="1"/>
        <v>3.6448000000000005</v>
      </c>
    </row>
    <row r="4" spans="1:10" x14ac:dyDescent="0.3">
      <c r="A4" s="123" t="s">
        <v>110</v>
      </c>
      <c r="B4" s="131">
        <f>VLOOKUP(A4,[2]DIFAL!$C$13:$E$39,3,0)</f>
        <v>7.0000000000000007E-2</v>
      </c>
      <c r="C4" s="131">
        <v>0.2</v>
      </c>
      <c r="D4" s="125"/>
      <c r="E4" s="125"/>
      <c r="F4" s="125">
        <v>0.55379999999999996</v>
      </c>
      <c r="G4" s="125"/>
      <c r="H4" s="7">
        <f>PREÇOS!L5</f>
        <v>13.4</v>
      </c>
      <c r="I4" s="88">
        <f t="shared" si="0"/>
        <v>3.2261839999999995</v>
      </c>
      <c r="J4" s="4">
        <f t="shared" si="1"/>
        <v>3.2261839999999995</v>
      </c>
    </row>
    <row r="5" spans="1:10" x14ac:dyDescent="0.3">
      <c r="A5" s="123" t="s">
        <v>111</v>
      </c>
      <c r="B5" s="131">
        <f>VLOOKUP(A5,[2]DIFAL!$C$13:$E$39,3,0)</f>
        <v>7.0000000000000007E-2</v>
      </c>
      <c r="C5" s="131">
        <v>0.18</v>
      </c>
      <c r="D5" s="125"/>
      <c r="E5" s="125"/>
      <c r="F5" s="125"/>
      <c r="G5" s="125"/>
      <c r="H5" s="7">
        <f>PREÇOS!L6</f>
        <v>13.4</v>
      </c>
      <c r="I5" s="88">
        <f t="shared" si="0"/>
        <v>0</v>
      </c>
      <c r="J5" s="4">
        <f t="shared" si="1"/>
        <v>0</v>
      </c>
    </row>
    <row r="6" spans="1:10" x14ac:dyDescent="0.3">
      <c r="A6" s="123" t="s">
        <v>112</v>
      </c>
      <c r="B6" s="131">
        <f>VLOOKUP(A6,[2]DIFAL!$C$13:$E$39,3,0)</f>
        <v>7.0000000000000007E-2</v>
      </c>
      <c r="C6" s="131">
        <v>0.19</v>
      </c>
      <c r="D6" s="125"/>
      <c r="E6" s="125"/>
      <c r="F6" s="125"/>
      <c r="G6" s="125"/>
      <c r="H6" s="7">
        <f>PREÇOS!L7</f>
        <v>13.4</v>
      </c>
      <c r="I6" s="88">
        <f t="shared" si="0"/>
        <v>0</v>
      </c>
      <c r="J6" s="4">
        <f t="shared" si="1"/>
        <v>0</v>
      </c>
    </row>
    <row r="7" spans="1:10" x14ac:dyDescent="0.3">
      <c r="A7" s="123" t="s">
        <v>113</v>
      </c>
      <c r="B7" s="131">
        <f>VLOOKUP(A7,[2]DIFAL!$C$13:$E$39,3,0)</f>
        <v>7.0000000000000007E-2</v>
      </c>
      <c r="C7" s="131">
        <v>0.2</v>
      </c>
      <c r="D7" s="125"/>
      <c r="E7" s="125"/>
      <c r="F7" s="125"/>
      <c r="G7" s="125"/>
      <c r="H7" s="7">
        <f>PREÇOS!L8</f>
        <v>13.4</v>
      </c>
      <c r="I7" s="88">
        <f t="shared" si="0"/>
        <v>0</v>
      </c>
      <c r="J7" s="4">
        <f t="shared" si="1"/>
        <v>0</v>
      </c>
    </row>
    <row r="8" spans="1:10" x14ac:dyDescent="0.3">
      <c r="A8" s="123" t="s">
        <v>114</v>
      </c>
      <c r="B8" s="131">
        <f>VLOOKUP(A8,[2]DIFAL!$C$13:$E$39,3,0)</f>
        <v>7.0000000000000007E-2</v>
      </c>
      <c r="C8" s="131">
        <v>0.18</v>
      </c>
      <c r="D8" s="125"/>
      <c r="E8" s="125"/>
      <c r="F8" s="125"/>
      <c r="G8" s="125"/>
      <c r="H8" s="7">
        <f>PREÇOS!L9</f>
        <v>13.4</v>
      </c>
      <c r="I8" s="88">
        <f t="shared" si="0"/>
        <v>0</v>
      </c>
      <c r="J8" s="4">
        <f t="shared" si="1"/>
        <v>0</v>
      </c>
    </row>
    <row r="9" spans="1:10" x14ac:dyDescent="0.3">
      <c r="A9" s="123" t="s">
        <v>115</v>
      </c>
      <c r="B9" s="131">
        <f>VLOOKUP(A9,[2]DIFAL!$C$13:$E$39,3,0)</f>
        <v>7.0000000000000007E-2</v>
      </c>
      <c r="C9" s="131">
        <v>0.17</v>
      </c>
      <c r="D9" s="125"/>
      <c r="E9" s="125"/>
      <c r="F9" s="125"/>
      <c r="G9" s="125"/>
      <c r="H9" s="7">
        <f>PREÇOS!L10</f>
        <v>14.18</v>
      </c>
      <c r="I9" s="88">
        <f t="shared" si="0"/>
        <v>0</v>
      </c>
      <c r="J9" s="4">
        <f t="shared" si="1"/>
        <v>0</v>
      </c>
    </row>
    <row r="10" spans="1:10" x14ac:dyDescent="0.3">
      <c r="A10" s="123" t="s">
        <v>116</v>
      </c>
      <c r="B10" s="131">
        <f>VLOOKUP(A10,[2]DIFAL!$C$13:$E$39,3,0)</f>
        <v>7.0000000000000007E-2</v>
      </c>
      <c r="C10" s="131">
        <v>0.17</v>
      </c>
      <c r="D10" s="125"/>
      <c r="E10" s="125"/>
      <c r="F10" s="125"/>
      <c r="G10" s="125"/>
      <c r="H10" s="7">
        <f>PREÇOS!L11</f>
        <v>13.4</v>
      </c>
      <c r="I10" s="88">
        <f t="shared" si="0"/>
        <v>0</v>
      </c>
      <c r="J10" s="4">
        <f t="shared" si="1"/>
        <v>0</v>
      </c>
    </row>
    <row r="11" spans="1:10" x14ac:dyDescent="0.3">
      <c r="A11" s="123" t="s">
        <v>117</v>
      </c>
      <c r="B11" s="131">
        <f>VLOOKUP(A11,[2]DIFAL!$C$13:$E$39,3,0)</f>
        <v>7.0000000000000007E-2</v>
      </c>
      <c r="C11" s="131">
        <v>0.2</v>
      </c>
      <c r="D11" s="125"/>
      <c r="E11" s="125"/>
      <c r="F11" s="125"/>
      <c r="G11" s="125"/>
      <c r="H11" s="7">
        <f>PREÇOS!L12</f>
        <v>13.4</v>
      </c>
      <c r="I11" s="88">
        <f t="shared" si="0"/>
        <v>0</v>
      </c>
      <c r="J11" s="4">
        <f t="shared" si="1"/>
        <v>0</v>
      </c>
    </row>
    <row r="12" spans="1:10" x14ac:dyDescent="0.3">
      <c r="A12" s="123" t="s">
        <v>118</v>
      </c>
      <c r="B12" s="131">
        <f>VLOOKUP(A12,[2]DIFAL!$C$13:$E$39,3,0)</f>
        <v>0.12</v>
      </c>
      <c r="C12" s="131">
        <v>0.18</v>
      </c>
      <c r="D12" s="125"/>
      <c r="E12" s="125"/>
      <c r="F12" s="125">
        <v>0.44879999999999998</v>
      </c>
      <c r="G12" s="125"/>
      <c r="H12" s="7">
        <f>PREÇOS!L13</f>
        <v>14.99</v>
      </c>
      <c r="I12" s="91">
        <f t="shared" si="0"/>
        <v>2.1103521599999997</v>
      </c>
      <c r="J12" s="92">
        <f t="shared" si="1"/>
        <v>2.1103521599999997</v>
      </c>
    </row>
    <row r="13" spans="1:10" x14ac:dyDescent="0.3">
      <c r="A13" s="123" t="s">
        <v>119</v>
      </c>
      <c r="B13" s="131">
        <f>VLOOKUP(A13,[2]DIFAL!$C$13:$E$39,3,0)</f>
        <v>7.0000000000000007E-2</v>
      </c>
      <c r="C13" s="131">
        <v>0.17</v>
      </c>
      <c r="D13" s="125"/>
      <c r="E13" s="125"/>
      <c r="F13" s="125"/>
      <c r="G13" s="125"/>
      <c r="H13" s="7">
        <f>PREÇOS!L14</f>
        <v>13.4</v>
      </c>
      <c r="I13" s="88">
        <f t="shared" si="0"/>
        <v>0</v>
      </c>
      <c r="J13" s="4">
        <f t="shared" si="1"/>
        <v>0</v>
      </c>
    </row>
    <row r="14" spans="1:10" x14ac:dyDescent="0.3">
      <c r="A14" s="123" t="s">
        <v>120</v>
      </c>
      <c r="B14" s="131">
        <f>VLOOKUP(A14,[2]DIFAL!$C$13:$E$39,3,0)</f>
        <v>7.0000000000000007E-2</v>
      </c>
      <c r="C14" s="131">
        <v>0.17</v>
      </c>
      <c r="D14" s="125"/>
      <c r="E14" s="125"/>
      <c r="F14" s="125">
        <v>0.45519999999999999</v>
      </c>
      <c r="G14" s="125"/>
      <c r="H14" s="7">
        <f>PREÇOS!L15</f>
        <v>13.4</v>
      </c>
      <c r="I14" s="88">
        <f t="shared" si="0"/>
        <v>2.3769456000000004</v>
      </c>
      <c r="J14" s="4">
        <f t="shared" si="1"/>
        <v>2.3769456000000004</v>
      </c>
    </row>
    <row r="15" spans="1:10" x14ac:dyDescent="0.3">
      <c r="A15" s="123" t="s">
        <v>121</v>
      </c>
      <c r="B15" s="131">
        <f>VLOOKUP(A15,[2]DIFAL!$C$13:$E$39,3,0)</f>
        <v>7.0000000000000007E-2</v>
      </c>
      <c r="C15" s="131">
        <v>0.19</v>
      </c>
      <c r="D15" s="125"/>
      <c r="E15" s="125"/>
      <c r="F15" s="125"/>
      <c r="G15" s="125"/>
      <c r="H15" s="7">
        <f>PREÇOS!L16</f>
        <v>13.4</v>
      </c>
      <c r="I15" s="88">
        <f t="shared" si="0"/>
        <v>0</v>
      </c>
      <c r="J15" s="4">
        <f t="shared" si="1"/>
        <v>0</v>
      </c>
    </row>
    <row r="16" spans="1:10" x14ac:dyDescent="0.3">
      <c r="A16" s="123" t="s">
        <v>122</v>
      </c>
      <c r="B16" s="131">
        <f>VLOOKUP(A16,[2]DIFAL!$C$13:$E$39,3,0)</f>
        <v>7.0000000000000007E-2</v>
      </c>
      <c r="C16" s="131">
        <v>0.18</v>
      </c>
      <c r="D16" s="125"/>
      <c r="E16" s="125"/>
      <c r="F16" s="125"/>
      <c r="G16" s="125"/>
      <c r="H16" s="7">
        <f>PREÇOS!L17</f>
        <v>13.4</v>
      </c>
      <c r="I16" s="88">
        <f t="shared" si="0"/>
        <v>0</v>
      </c>
      <c r="J16" s="4">
        <f t="shared" si="1"/>
        <v>0</v>
      </c>
    </row>
    <row r="17" spans="1:10" x14ac:dyDescent="0.3">
      <c r="A17" s="123" t="s">
        <v>123</v>
      </c>
      <c r="B17" s="131">
        <f>VLOOKUP(A17,[2]DIFAL!$C$13:$E$39,3,0)</f>
        <v>7.0000000000000007E-2</v>
      </c>
      <c r="C17" s="131">
        <v>0.18</v>
      </c>
      <c r="D17" s="125"/>
      <c r="E17" s="125"/>
      <c r="F17" s="125"/>
      <c r="G17" s="125"/>
      <c r="H17" s="7">
        <f>PREÇOS!L18</f>
        <v>13.4</v>
      </c>
      <c r="I17" s="88">
        <f t="shared" si="0"/>
        <v>0</v>
      </c>
      <c r="J17" s="4">
        <f t="shared" si="1"/>
        <v>0</v>
      </c>
    </row>
    <row r="18" spans="1:10" x14ac:dyDescent="0.3">
      <c r="A18" s="123" t="s">
        <v>124</v>
      </c>
      <c r="B18" s="131">
        <f>VLOOKUP(A18,[2]DIFAL!$C$13:$E$39,3,0)</f>
        <v>7.0000000000000007E-2</v>
      </c>
      <c r="C18" s="131">
        <v>0.21</v>
      </c>
      <c r="D18" s="125"/>
      <c r="E18" s="125"/>
      <c r="F18" s="125"/>
      <c r="G18" s="125"/>
      <c r="H18" s="7">
        <f>PREÇOS!L19</f>
        <v>13.4</v>
      </c>
      <c r="I18" s="88">
        <f t="shared" si="0"/>
        <v>0</v>
      </c>
      <c r="J18" s="4">
        <f t="shared" si="1"/>
        <v>0</v>
      </c>
    </row>
    <row r="19" spans="1:10" x14ac:dyDescent="0.3">
      <c r="A19" s="123" t="s">
        <v>10</v>
      </c>
      <c r="B19" s="131">
        <v>0.12</v>
      </c>
      <c r="C19" s="131">
        <v>0.19500000000000001</v>
      </c>
      <c r="D19" s="125"/>
      <c r="E19" s="125"/>
      <c r="F19" s="125">
        <v>0.60799999999999998</v>
      </c>
      <c r="G19" s="125"/>
      <c r="H19" s="7">
        <f>PREÇOS!L20</f>
        <v>14.99</v>
      </c>
      <c r="I19" s="91">
        <f>IF(F19=0,,H19*(1+F19)*C19-(H19*B19))</f>
        <v>2.9014644000000009</v>
      </c>
      <c r="J19" s="92">
        <f t="shared" si="1"/>
        <v>2.9014644000000009</v>
      </c>
    </row>
    <row r="20" spans="1:10" x14ac:dyDescent="0.3">
      <c r="A20" s="123" t="s">
        <v>125</v>
      </c>
      <c r="B20" s="131">
        <f>VLOOKUP(A20,[2]DIFAL!$C$13:$E$39,3,0)</f>
        <v>0.12</v>
      </c>
      <c r="C20" s="131">
        <v>0.22</v>
      </c>
      <c r="D20" s="125"/>
      <c r="E20" s="125"/>
      <c r="F20" s="125">
        <v>0.54730000000000001</v>
      </c>
      <c r="G20" s="125"/>
      <c r="H20" s="7">
        <f>PREÇOS!L21</f>
        <v>14.99</v>
      </c>
      <c r="I20" s="91">
        <f t="shared" si="0"/>
        <v>3.3038859399999998</v>
      </c>
      <c r="J20" s="92">
        <f t="shared" si="1"/>
        <v>3.3038859399999998</v>
      </c>
    </row>
    <row r="21" spans="1:10" x14ac:dyDescent="0.3">
      <c r="A21" s="123" t="s">
        <v>126</v>
      </c>
      <c r="B21" s="131">
        <f>VLOOKUP(A21,[2]DIFAL!$C$13:$E$39,3,0)</f>
        <v>7.0000000000000007E-2</v>
      </c>
      <c r="C21" s="131">
        <v>0.2</v>
      </c>
      <c r="D21" s="125"/>
      <c r="E21" s="125"/>
      <c r="F21" s="125"/>
      <c r="G21" s="125"/>
      <c r="H21" s="7">
        <f>PREÇOS!L22</f>
        <v>13.4</v>
      </c>
      <c r="I21" s="88">
        <f t="shared" si="0"/>
        <v>0</v>
      </c>
      <c r="J21" s="4">
        <f t="shared" si="1"/>
        <v>0</v>
      </c>
    </row>
    <row r="22" spans="1:10" x14ac:dyDescent="0.3">
      <c r="A22" s="123" t="s">
        <v>127</v>
      </c>
      <c r="B22" s="131">
        <f>VLOOKUP(A22,[2]DIFAL!$C$13:$E$39,3,0)</f>
        <v>7.0000000000000007E-2</v>
      </c>
      <c r="C22" s="131">
        <v>0.17499999999999999</v>
      </c>
      <c r="D22" s="125"/>
      <c r="E22" s="125"/>
      <c r="F22" s="125"/>
      <c r="G22" s="125"/>
      <c r="H22" s="7">
        <f>PREÇOS!L23</f>
        <v>13.4</v>
      </c>
      <c r="I22" s="88">
        <f t="shared" si="0"/>
        <v>0</v>
      </c>
      <c r="J22" s="4">
        <f t="shared" si="1"/>
        <v>0</v>
      </c>
    </row>
    <row r="23" spans="1:10" x14ac:dyDescent="0.3">
      <c r="A23" s="123" t="s">
        <v>128</v>
      </c>
      <c r="B23" s="131">
        <f>VLOOKUP(A23,[2]DIFAL!$C$13:$E$39,3,0)</f>
        <v>7.0000000000000007E-2</v>
      </c>
      <c r="C23" s="131">
        <v>0.2</v>
      </c>
      <c r="D23" s="125"/>
      <c r="E23" s="125"/>
      <c r="F23" s="125"/>
      <c r="G23" s="125"/>
      <c r="H23" s="7">
        <f>PREÇOS!L24</f>
        <v>13.4</v>
      </c>
      <c r="I23" s="88">
        <f t="shared" si="0"/>
        <v>0</v>
      </c>
      <c r="J23" s="4">
        <f t="shared" si="1"/>
        <v>0</v>
      </c>
    </row>
    <row r="24" spans="1:10" x14ac:dyDescent="0.3">
      <c r="A24" s="123" t="s">
        <v>129</v>
      </c>
      <c r="B24" s="131">
        <f>VLOOKUP(A24,[2]DIFAL!$C$13:$E$39,3,0)</f>
        <v>0.12</v>
      </c>
      <c r="C24" s="131">
        <v>0.17</v>
      </c>
      <c r="D24" s="125"/>
      <c r="E24" s="125"/>
      <c r="F24" s="125"/>
      <c r="G24" s="125"/>
      <c r="H24" s="7">
        <f>PREÇOS!L25</f>
        <v>14.99</v>
      </c>
      <c r="I24" s="91">
        <f t="shared" si="0"/>
        <v>0</v>
      </c>
      <c r="J24" s="92">
        <f t="shared" si="1"/>
        <v>0</v>
      </c>
    </row>
    <row r="25" spans="1:10" x14ac:dyDescent="0.3">
      <c r="A25" s="123" t="s">
        <v>130</v>
      </c>
      <c r="B25" s="131">
        <f>VLOOKUP(A25,[2]DIFAL!$C$13:$E$39,3,0)</f>
        <v>0.12</v>
      </c>
      <c r="C25" s="131">
        <v>0.17</v>
      </c>
      <c r="D25" s="125"/>
      <c r="E25" s="125"/>
      <c r="F25" s="125"/>
      <c r="G25" s="125"/>
      <c r="H25" s="7">
        <f>PREÇOS!L26</f>
        <v>14.99</v>
      </c>
      <c r="I25" s="91">
        <f t="shared" si="0"/>
        <v>0</v>
      </c>
      <c r="J25" s="92">
        <f t="shared" si="1"/>
        <v>0</v>
      </c>
    </row>
    <row r="26" spans="1:10" x14ac:dyDescent="0.3">
      <c r="A26" s="123" t="s">
        <v>131</v>
      </c>
      <c r="B26" s="131">
        <f>VLOOKUP(A26,[2]DIFAL!$C$13:$E$39,3,0)</f>
        <v>7.0000000000000007E-2</v>
      </c>
      <c r="C26" s="131">
        <v>0.2</v>
      </c>
      <c r="D26" s="125"/>
      <c r="E26" s="125"/>
      <c r="F26" s="125"/>
      <c r="G26" s="125"/>
      <c r="H26" s="7">
        <f>PREÇOS!L27</f>
        <v>13.4</v>
      </c>
      <c r="I26" s="89">
        <f t="shared" si="0"/>
        <v>0</v>
      </c>
      <c r="J26" s="48">
        <f t="shared" si="1"/>
        <v>0</v>
      </c>
    </row>
    <row r="27" spans="1:10" x14ac:dyDescent="0.3">
      <c r="A27" s="123" t="s">
        <v>132</v>
      </c>
      <c r="B27" s="131">
        <f>VLOOKUP(A27,[2]DIFAL!$C$13:$E$39,3,0)</f>
        <v>0.12</v>
      </c>
      <c r="C27" s="131">
        <v>0.18</v>
      </c>
      <c r="D27" s="125"/>
      <c r="E27" s="125"/>
      <c r="F27" s="125">
        <v>0.46300000000000002</v>
      </c>
      <c r="G27" s="125"/>
      <c r="H27" s="7">
        <f>PREÇOS!L28</f>
        <v>14.99</v>
      </c>
      <c r="I27" s="91">
        <f t="shared" si="0"/>
        <v>2.1486665999999999</v>
      </c>
      <c r="J27" s="92">
        <f t="shared" si="1"/>
        <v>2.1486665999999999</v>
      </c>
    </row>
    <row r="28" spans="1:10" x14ac:dyDescent="0.3">
      <c r="A28" s="126" t="s">
        <v>133</v>
      </c>
      <c r="B28" s="94">
        <f>B27</f>
        <v>0.12</v>
      </c>
      <c r="C28" s="94">
        <f t="shared" ref="C28:G28" si="2">C27</f>
        <v>0.18</v>
      </c>
      <c r="D28" s="93">
        <f t="shared" si="2"/>
        <v>0</v>
      </c>
      <c r="E28" s="93">
        <f t="shared" si="2"/>
        <v>0</v>
      </c>
      <c r="F28" s="93">
        <f t="shared" si="2"/>
        <v>0.46300000000000002</v>
      </c>
      <c r="G28" s="93">
        <f t="shared" si="2"/>
        <v>0</v>
      </c>
      <c r="H28" s="7">
        <f>PREÇOS!L29</f>
        <v>14.99</v>
      </c>
      <c r="I28" s="122">
        <f t="shared" si="0"/>
        <v>2.1486665999999999</v>
      </c>
      <c r="J28" s="120">
        <f t="shared" si="1"/>
        <v>2.1486665999999999</v>
      </c>
    </row>
    <row r="29" spans="1:10" x14ac:dyDescent="0.3">
      <c r="A29" s="123" t="s">
        <v>134</v>
      </c>
      <c r="B29" s="131">
        <f>VLOOKUP(A29,[2]DIFAL!$C$13:$E$39,3,0)</f>
        <v>7.0000000000000007E-2</v>
      </c>
      <c r="C29" s="131">
        <v>0.2</v>
      </c>
      <c r="D29" s="125"/>
      <c r="E29" s="125"/>
      <c r="F29" s="125"/>
      <c r="G29" s="125"/>
      <c r="H29" s="7">
        <f>PREÇOS!L30</f>
        <v>13.4</v>
      </c>
      <c r="I29" s="89">
        <f t="shared" si="0"/>
        <v>0</v>
      </c>
      <c r="J29" s="48">
        <f t="shared" si="1"/>
        <v>0</v>
      </c>
    </row>
    <row r="30" spans="1:10" x14ac:dyDescent="0.3">
      <c r="A30" s="3" t="s">
        <v>135</v>
      </c>
      <c r="H30" s="7">
        <f>PREÇOS!L31</f>
        <v>0</v>
      </c>
      <c r="I30" s="89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O33"/>
  <sheetViews>
    <sheetView topLeftCell="G1" zoomScaleNormal="100" workbookViewId="0">
      <selection activeCell="N3" sqref="N3:N30"/>
    </sheetView>
  </sheetViews>
  <sheetFormatPr defaultRowHeight="14.4" x14ac:dyDescent="0.3"/>
  <cols>
    <col min="1" max="15" width="18.44140625" customWidth="1"/>
  </cols>
  <sheetData>
    <row r="1" spans="1:15" ht="15.6" x14ac:dyDescent="0.3">
      <c r="A1" s="95" t="s">
        <v>136</v>
      </c>
      <c r="B1" s="96" t="s">
        <v>137</v>
      </c>
      <c r="C1" s="97"/>
      <c r="D1" s="97">
        <v>1.03</v>
      </c>
      <c r="E1" s="97"/>
      <c r="F1" s="97"/>
      <c r="G1" s="132"/>
      <c r="H1" s="97"/>
      <c r="I1" s="97">
        <v>1.1000000000000001</v>
      </c>
      <c r="J1" s="97"/>
      <c r="K1" s="97"/>
      <c r="L1" s="97"/>
      <c r="M1" s="97"/>
      <c r="N1" s="97">
        <v>1.05</v>
      </c>
      <c r="O1" s="97"/>
    </row>
    <row r="2" spans="1:15" ht="31.2" x14ac:dyDescent="0.3">
      <c r="A2" s="98" t="s">
        <v>98</v>
      </c>
      <c r="B2" s="133" t="s">
        <v>138</v>
      </c>
      <c r="C2" s="98" t="s">
        <v>139</v>
      </c>
      <c r="D2" s="133" t="s">
        <v>140</v>
      </c>
      <c r="E2" s="98" t="s">
        <v>141</v>
      </c>
      <c r="F2" s="98" t="s">
        <v>142</v>
      </c>
      <c r="G2" s="134" t="s">
        <v>143</v>
      </c>
      <c r="H2" s="1" t="s">
        <v>144</v>
      </c>
      <c r="I2" s="99" t="s">
        <v>145</v>
      </c>
      <c r="J2" s="134" t="s">
        <v>146</v>
      </c>
      <c r="K2" s="135" t="s">
        <v>147</v>
      </c>
      <c r="L2" s="135" t="s">
        <v>148</v>
      </c>
      <c r="M2" s="1" t="s">
        <v>149</v>
      </c>
      <c r="N2" s="1" t="s">
        <v>150</v>
      </c>
      <c r="O2" s="1" t="s">
        <v>151</v>
      </c>
    </row>
    <row r="3" spans="1:15" x14ac:dyDescent="0.3">
      <c r="A3" s="8" t="s">
        <v>108</v>
      </c>
      <c r="B3" s="9">
        <v>5.67</v>
      </c>
      <c r="C3" s="9">
        <v>3.57</v>
      </c>
      <c r="D3" s="9">
        <v>11.814100000000002</v>
      </c>
      <c r="E3" s="9">
        <v>7.93</v>
      </c>
      <c r="F3" s="10">
        <v>11.1</v>
      </c>
      <c r="G3" s="10">
        <v>7.85</v>
      </c>
      <c r="H3" s="10">
        <v>7.93</v>
      </c>
      <c r="I3" s="9">
        <v>8.0850000000000009</v>
      </c>
      <c r="J3" s="10">
        <v>6.35</v>
      </c>
      <c r="K3" s="10">
        <v>5.25</v>
      </c>
      <c r="L3" s="10">
        <v>13.4</v>
      </c>
      <c r="M3" s="6">
        <v>5.67</v>
      </c>
      <c r="N3" s="10">
        <v>11.907</v>
      </c>
      <c r="O3" s="6"/>
    </row>
    <row r="4" spans="1:15" x14ac:dyDescent="0.3">
      <c r="A4" s="8" t="s">
        <v>109</v>
      </c>
      <c r="B4" s="9">
        <v>5.67</v>
      </c>
      <c r="C4" s="9">
        <v>3.57</v>
      </c>
      <c r="D4" s="9">
        <v>11.814100000000002</v>
      </c>
      <c r="E4" s="9">
        <v>7.93</v>
      </c>
      <c r="F4" s="10">
        <v>11.1</v>
      </c>
      <c r="G4" s="10">
        <v>7.85</v>
      </c>
      <c r="H4" s="10">
        <v>7.93</v>
      </c>
      <c r="I4" s="9">
        <v>8.0850000000000009</v>
      </c>
      <c r="J4" s="10">
        <v>6.35</v>
      </c>
      <c r="K4" s="10">
        <v>5.25</v>
      </c>
      <c r="L4" s="10">
        <v>13.4</v>
      </c>
      <c r="M4" s="6">
        <v>5.67</v>
      </c>
      <c r="N4" s="10">
        <v>11.907</v>
      </c>
      <c r="O4" s="6"/>
    </row>
    <row r="5" spans="1:15" x14ac:dyDescent="0.3">
      <c r="A5" s="8" t="s">
        <v>110</v>
      </c>
      <c r="B5" s="9">
        <v>5.67</v>
      </c>
      <c r="C5" s="9">
        <v>3.57</v>
      </c>
      <c r="D5" s="9">
        <v>11.814100000000002</v>
      </c>
      <c r="E5" s="9">
        <v>7.93</v>
      </c>
      <c r="F5" s="10">
        <v>11.1</v>
      </c>
      <c r="G5" s="10">
        <v>7.85</v>
      </c>
      <c r="H5" s="10">
        <v>7.93</v>
      </c>
      <c r="I5" s="9">
        <v>8.0850000000000009</v>
      </c>
      <c r="J5" s="10">
        <v>6.35</v>
      </c>
      <c r="K5" s="10">
        <v>5.25</v>
      </c>
      <c r="L5" s="10">
        <v>13.4</v>
      </c>
      <c r="M5" s="6">
        <v>5.67</v>
      </c>
      <c r="N5" s="10">
        <v>11.907</v>
      </c>
      <c r="O5" s="6"/>
    </row>
    <row r="6" spans="1:15" x14ac:dyDescent="0.3">
      <c r="A6" s="8" t="s">
        <v>111</v>
      </c>
      <c r="B6" s="9">
        <v>5.67</v>
      </c>
      <c r="C6" s="9">
        <v>3.57</v>
      </c>
      <c r="D6" s="9">
        <v>11.814100000000002</v>
      </c>
      <c r="E6" s="9">
        <v>7.93</v>
      </c>
      <c r="F6" s="10">
        <v>11.1</v>
      </c>
      <c r="G6" s="10">
        <v>7.85</v>
      </c>
      <c r="H6" s="10">
        <v>7.93</v>
      </c>
      <c r="I6" s="9">
        <v>8.0850000000000009</v>
      </c>
      <c r="J6" s="10">
        <v>6.35</v>
      </c>
      <c r="K6" s="10">
        <v>5.25</v>
      </c>
      <c r="L6" s="10">
        <v>13.4</v>
      </c>
      <c r="M6" s="6">
        <v>5.67</v>
      </c>
      <c r="N6" s="10">
        <v>11.907</v>
      </c>
      <c r="O6" s="6"/>
    </row>
    <row r="7" spans="1:15" x14ac:dyDescent="0.3">
      <c r="A7" s="8" t="s">
        <v>112</v>
      </c>
      <c r="B7" s="9">
        <v>5.67</v>
      </c>
      <c r="C7" s="9">
        <v>3.57</v>
      </c>
      <c r="D7" s="9">
        <v>11.814100000000002</v>
      </c>
      <c r="E7" s="9">
        <v>7.93</v>
      </c>
      <c r="F7" s="10">
        <v>11.1</v>
      </c>
      <c r="G7" s="10">
        <v>7.85</v>
      </c>
      <c r="H7" s="10">
        <v>7.93</v>
      </c>
      <c r="I7" s="9">
        <v>8.0850000000000009</v>
      </c>
      <c r="J7" s="10">
        <v>6.35</v>
      </c>
      <c r="K7" s="10">
        <v>5.25</v>
      </c>
      <c r="L7" s="10">
        <v>13.4</v>
      </c>
      <c r="M7" s="6">
        <v>5.67</v>
      </c>
      <c r="N7" s="10">
        <v>11.907</v>
      </c>
      <c r="O7" s="6"/>
    </row>
    <row r="8" spans="1:15" x14ac:dyDescent="0.3">
      <c r="A8" s="8" t="s">
        <v>113</v>
      </c>
      <c r="B8" s="9">
        <v>5.67</v>
      </c>
      <c r="C8" s="9">
        <v>3.57</v>
      </c>
      <c r="D8" s="9">
        <v>11.814100000000002</v>
      </c>
      <c r="E8" s="9">
        <v>7.93</v>
      </c>
      <c r="F8" s="10">
        <v>11.1</v>
      </c>
      <c r="G8" s="10">
        <v>7.85</v>
      </c>
      <c r="H8" s="10">
        <v>7.93</v>
      </c>
      <c r="I8" s="9">
        <v>8.0850000000000009</v>
      </c>
      <c r="J8" s="10">
        <v>6.35</v>
      </c>
      <c r="K8" s="10">
        <v>5.25</v>
      </c>
      <c r="L8" s="10">
        <v>13.4</v>
      </c>
      <c r="M8" s="6">
        <v>5.67</v>
      </c>
      <c r="N8" s="10">
        <v>11.907</v>
      </c>
      <c r="O8" s="6"/>
    </row>
    <row r="9" spans="1:15" x14ac:dyDescent="0.3">
      <c r="A9" s="8" t="s">
        <v>114</v>
      </c>
      <c r="B9" s="9">
        <v>5.67</v>
      </c>
      <c r="C9" s="9">
        <v>3.57</v>
      </c>
      <c r="D9" s="9">
        <v>11.814100000000002</v>
      </c>
      <c r="E9" s="9">
        <v>7.93</v>
      </c>
      <c r="F9" s="10">
        <v>11.1</v>
      </c>
      <c r="G9" s="10">
        <v>7.85</v>
      </c>
      <c r="H9" s="10">
        <v>7.93</v>
      </c>
      <c r="I9" s="9">
        <v>8.0850000000000009</v>
      </c>
      <c r="J9" s="10">
        <v>6.35</v>
      </c>
      <c r="K9" s="10">
        <v>5.25</v>
      </c>
      <c r="L9" s="10">
        <v>13.4</v>
      </c>
      <c r="M9" s="6">
        <v>5.67</v>
      </c>
      <c r="N9" s="10">
        <v>11.907</v>
      </c>
      <c r="O9" s="6"/>
    </row>
    <row r="10" spans="1:15" x14ac:dyDescent="0.3">
      <c r="A10" s="11" t="s">
        <v>115</v>
      </c>
      <c r="B10" s="9">
        <v>5.67</v>
      </c>
      <c r="C10" s="9">
        <v>3.57</v>
      </c>
      <c r="D10" s="9">
        <v>11.814100000000002</v>
      </c>
      <c r="E10" s="9">
        <v>7.93</v>
      </c>
      <c r="F10" s="10">
        <v>11.1</v>
      </c>
      <c r="G10" s="10">
        <v>7.85</v>
      </c>
      <c r="H10" s="10">
        <v>7.93</v>
      </c>
      <c r="I10" s="9">
        <v>8.0850000000000009</v>
      </c>
      <c r="J10" s="137">
        <v>5.82</v>
      </c>
      <c r="K10" s="137">
        <v>5.82</v>
      </c>
      <c r="L10" s="137">
        <v>14.18</v>
      </c>
      <c r="M10" s="6">
        <v>5.67</v>
      </c>
      <c r="N10" s="10">
        <v>11.907</v>
      </c>
      <c r="O10" s="6"/>
    </row>
    <row r="11" spans="1:15" x14ac:dyDescent="0.3">
      <c r="A11" s="8" t="s">
        <v>116</v>
      </c>
      <c r="B11" s="9">
        <v>5.67</v>
      </c>
      <c r="C11" s="9">
        <v>3.57</v>
      </c>
      <c r="D11" s="9">
        <v>11.814100000000002</v>
      </c>
      <c r="E11" s="9">
        <v>7.93</v>
      </c>
      <c r="F11" s="10">
        <v>11.1</v>
      </c>
      <c r="G11" s="10">
        <v>7.85</v>
      </c>
      <c r="H11" s="10">
        <v>7.93</v>
      </c>
      <c r="I11" s="9">
        <v>8.0850000000000009</v>
      </c>
      <c r="J11" s="10">
        <v>6.35</v>
      </c>
      <c r="K11" s="10">
        <v>5.25</v>
      </c>
      <c r="L11" s="10">
        <v>13.4</v>
      </c>
      <c r="M11" s="6">
        <v>5.67</v>
      </c>
      <c r="N11" s="10">
        <v>11.907</v>
      </c>
      <c r="O11" s="6"/>
    </row>
    <row r="12" spans="1:15" x14ac:dyDescent="0.3">
      <c r="A12" s="8" t="s">
        <v>117</v>
      </c>
      <c r="B12" s="9">
        <v>5.67</v>
      </c>
      <c r="C12" s="9">
        <v>3.57</v>
      </c>
      <c r="D12" s="9">
        <v>11.814100000000002</v>
      </c>
      <c r="E12" s="9">
        <v>7.93</v>
      </c>
      <c r="F12" s="10">
        <v>11.1</v>
      </c>
      <c r="G12" s="10">
        <v>7.85</v>
      </c>
      <c r="H12" s="10">
        <v>7.93</v>
      </c>
      <c r="I12" s="9">
        <v>8.0850000000000009</v>
      </c>
      <c r="J12" s="10">
        <v>6.35</v>
      </c>
      <c r="K12" s="10">
        <v>5.25</v>
      </c>
      <c r="L12" s="10">
        <v>13.4</v>
      </c>
      <c r="M12" s="6">
        <v>5.67</v>
      </c>
      <c r="N12" s="10">
        <v>11.907</v>
      </c>
      <c r="O12" s="6"/>
    </row>
    <row r="13" spans="1:15" x14ac:dyDescent="0.3">
      <c r="A13" s="12" t="s">
        <v>118</v>
      </c>
      <c r="B13" s="9">
        <v>5.67</v>
      </c>
      <c r="C13" s="100">
        <v>3.78</v>
      </c>
      <c r="D13" s="9">
        <v>11.814100000000002</v>
      </c>
      <c r="E13" s="100">
        <v>8.4499999999999993</v>
      </c>
      <c r="F13" s="101">
        <v>11.8</v>
      </c>
      <c r="G13" s="101">
        <v>8.3000000000000007</v>
      </c>
      <c r="H13" s="101">
        <v>8.4</v>
      </c>
      <c r="I13" s="9">
        <v>8.0850000000000009</v>
      </c>
      <c r="J13" s="101">
        <v>6.15</v>
      </c>
      <c r="K13" s="101">
        <v>6.15</v>
      </c>
      <c r="L13" s="101">
        <v>14.99</v>
      </c>
      <c r="M13" s="101">
        <v>5.67</v>
      </c>
      <c r="N13" s="101">
        <v>12.936000000000002</v>
      </c>
      <c r="O13" s="6"/>
    </row>
    <row r="14" spans="1:15" x14ac:dyDescent="0.3">
      <c r="A14" s="8" t="s">
        <v>119</v>
      </c>
      <c r="B14" s="9">
        <v>5.67</v>
      </c>
      <c r="C14" s="9">
        <v>3.57</v>
      </c>
      <c r="D14" s="9">
        <v>11.814100000000002</v>
      </c>
      <c r="E14" s="9">
        <v>7.93</v>
      </c>
      <c r="F14" s="10">
        <v>11.1</v>
      </c>
      <c r="G14" s="10">
        <v>7.85</v>
      </c>
      <c r="H14" s="10">
        <v>7.93</v>
      </c>
      <c r="I14" s="9">
        <v>8.0850000000000009</v>
      </c>
      <c r="J14" s="10">
        <v>6.35</v>
      </c>
      <c r="K14" s="10">
        <v>5.25</v>
      </c>
      <c r="L14" s="10">
        <v>13.4</v>
      </c>
      <c r="M14" s="6">
        <v>5.67</v>
      </c>
      <c r="N14" s="10">
        <v>11.907</v>
      </c>
      <c r="O14" s="6"/>
    </row>
    <row r="15" spans="1:15" x14ac:dyDescent="0.3">
      <c r="A15" s="8" t="s">
        <v>120</v>
      </c>
      <c r="B15" s="9">
        <v>5.67</v>
      </c>
      <c r="C15" s="9">
        <v>3.57</v>
      </c>
      <c r="D15" s="9">
        <v>11.814100000000002</v>
      </c>
      <c r="E15" s="9">
        <v>7.93</v>
      </c>
      <c r="F15" s="10">
        <v>11.1</v>
      </c>
      <c r="G15" s="10">
        <v>7.85</v>
      </c>
      <c r="H15" s="10">
        <v>7.93</v>
      </c>
      <c r="I15" s="9">
        <v>8.0850000000000009</v>
      </c>
      <c r="J15" s="10">
        <v>6.35</v>
      </c>
      <c r="K15" s="10">
        <v>5.25</v>
      </c>
      <c r="L15" s="10">
        <v>13.4</v>
      </c>
      <c r="M15" s="6">
        <v>5.67</v>
      </c>
      <c r="N15" s="10">
        <v>11.907</v>
      </c>
      <c r="O15" s="6"/>
    </row>
    <row r="16" spans="1:15" x14ac:dyDescent="0.3">
      <c r="A16" s="8" t="s">
        <v>121</v>
      </c>
      <c r="B16" s="9">
        <v>5.67</v>
      </c>
      <c r="C16" s="9">
        <v>3.57</v>
      </c>
      <c r="D16" s="9">
        <v>11.814100000000002</v>
      </c>
      <c r="E16" s="9">
        <v>7.93</v>
      </c>
      <c r="F16" s="10">
        <v>11.1</v>
      </c>
      <c r="G16" s="10">
        <v>7.85</v>
      </c>
      <c r="H16" s="10">
        <v>7.93</v>
      </c>
      <c r="I16" s="9">
        <v>8.0850000000000009</v>
      </c>
      <c r="J16" s="10">
        <v>6.35</v>
      </c>
      <c r="K16" s="10">
        <v>5.25</v>
      </c>
      <c r="L16" s="10">
        <v>13.4</v>
      </c>
      <c r="M16" s="6">
        <v>5.67</v>
      </c>
      <c r="N16" s="10">
        <v>11.907</v>
      </c>
      <c r="O16" s="6"/>
    </row>
    <row r="17" spans="1:15" x14ac:dyDescent="0.3">
      <c r="A17" s="8" t="s">
        <v>122</v>
      </c>
      <c r="B17" s="9">
        <v>5.67</v>
      </c>
      <c r="C17" s="9">
        <v>3.57</v>
      </c>
      <c r="D17" s="9">
        <v>11.814100000000002</v>
      </c>
      <c r="E17" s="9">
        <v>7.93</v>
      </c>
      <c r="F17" s="10">
        <v>11.1</v>
      </c>
      <c r="G17" s="10">
        <v>7.85</v>
      </c>
      <c r="H17" s="10">
        <v>7.93</v>
      </c>
      <c r="I17" s="9">
        <v>8.0850000000000009</v>
      </c>
      <c r="J17" s="10">
        <v>6.35</v>
      </c>
      <c r="K17" s="10">
        <v>5.25</v>
      </c>
      <c r="L17" s="10">
        <v>13.4</v>
      </c>
      <c r="M17" s="6">
        <v>5.67</v>
      </c>
      <c r="N17" s="10">
        <v>11.907</v>
      </c>
      <c r="O17" s="6"/>
    </row>
    <row r="18" spans="1:15" x14ac:dyDescent="0.3">
      <c r="A18" s="8" t="s">
        <v>123</v>
      </c>
      <c r="B18" s="9">
        <v>5.67</v>
      </c>
      <c r="C18" s="9">
        <v>3.57</v>
      </c>
      <c r="D18" s="9">
        <v>11.814100000000002</v>
      </c>
      <c r="E18" s="9">
        <v>7.93</v>
      </c>
      <c r="F18" s="10">
        <v>11.1</v>
      </c>
      <c r="G18" s="10">
        <v>7.85</v>
      </c>
      <c r="H18" s="10">
        <v>7.93</v>
      </c>
      <c r="I18" s="9">
        <v>8.0850000000000009</v>
      </c>
      <c r="J18" s="10">
        <v>6.35</v>
      </c>
      <c r="K18" s="10">
        <v>5.25</v>
      </c>
      <c r="L18" s="10">
        <v>13.4</v>
      </c>
      <c r="M18" s="6">
        <v>5.67</v>
      </c>
      <c r="N18" s="10">
        <v>11.907</v>
      </c>
      <c r="O18" s="6"/>
    </row>
    <row r="19" spans="1:15" x14ac:dyDescent="0.3">
      <c r="A19" s="8" t="s">
        <v>124</v>
      </c>
      <c r="B19" s="9">
        <v>5.67</v>
      </c>
      <c r="C19" s="9">
        <v>3.57</v>
      </c>
      <c r="D19" s="9">
        <v>11.814100000000002</v>
      </c>
      <c r="E19" s="9">
        <v>7.93</v>
      </c>
      <c r="F19" s="10">
        <v>11.1</v>
      </c>
      <c r="G19" s="10">
        <v>7.85</v>
      </c>
      <c r="H19" s="10">
        <v>7.93</v>
      </c>
      <c r="I19" s="9">
        <v>8.0850000000000009</v>
      </c>
      <c r="J19" s="10">
        <v>6.35</v>
      </c>
      <c r="K19" s="10">
        <v>5.25</v>
      </c>
      <c r="L19" s="10">
        <v>13.4</v>
      </c>
      <c r="M19" s="6">
        <v>5.67</v>
      </c>
      <c r="N19" s="10">
        <v>11.907</v>
      </c>
      <c r="O19" s="6"/>
    </row>
    <row r="20" spans="1:15" x14ac:dyDescent="0.3">
      <c r="A20" s="13" t="s">
        <v>10</v>
      </c>
      <c r="B20" s="14">
        <v>6.24</v>
      </c>
      <c r="C20" s="100">
        <v>3.78</v>
      </c>
      <c r="D20" s="14">
        <v>12.9574</v>
      </c>
      <c r="E20" s="100">
        <v>8.4499999999999993</v>
      </c>
      <c r="F20" s="101">
        <v>11.8</v>
      </c>
      <c r="G20" s="101">
        <v>8.3000000000000007</v>
      </c>
      <c r="H20" s="101">
        <v>8.4</v>
      </c>
      <c r="I20" s="14">
        <v>8.8990000000000009</v>
      </c>
      <c r="J20" s="101">
        <v>6.15</v>
      </c>
      <c r="K20" s="101">
        <v>6.15</v>
      </c>
      <c r="L20" s="101">
        <v>14.99</v>
      </c>
      <c r="M20" s="101">
        <v>5.67</v>
      </c>
      <c r="N20" s="101">
        <v>12.936000000000002</v>
      </c>
      <c r="O20" s="6"/>
    </row>
    <row r="21" spans="1:15" x14ac:dyDescent="0.3">
      <c r="A21" s="12" t="s">
        <v>125</v>
      </c>
      <c r="B21" s="9">
        <v>5.67</v>
      </c>
      <c r="C21" s="100">
        <v>3.78</v>
      </c>
      <c r="D21" s="9">
        <v>11.814100000000002</v>
      </c>
      <c r="E21" s="100">
        <v>8.4499999999999993</v>
      </c>
      <c r="F21" s="101">
        <v>11.8</v>
      </c>
      <c r="G21" s="101">
        <v>8.3000000000000007</v>
      </c>
      <c r="H21" s="101">
        <v>8.4</v>
      </c>
      <c r="I21" s="9">
        <v>8.0850000000000009</v>
      </c>
      <c r="J21" s="101">
        <v>6.15</v>
      </c>
      <c r="K21" s="101">
        <v>6.15</v>
      </c>
      <c r="L21" s="101">
        <v>14.99</v>
      </c>
      <c r="M21" s="101">
        <v>5.67</v>
      </c>
      <c r="N21" s="101">
        <v>12.936000000000002</v>
      </c>
      <c r="O21" s="6"/>
    </row>
    <row r="22" spans="1:15" x14ac:dyDescent="0.3">
      <c r="A22" s="8" t="s">
        <v>126</v>
      </c>
      <c r="B22" s="9">
        <v>5.67</v>
      </c>
      <c r="C22" s="9">
        <v>3.57</v>
      </c>
      <c r="D22" s="9">
        <v>11.814100000000002</v>
      </c>
      <c r="E22" s="9">
        <v>7.93</v>
      </c>
      <c r="F22" s="10">
        <v>11.1</v>
      </c>
      <c r="G22" s="10">
        <v>7.85</v>
      </c>
      <c r="H22" s="10">
        <v>7.93</v>
      </c>
      <c r="I22" s="9">
        <v>8.0850000000000009</v>
      </c>
      <c r="J22" s="10">
        <v>6.35</v>
      </c>
      <c r="K22" s="10">
        <v>5.25</v>
      </c>
      <c r="L22" s="10">
        <v>13.4</v>
      </c>
      <c r="M22" s="6">
        <v>5.67</v>
      </c>
      <c r="N22" s="10">
        <v>11.907</v>
      </c>
      <c r="O22" s="6"/>
    </row>
    <row r="23" spans="1:15" x14ac:dyDescent="0.3">
      <c r="A23" s="8" t="s">
        <v>127</v>
      </c>
      <c r="B23" s="9">
        <v>5.67</v>
      </c>
      <c r="C23" s="9">
        <v>3.57</v>
      </c>
      <c r="D23" s="9">
        <v>11.814100000000002</v>
      </c>
      <c r="E23" s="9">
        <v>7.93</v>
      </c>
      <c r="F23" s="10">
        <v>11.1</v>
      </c>
      <c r="G23" s="10">
        <v>7.85</v>
      </c>
      <c r="H23" s="10">
        <v>7.93</v>
      </c>
      <c r="I23" s="9">
        <v>8.0850000000000009</v>
      </c>
      <c r="J23" s="10">
        <v>6.35</v>
      </c>
      <c r="K23" s="10">
        <v>5.25</v>
      </c>
      <c r="L23" s="10">
        <v>13.4</v>
      </c>
      <c r="M23" s="6">
        <v>5.67</v>
      </c>
      <c r="N23" s="10">
        <v>11.907</v>
      </c>
      <c r="O23" s="6"/>
    </row>
    <row r="24" spans="1:15" x14ac:dyDescent="0.3">
      <c r="A24" s="8" t="s">
        <v>128</v>
      </c>
      <c r="B24" s="9">
        <v>5.67</v>
      </c>
      <c r="C24" s="9">
        <v>3.57</v>
      </c>
      <c r="D24" s="9">
        <v>11.814100000000002</v>
      </c>
      <c r="E24" s="9">
        <v>7.93</v>
      </c>
      <c r="F24" s="10">
        <v>11.1</v>
      </c>
      <c r="G24" s="10">
        <v>7.85</v>
      </c>
      <c r="H24" s="10">
        <v>7.93</v>
      </c>
      <c r="I24" s="9">
        <v>8.0850000000000009</v>
      </c>
      <c r="J24" s="10">
        <v>6.35</v>
      </c>
      <c r="K24" s="10">
        <v>5.25</v>
      </c>
      <c r="L24" s="10">
        <v>13.4</v>
      </c>
      <c r="M24" s="6">
        <v>5.67</v>
      </c>
      <c r="N24" s="10">
        <v>11.907</v>
      </c>
      <c r="O24" s="6"/>
    </row>
    <row r="25" spans="1:15" x14ac:dyDescent="0.3">
      <c r="A25" s="12" t="s">
        <v>129</v>
      </c>
      <c r="B25" s="9">
        <v>5.67</v>
      </c>
      <c r="C25" s="100">
        <v>3.78</v>
      </c>
      <c r="D25" s="9">
        <v>11.814100000000002</v>
      </c>
      <c r="E25" s="100">
        <v>8.4499999999999993</v>
      </c>
      <c r="F25" s="101">
        <v>11.8</v>
      </c>
      <c r="G25" s="101">
        <v>8.3000000000000007</v>
      </c>
      <c r="H25" s="101">
        <v>8.4</v>
      </c>
      <c r="I25" s="9">
        <v>8.0850000000000009</v>
      </c>
      <c r="J25" s="101">
        <v>6.15</v>
      </c>
      <c r="K25" s="101">
        <v>6.15</v>
      </c>
      <c r="L25" s="101">
        <v>14.99</v>
      </c>
      <c r="M25" s="101">
        <v>5.67</v>
      </c>
      <c r="N25" s="101">
        <v>12.936000000000002</v>
      </c>
      <c r="O25" s="6"/>
    </row>
    <row r="26" spans="1:15" x14ac:dyDescent="0.3">
      <c r="A26" s="12" t="s">
        <v>130</v>
      </c>
      <c r="B26" s="9">
        <v>5.67</v>
      </c>
      <c r="C26" s="100">
        <v>3.78</v>
      </c>
      <c r="D26" s="9">
        <v>11.814100000000002</v>
      </c>
      <c r="E26" s="100">
        <v>8.4499999999999993</v>
      </c>
      <c r="F26" s="101">
        <v>11.8</v>
      </c>
      <c r="G26" s="101">
        <v>8.3000000000000007</v>
      </c>
      <c r="H26" s="101">
        <v>8.4</v>
      </c>
      <c r="I26" s="9">
        <v>8.0850000000000009</v>
      </c>
      <c r="J26" s="101">
        <v>6.15</v>
      </c>
      <c r="K26" s="101">
        <v>6.15</v>
      </c>
      <c r="L26" s="101">
        <v>14.99</v>
      </c>
      <c r="M26" s="101">
        <v>5.67</v>
      </c>
      <c r="N26" s="101">
        <v>12.936000000000002</v>
      </c>
      <c r="O26" s="6"/>
    </row>
    <row r="27" spans="1:15" x14ac:dyDescent="0.3">
      <c r="A27" s="8" t="s">
        <v>131</v>
      </c>
      <c r="B27" s="9">
        <v>5.67</v>
      </c>
      <c r="C27" s="9">
        <v>3.57</v>
      </c>
      <c r="D27" s="9">
        <v>11.814100000000002</v>
      </c>
      <c r="E27" s="9">
        <v>7.93</v>
      </c>
      <c r="F27" s="10">
        <v>11.1</v>
      </c>
      <c r="G27" s="10">
        <v>7.85</v>
      </c>
      <c r="H27" s="10">
        <v>7.93</v>
      </c>
      <c r="I27" s="9">
        <v>8.0850000000000009</v>
      </c>
      <c r="J27" s="10">
        <v>6.35</v>
      </c>
      <c r="K27" s="10">
        <v>5.25</v>
      </c>
      <c r="L27" s="10">
        <v>13.4</v>
      </c>
      <c r="M27" s="6">
        <v>5.67</v>
      </c>
      <c r="N27" s="10">
        <v>11.907</v>
      </c>
      <c r="O27" s="6"/>
    </row>
    <row r="28" spans="1:15" x14ac:dyDescent="0.3">
      <c r="A28" s="12" t="s">
        <v>132</v>
      </c>
      <c r="B28" s="9">
        <v>5.67</v>
      </c>
      <c r="C28" s="100">
        <v>3.78</v>
      </c>
      <c r="D28" s="9">
        <v>11.814100000000002</v>
      </c>
      <c r="E28" s="100">
        <v>8.4499999999999993</v>
      </c>
      <c r="F28" s="101">
        <v>11.8</v>
      </c>
      <c r="G28" s="101">
        <v>8.3000000000000007</v>
      </c>
      <c r="H28" s="101">
        <v>8.4</v>
      </c>
      <c r="I28" s="9">
        <v>8.0850000000000009</v>
      </c>
      <c r="J28" s="101">
        <v>6.15</v>
      </c>
      <c r="K28" s="101">
        <v>6.15</v>
      </c>
      <c r="L28" s="101">
        <v>14.99</v>
      </c>
      <c r="M28" s="101">
        <v>5.67</v>
      </c>
      <c r="N28" s="101">
        <v>12.936000000000002</v>
      </c>
      <c r="O28" s="6"/>
    </row>
    <row r="29" spans="1:15" x14ac:dyDescent="0.3">
      <c r="A29" s="116" t="s">
        <v>133</v>
      </c>
      <c r="B29" s="117">
        <v>5.67</v>
      </c>
      <c r="C29" s="118">
        <v>3.78</v>
      </c>
      <c r="D29" s="117">
        <v>11.814100000000002</v>
      </c>
      <c r="E29" s="118">
        <v>8.4499999999999993</v>
      </c>
      <c r="F29" s="119">
        <v>11.8</v>
      </c>
      <c r="G29" s="119">
        <v>8.3000000000000007</v>
      </c>
      <c r="H29" s="119">
        <v>8.4</v>
      </c>
      <c r="I29" s="117">
        <v>8.0850000000000009</v>
      </c>
      <c r="J29" s="119">
        <v>6.15</v>
      </c>
      <c r="K29" s="119">
        <v>6.15</v>
      </c>
      <c r="L29" s="119">
        <v>14.99</v>
      </c>
      <c r="M29" s="119">
        <v>5.67</v>
      </c>
      <c r="N29" s="101">
        <v>12.936000000000002</v>
      </c>
      <c r="O29" s="6"/>
    </row>
    <row r="30" spans="1:15" x14ac:dyDescent="0.3">
      <c r="A30" s="8" t="s">
        <v>134</v>
      </c>
      <c r="B30" s="9">
        <v>5.67</v>
      </c>
      <c r="C30" s="9">
        <v>3.57</v>
      </c>
      <c r="D30" s="9">
        <v>11.814100000000002</v>
      </c>
      <c r="E30" s="9">
        <v>7.93</v>
      </c>
      <c r="F30" s="10">
        <v>11.1</v>
      </c>
      <c r="G30" s="10">
        <v>7.85</v>
      </c>
      <c r="H30" s="10">
        <v>7.93</v>
      </c>
      <c r="I30" s="9">
        <v>8.0850000000000009</v>
      </c>
      <c r="J30" s="10">
        <v>6.35</v>
      </c>
      <c r="K30" s="10">
        <v>5.25</v>
      </c>
      <c r="L30" s="10">
        <v>13.4</v>
      </c>
      <c r="M30" s="6">
        <v>5.67</v>
      </c>
      <c r="N30" s="10">
        <v>11.907</v>
      </c>
      <c r="O30" s="6"/>
    </row>
    <row r="31" spans="1:15" x14ac:dyDescent="0.3">
      <c r="A31" s="102"/>
      <c r="B31" s="145"/>
      <c r="C31" s="145"/>
      <c r="D31" s="145"/>
      <c r="E31" s="145"/>
      <c r="F31" s="145"/>
      <c r="G31" s="145"/>
      <c r="H31" s="145"/>
      <c r="I31" s="145"/>
      <c r="J31" s="146"/>
      <c r="K31" s="146"/>
      <c r="L31" s="146"/>
      <c r="M31" s="146"/>
    </row>
    <row r="33" spans="1:15" x14ac:dyDescent="0.3">
      <c r="A33" s="104" t="s">
        <v>21</v>
      </c>
      <c r="B33" s="105">
        <v>9.49</v>
      </c>
      <c r="C33" s="106">
        <v>5.99</v>
      </c>
      <c r="D33" s="106">
        <v>19.489999999999998</v>
      </c>
      <c r="E33" s="106">
        <v>12.99</v>
      </c>
      <c r="F33" s="106">
        <v>18.989999999999998</v>
      </c>
      <c r="G33" s="106">
        <v>14.39</v>
      </c>
      <c r="H33" s="106">
        <v>13.49</v>
      </c>
      <c r="I33" s="106">
        <v>12.49</v>
      </c>
      <c r="J33" s="106">
        <v>10.99</v>
      </c>
      <c r="K33" s="106">
        <v>10.99</v>
      </c>
      <c r="L33" s="106">
        <v>25.49</v>
      </c>
      <c r="M33" s="106">
        <v>9.49</v>
      </c>
      <c r="N33" s="6"/>
      <c r="O33" s="6"/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O34"/>
  <sheetViews>
    <sheetView zoomScaleNormal="100" workbookViewId="0">
      <selection activeCell="C19" sqref="C19"/>
    </sheetView>
  </sheetViews>
  <sheetFormatPr defaultRowHeight="14.4" x14ac:dyDescent="0.3"/>
  <cols>
    <col min="1" max="3" width="13.33203125" bestFit="1" customWidth="1"/>
    <col min="4" max="4" width="14.33203125" bestFit="1" customWidth="1"/>
    <col min="5" max="6" width="13.33203125" bestFit="1" customWidth="1"/>
    <col min="7" max="7" width="14.332031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33203125" customWidth="1"/>
    <col min="13" max="15" width="13.33203125" bestFit="1" customWidth="1"/>
  </cols>
  <sheetData>
    <row r="1" spans="1:15" x14ac:dyDescent="0.3">
      <c r="A1" s="138" t="s">
        <v>152</v>
      </c>
      <c r="B1" s="138" t="s">
        <v>152</v>
      </c>
      <c r="C1" s="138" t="s">
        <v>152</v>
      </c>
      <c r="D1" s="138" t="s">
        <v>152</v>
      </c>
      <c r="E1" s="138" t="s">
        <v>152</v>
      </c>
      <c r="F1" s="138" t="s">
        <v>152</v>
      </c>
      <c r="G1" s="138" t="s">
        <v>152</v>
      </c>
      <c r="H1" s="138" t="s">
        <v>152</v>
      </c>
      <c r="I1" s="138" t="s">
        <v>152</v>
      </c>
      <c r="J1" s="138" t="s">
        <v>152</v>
      </c>
      <c r="K1" s="138" t="s">
        <v>152</v>
      </c>
      <c r="L1" s="138" t="s">
        <v>152</v>
      </c>
      <c r="M1" s="138" t="s">
        <v>152</v>
      </c>
      <c r="N1" s="138" t="s">
        <v>152</v>
      </c>
      <c r="O1" s="138" t="s">
        <v>152</v>
      </c>
    </row>
    <row r="2" spans="1:15" ht="31.2" x14ac:dyDescent="0.3">
      <c r="A2" s="98" t="s">
        <v>98</v>
      </c>
      <c r="B2" s="139" t="s">
        <v>138</v>
      </c>
      <c r="C2" s="98" t="s">
        <v>139</v>
      </c>
      <c r="D2" s="139" t="s">
        <v>140</v>
      </c>
      <c r="E2" s="98" t="s">
        <v>141</v>
      </c>
      <c r="F2" s="98" t="s">
        <v>142</v>
      </c>
      <c r="G2" s="1" t="s">
        <v>143</v>
      </c>
      <c r="H2" s="1" t="s">
        <v>144</v>
      </c>
      <c r="I2" s="99" t="s">
        <v>145</v>
      </c>
      <c r="J2" s="134" t="s">
        <v>146</v>
      </c>
      <c r="K2" s="135" t="s">
        <v>147</v>
      </c>
      <c r="L2" s="135" t="s">
        <v>148</v>
      </c>
      <c r="M2" s="1" t="s">
        <v>149</v>
      </c>
      <c r="N2" s="1" t="s">
        <v>150</v>
      </c>
      <c r="O2" s="1" t="s">
        <v>151</v>
      </c>
    </row>
    <row r="3" spans="1:15" x14ac:dyDescent="0.3">
      <c r="A3" s="8" t="s">
        <v>108</v>
      </c>
      <c r="B3" s="9">
        <v>9.49</v>
      </c>
      <c r="C3" s="140">
        <v>5.79</v>
      </c>
      <c r="D3" s="9">
        <v>19.989999999999998</v>
      </c>
      <c r="E3" s="140">
        <v>13.69</v>
      </c>
      <c r="F3" s="140">
        <v>17.989999999999998</v>
      </c>
      <c r="G3" s="140">
        <v>13.89</v>
      </c>
      <c r="H3" s="140">
        <v>13.49</v>
      </c>
      <c r="I3" s="9">
        <v>13.49</v>
      </c>
      <c r="J3" s="9">
        <v>8.99</v>
      </c>
      <c r="K3" s="141">
        <v>7.99</v>
      </c>
      <c r="L3" s="141">
        <v>19.989999999999998</v>
      </c>
      <c r="M3" s="10">
        <v>9.49</v>
      </c>
      <c r="N3" s="10">
        <v>18.989999999999998</v>
      </c>
      <c r="O3" s="10"/>
    </row>
    <row r="4" spans="1:15" x14ac:dyDescent="0.3">
      <c r="A4" s="8" t="s">
        <v>109</v>
      </c>
      <c r="B4" s="9">
        <v>9.49</v>
      </c>
      <c r="C4" s="140">
        <v>5.79</v>
      </c>
      <c r="D4" s="9">
        <v>19.989999999999998</v>
      </c>
      <c r="E4" s="140">
        <v>13.69</v>
      </c>
      <c r="F4" s="140">
        <v>17.989999999999998</v>
      </c>
      <c r="G4" s="140">
        <v>13.89</v>
      </c>
      <c r="H4" s="140">
        <v>13.49</v>
      </c>
      <c r="I4" s="9">
        <v>13.49</v>
      </c>
      <c r="J4" s="9">
        <v>8.99</v>
      </c>
      <c r="K4" s="141">
        <v>7.99</v>
      </c>
      <c r="L4" s="141">
        <v>19.989999999999998</v>
      </c>
      <c r="M4" s="10">
        <v>9.49</v>
      </c>
      <c r="N4" s="10">
        <v>18.989999999999998</v>
      </c>
      <c r="O4" s="10"/>
    </row>
    <row r="5" spans="1:15" x14ac:dyDescent="0.3">
      <c r="A5" s="8" t="s">
        <v>110</v>
      </c>
      <c r="B5" s="9">
        <v>9.49</v>
      </c>
      <c r="C5" s="140">
        <v>5.79</v>
      </c>
      <c r="D5" s="9">
        <v>19.989999999999998</v>
      </c>
      <c r="E5" s="140">
        <v>13.69</v>
      </c>
      <c r="F5" s="140">
        <v>17.989999999999998</v>
      </c>
      <c r="G5" s="140">
        <v>13.89</v>
      </c>
      <c r="H5" s="140">
        <v>13.49</v>
      </c>
      <c r="I5" s="9">
        <v>13.49</v>
      </c>
      <c r="J5" s="9">
        <v>8.99</v>
      </c>
      <c r="K5" s="141">
        <v>7.99</v>
      </c>
      <c r="L5" s="141">
        <v>19.989999999999998</v>
      </c>
      <c r="M5" s="10">
        <v>9.49</v>
      </c>
      <c r="N5" s="10">
        <v>18.989999999999998</v>
      </c>
      <c r="O5" s="10"/>
    </row>
    <row r="6" spans="1:15" x14ac:dyDescent="0.3">
      <c r="A6" s="8" t="s">
        <v>111</v>
      </c>
      <c r="B6" s="9">
        <v>9.49</v>
      </c>
      <c r="C6" s="140">
        <v>5.79</v>
      </c>
      <c r="D6" s="9">
        <v>19.989999999999998</v>
      </c>
      <c r="E6" s="140">
        <v>13.69</v>
      </c>
      <c r="F6" s="140">
        <v>17.989999999999998</v>
      </c>
      <c r="G6" s="140">
        <v>13.89</v>
      </c>
      <c r="H6" s="140">
        <v>13.49</v>
      </c>
      <c r="I6" s="9">
        <v>13.49</v>
      </c>
      <c r="J6" s="9">
        <v>8.99</v>
      </c>
      <c r="K6" s="141">
        <v>7.99</v>
      </c>
      <c r="L6" s="141">
        <v>19.989999999999998</v>
      </c>
      <c r="M6" s="10">
        <v>9.49</v>
      </c>
      <c r="N6" s="10">
        <v>18.989999999999998</v>
      </c>
      <c r="O6" s="10"/>
    </row>
    <row r="7" spans="1:15" x14ac:dyDescent="0.3">
      <c r="A7" s="8" t="s">
        <v>112</v>
      </c>
      <c r="B7" s="9">
        <v>9.49</v>
      </c>
      <c r="C7" s="140">
        <v>5.79</v>
      </c>
      <c r="D7" s="9">
        <v>19.989999999999998</v>
      </c>
      <c r="E7" s="140">
        <v>13.69</v>
      </c>
      <c r="F7" s="140">
        <v>17.989999999999998</v>
      </c>
      <c r="G7" s="140">
        <v>13.89</v>
      </c>
      <c r="H7" s="140">
        <v>13.49</v>
      </c>
      <c r="I7" s="9">
        <v>13.49</v>
      </c>
      <c r="J7" s="9">
        <v>8.99</v>
      </c>
      <c r="K7" s="141">
        <v>7.99</v>
      </c>
      <c r="L7" s="141">
        <v>19.989999999999998</v>
      </c>
      <c r="M7" s="10">
        <v>9.49</v>
      </c>
      <c r="N7" s="10">
        <v>18.989999999999998</v>
      </c>
      <c r="O7" s="10"/>
    </row>
    <row r="8" spans="1:15" x14ac:dyDescent="0.3">
      <c r="A8" s="8" t="s">
        <v>113</v>
      </c>
      <c r="B8" s="9">
        <v>9.49</v>
      </c>
      <c r="C8" s="140">
        <v>5.79</v>
      </c>
      <c r="D8" s="9">
        <v>19.989999999999998</v>
      </c>
      <c r="E8" s="140">
        <v>13.69</v>
      </c>
      <c r="F8" s="140">
        <v>17.989999999999998</v>
      </c>
      <c r="G8" s="140">
        <v>13.89</v>
      </c>
      <c r="H8" s="140">
        <v>13.49</v>
      </c>
      <c r="I8" s="9">
        <v>13.49</v>
      </c>
      <c r="J8" s="9">
        <v>8.99</v>
      </c>
      <c r="K8" s="141">
        <v>7.99</v>
      </c>
      <c r="L8" s="141">
        <v>19.989999999999998</v>
      </c>
      <c r="M8" s="10">
        <v>9.49</v>
      </c>
      <c r="N8" s="10">
        <v>18.989999999999998</v>
      </c>
      <c r="O8" s="10"/>
    </row>
    <row r="9" spans="1:15" x14ac:dyDescent="0.3">
      <c r="A9" s="8" t="s">
        <v>114</v>
      </c>
      <c r="B9" s="9">
        <v>9.49</v>
      </c>
      <c r="C9" s="140">
        <v>5.79</v>
      </c>
      <c r="D9" s="9">
        <v>19.989999999999998</v>
      </c>
      <c r="E9" s="140">
        <v>13.69</v>
      </c>
      <c r="F9" s="140">
        <v>17.989999999999998</v>
      </c>
      <c r="G9" s="140">
        <v>13.89</v>
      </c>
      <c r="H9" s="140">
        <v>13.49</v>
      </c>
      <c r="I9" s="9">
        <v>13.49</v>
      </c>
      <c r="J9" s="9">
        <v>8.99</v>
      </c>
      <c r="K9" s="141">
        <v>7.99</v>
      </c>
      <c r="L9" s="141">
        <v>19.989999999999998</v>
      </c>
      <c r="M9" s="10">
        <v>9.49</v>
      </c>
      <c r="N9" s="10">
        <v>18.989999999999998</v>
      </c>
      <c r="O9" s="10"/>
    </row>
    <row r="10" spans="1:15" ht="18" x14ac:dyDescent="0.35">
      <c r="A10" s="11" t="s">
        <v>115</v>
      </c>
      <c r="B10" s="9">
        <v>9.49</v>
      </c>
      <c r="C10" s="140">
        <v>5.79</v>
      </c>
      <c r="D10" s="9">
        <v>19.989999999999998</v>
      </c>
      <c r="E10" s="140">
        <v>13.69</v>
      </c>
      <c r="F10" s="140">
        <v>17.989999999999998</v>
      </c>
      <c r="G10" s="140">
        <v>13.89</v>
      </c>
      <c r="H10" s="140">
        <v>13.49</v>
      </c>
      <c r="I10" s="9">
        <v>13.49</v>
      </c>
      <c r="J10" s="144">
        <v>9.99</v>
      </c>
      <c r="K10" s="144">
        <v>9.99</v>
      </c>
      <c r="L10" s="144">
        <v>24.99</v>
      </c>
      <c r="M10" s="10">
        <v>9.49</v>
      </c>
      <c r="N10" s="10">
        <v>18.989999999999998</v>
      </c>
      <c r="O10" s="10"/>
    </row>
    <row r="11" spans="1:15" x14ac:dyDescent="0.3">
      <c r="A11" s="8" t="s">
        <v>116</v>
      </c>
      <c r="B11" s="9">
        <v>9.49</v>
      </c>
      <c r="C11" s="140">
        <v>5.79</v>
      </c>
      <c r="D11" s="9">
        <v>19.989999999999998</v>
      </c>
      <c r="E11" s="140">
        <v>13.69</v>
      </c>
      <c r="F11" s="140">
        <v>17.989999999999998</v>
      </c>
      <c r="G11" s="140">
        <v>13.89</v>
      </c>
      <c r="H11" s="140">
        <v>13.49</v>
      </c>
      <c r="I11" s="9">
        <v>13.49</v>
      </c>
      <c r="J11" s="9">
        <v>8.99</v>
      </c>
      <c r="K11" s="141">
        <v>7.99</v>
      </c>
      <c r="L11" s="141">
        <v>19.989999999999998</v>
      </c>
      <c r="M11" s="10">
        <v>9.49</v>
      </c>
      <c r="N11" s="10">
        <v>18.989999999999998</v>
      </c>
      <c r="O11" s="10"/>
    </row>
    <row r="12" spans="1:15" x14ac:dyDescent="0.3">
      <c r="A12" s="8" t="s">
        <v>117</v>
      </c>
      <c r="B12" s="9">
        <v>9.49</v>
      </c>
      <c r="C12" s="140">
        <v>5.79</v>
      </c>
      <c r="D12" s="9">
        <v>19.989999999999998</v>
      </c>
      <c r="E12" s="140">
        <v>13.69</v>
      </c>
      <c r="F12" s="140">
        <v>17.989999999999998</v>
      </c>
      <c r="G12" s="140">
        <v>13.89</v>
      </c>
      <c r="H12" s="140">
        <v>13.49</v>
      </c>
      <c r="I12" s="9">
        <v>13.49</v>
      </c>
      <c r="J12" s="9">
        <v>8.99</v>
      </c>
      <c r="K12" s="141">
        <v>7.99</v>
      </c>
      <c r="L12" s="141">
        <v>19.989999999999998</v>
      </c>
      <c r="M12" s="10">
        <v>9.49</v>
      </c>
      <c r="N12" s="10">
        <v>18.989999999999998</v>
      </c>
      <c r="O12" s="10"/>
    </row>
    <row r="13" spans="1:15" x14ac:dyDescent="0.3">
      <c r="A13" s="12" t="s">
        <v>118</v>
      </c>
      <c r="B13" s="9">
        <v>9.49</v>
      </c>
      <c r="C13" s="100">
        <v>5.79</v>
      </c>
      <c r="D13" s="9">
        <v>19.989999999999998</v>
      </c>
      <c r="E13" s="100">
        <v>13.69</v>
      </c>
      <c r="F13" s="100">
        <v>17.989999999999998</v>
      </c>
      <c r="G13" s="100">
        <v>13.89</v>
      </c>
      <c r="H13" s="100">
        <v>13.49</v>
      </c>
      <c r="I13" s="9">
        <v>13.49</v>
      </c>
      <c r="J13" s="101">
        <v>9.99</v>
      </c>
      <c r="K13" s="101">
        <v>9.99</v>
      </c>
      <c r="L13" s="101">
        <v>24.99</v>
      </c>
      <c r="M13" s="101">
        <v>9.49</v>
      </c>
      <c r="N13" s="10">
        <v>18.989999999999998</v>
      </c>
      <c r="O13" s="101"/>
    </row>
    <row r="14" spans="1:15" x14ac:dyDescent="0.3">
      <c r="A14" s="8" t="s">
        <v>119</v>
      </c>
      <c r="B14" s="9">
        <v>9.49</v>
      </c>
      <c r="C14" s="140">
        <v>5.79</v>
      </c>
      <c r="D14" s="9">
        <v>19.989999999999998</v>
      </c>
      <c r="E14" s="140">
        <v>13.69</v>
      </c>
      <c r="F14" s="140">
        <v>17.989999999999998</v>
      </c>
      <c r="G14" s="140">
        <v>13.89</v>
      </c>
      <c r="H14" s="140">
        <v>13.49</v>
      </c>
      <c r="I14" s="9">
        <v>13.49</v>
      </c>
      <c r="J14" s="9">
        <v>8.99</v>
      </c>
      <c r="K14" s="141">
        <v>7.99</v>
      </c>
      <c r="L14" s="141">
        <v>19.989999999999998</v>
      </c>
      <c r="M14" s="10">
        <v>9.49</v>
      </c>
      <c r="N14" s="10">
        <v>18.989999999999998</v>
      </c>
      <c r="O14" s="10"/>
    </row>
    <row r="15" spans="1:15" x14ac:dyDescent="0.3">
      <c r="A15" s="8" t="s">
        <v>120</v>
      </c>
      <c r="B15" s="9">
        <v>9.49</v>
      </c>
      <c r="C15" s="140">
        <v>5.79</v>
      </c>
      <c r="D15" s="9">
        <v>19.989999999999998</v>
      </c>
      <c r="E15" s="140">
        <v>13.69</v>
      </c>
      <c r="F15" s="140">
        <v>17.989999999999998</v>
      </c>
      <c r="G15" s="140">
        <v>13.89</v>
      </c>
      <c r="H15" s="140">
        <v>13.49</v>
      </c>
      <c r="I15" s="9">
        <v>13.49</v>
      </c>
      <c r="J15" s="9">
        <v>8.99</v>
      </c>
      <c r="K15" s="141">
        <v>7.99</v>
      </c>
      <c r="L15" s="141">
        <v>19.989999999999998</v>
      </c>
      <c r="M15" s="10">
        <v>9.49</v>
      </c>
      <c r="N15" s="10">
        <v>18.989999999999998</v>
      </c>
      <c r="O15" s="10"/>
    </row>
    <row r="16" spans="1:15" x14ac:dyDescent="0.3">
      <c r="A16" s="8" t="s">
        <v>121</v>
      </c>
      <c r="B16" s="9">
        <v>9.49</v>
      </c>
      <c r="C16" s="140">
        <v>5.79</v>
      </c>
      <c r="D16" s="9">
        <v>19.989999999999998</v>
      </c>
      <c r="E16" s="140">
        <v>13.69</v>
      </c>
      <c r="F16" s="140">
        <v>17.989999999999998</v>
      </c>
      <c r="G16" s="140">
        <v>13.89</v>
      </c>
      <c r="H16" s="140">
        <v>13.49</v>
      </c>
      <c r="I16" s="9">
        <v>13.49</v>
      </c>
      <c r="J16" s="9">
        <v>8.99</v>
      </c>
      <c r="K16" s="141">
        <v>7.99</v>
      </c>
      <c r="L16" s="141">
        <v>19.989999999999998</v>
      </c>
      <c r="M16" s="10">
        <v>9.49</v>
      </c>
      <c r="N16" s="10">
        <v>18.989999999999998</v>
      </c>
      <c r="O16" s="10"/>
    </row>
    <row r="17" spans="1:15" x14ac:dyDescent="0.3">
      <c r="A17" s="8" t="s">
        <v>122</v>
      </c>
      <c r="B17" s="9">
        <v>9.49</v>
      </c>
      <c r="C17" s="140">
        <v>5.79</v>
      </c>
      <c r="D17" s="9">
        <v>19.989999999999998</v>
      </c>
      <c r="E17" s="140">
        <v>13.69</v>
      </c>
      <c r="F17" s="140">
        <v>17.989999999999998</v>
      </c>
      <c r="G17" s="140">
        <v>13.89</v>
      </c>
      <c r="H17" s="140">
        <v>13.49</v>
      </c>
      <c r="I17" s="9">
        <v>13.49</v>
      </c>
      <c r="J17" s="9">
        <v>8.99</v>
      </c>
      <c r="K17" s="141">
        <v>7.99</v>
      </c>
      <c r="L17" s="141">
        <v>19.989999999999998</v>
      </c>
      <c r="M17" s="10">
        <v>9.49</v>
      </c>
      <c r="N17" s="10">
        <v>18.989999999999998</v>
      </c>
      <c r="O17" s="10"/>
    </row>
    <row r="18" spans="1:15" x14ac:dyDescent="0.3">
      <c r="A18" s="8" t="s">
        <v>123</v>
      </c>
      <c r="B18" s="9">
        <v>9.49</v>
      </c>
      <c r="C18" s="140">
        <v>5.79</v>
      </c>
      <c r="D18" s="9">
        <v>19.989999999999998</v>
      </c>
      <c r="E18" s="140">
        <v>13.69</v>
      </c>
      <c r="F18" s="140">
        <v>17.989999999999998</v>
      </c>
      <c r="G18" s="140">
        <v>13.89</v>
      </c>
      <c r="H18" s="140">
        <v>13.49</v>
      </c>
      <c r="I18" s="9">
        <v>13.49</v>
      </c>
      <c r="J18" s="9">
        <v>8.99</v>
      </c>
      <c r="K18" s="141">
        <v>7.99</v>
      </c>
      <c r="L18" s="141">
        <v>19.989999999999998</v>
      </c>
      <c r="M18" s="10">
        <v>9.49</v>
      </c>
      <c r="N18" s="10">
        <v>18.989999999999998</v>
      </c>
      <c r="O18" s="10"/>
    </row>
    <row r="19" spans="1:15" x14ac:dyDescent="0.3">
      <c r="A19" s="8" t="s">
        <v>124</v>
      </c>
      <c r="B19" s="9">
        <v>9.49</v>
      </c>
      <c r="C19" s="140">
        <v>5.79</v>
      </c>
      <c r="D19" s="9">
        <v>19.989999999999998</v>
      </c>
      <c r="E19" s="140">
        <v>13.69</v>
      </c>
      <c r="F19" s="140">
        <v>17.989999999999998</v>
      </c>
      <c r="G19" s="140">
        <v>13.89</v>
      </c>
      <c r="H19" s="140">
        <v>13.49</v>
      </c>
      <c r="I19" s="9">
        <v>13.49</v>
      </c>
      <c r="J19" s="9">
        <v>8.99</v>
      </c>
      <c r="K19" s="141">
        <v>7.99</v>
      </c>
      <c r="L19" s="141">
        <v>19.989999999999998</v>
      </c>
      <c r="M19" s="10">
        <v>9.49</v>
      </c>
      <c r="N19" s="10">
        <v>18.989999999999998</v>
      </c>
      <c r="O19" s="10"/>
    </row>
    <row r="20" spans="1:15" x14ac:dyDescent="0.3">
      <c r="A20" s="13" t="s">
        <v>10</v>
      </c>
      <c r="B20" s="14">
        <v>9.49</v>
      </c>
      <c r="C20" s="100">
        <v>5.79</v>
      </c>
      <c r="D20" s="14">
        <v>19.989999999999998</v>
      </c>
      <c r="E20" s="100">
        <v>13.69</v>
      </c>
      <c r="F20" s="100">
        <v>17.989999999999998</v>
      </c>
      <c r="G20" s="100">
        <v>13.89</v>
      </c>
      <c r="H20" s="100">
        <v>13.49</v>
      </c>
      <c r="I20" s="9">
        <v>13.49</v>
      </c>
      <c r="J20" s="101">
        <v>9.99</v>
      </c>
      <c r="K20" s="101">
        <v>9.99</v>
      </c>
      <c r="L20" s="101">
        <v>24.99</v>
      </c>
      <c r="M20" s="101">
        <v>9.49</v>
      </c>
      <c r="N20" s="10">
        <v>18.989999999999998</v>
      </c>
      <c r="O20" s="101"/>
    </row>
    <row r="21" spans="1:15" x14ac:dyDescent="0.3">
      <c r="A21" s="12" t="s">
        <v>125</v>
      </c>
      <c r="B21" s="9">
        <v>9.49</v>
      </c>
      <c r="C21" s="100">
        <v>5.79</v>
      </c>
      <c r="D21" s="9">
        <v>19.989999999999998</v>
      </c>
      <c r="E21" s="100">
        <v>13.69</v>
      </c>
      <c r="F21" s="100">
        <v>17.989999999999998</v>
      </c>
      <c r="G21" s="100">
        <v>13.89</v>
      </c>
      <c r="H21" s="100">
        <v>13.49</v>
      </c>
      <c r="I21" s="9">
        <v>13.49</v>
      </c>
      <c r="J21" s="101">
        <v>9.99</v>
      </c>
      <c r="K21" s="101">
        <v>9.99</v>
      </c>
      <c r="L21" s="101">
        <v>24.99</v>
      </c>
      <c r="M21" s="101">
        <v>9.49</v>
      </c>
      <c r="N21" s="10">
        <v>18.989999999999998</v>
      </c>
      <c r="O21" s="101"/>
    </row>
    <row r="22" spans="1:15" x14ac:dyDescent="0.3">
      <c r="A22" s="8" t="s">
        <v>126</v>
      </c>
      <c r="B22" s="9">
        <v>9.49</v>
      </c>
      <c r="C22" s="140">
        <v>5.79</v>
      </c>
      <c r="D22" s="9">
        <v>19.989999999999998</v>
      </c>
      <c r="E22" s="140">
        <v>13.69</v>
      </c>
      <c r="F22" s="140">
        <v>17.989999999999998</v>
      </c>
      <c r="G22" s="140">
        <v>13.89</v>
      </c>
      <c r="H22" s="140">
        <v>13.49</v>
      </c>
      <c r="I22" s="9">
        <v>13.49</v>
      </c>
      <c r="J22" s="9">
        <v>8.99</v>
      </c>
      <c r="K22" s="141">
        <v>7.99</v>
      </c>
      <c r="L22" s="141">
        <v>19.989999999999998</v>
      </c>
      <c r="M22" s="10">
        <v>9.49</v>
      </c>
      <c r="N22" s="10">
        <v>18.989999999999998</v>
      </c>
      <c r="O22" s="10"/>
    </row>
    <row r="23" spans="1:15" x14ac:dyDescent="0.3">
      <c r="A23" s="8" t="s">
        <v>127</v>
      </c>
      <c r="B23" s="9">
        <v>9.49</v>
      </c>
      <c r="C23" s="140">
        <v>5.79</v>
      </c>
      <c r="D23" s="9">
        <v>19.989999999999998</v>
      </c>
      <c r="E23" s="140">
        <v>13.69</v>
      </c>
      <c r="F23" s="140">
        <v>17.989999999999998</v>
      </c>
      <c r="G23" s="140">
        <v>13.89</v>
      </c>
      <c r="H23" s="140">
        <v>13.49</v>
      </c>
      <c r="I23" s="9">
        <v>13.49</v>
      </c>
      <c r="J23" s="9">
        <v>8.99</v>
      </c>
      <c r="K23" s="141">
        <v>7.99</v>
      </c>
      <c r="L23" s="141">
        <v>19.989999999999998</v>
      </c>
      <c r="M23" s="10">
        <v>9.49</v>
      </c>
      <c r="N23" s="10">
        <v>18.989999999999998</v>
      </c>
      <c r="O23" s="10"/>
    </row>
    <row r="24" spans="1:15" x14ac:dyDescent="0.3">
      <c r="A24" s="8" t="s">
        <v>128</v>
      </c>
      <c r="B24" s="9">
        <v>9.49</v>
      </c>
      <c r="C24" s="140">
        <v>5.79</v>
      </c>
      <c r="D24" s="9">
        <v>19.989999999999998</v>
      </c>
      <c r="E24" s="140">
        <v>13.69</v>
      </c>
      <c r="F24" s="140">
        <v>17.989999999999998</v>
      </c>
      <c r="G24" s="140">
        <v>13.89</v>
      </c>
      <c r="H24" s="140">
        <v>13.49</v>
      </c>
      <c r="I24" s="9">
        <v>13.49</v>
      </c>
      <c r="J24" s="9">
        <v>8.99</v>
      </c>
      <c r="K24" s="141">
        <v>7.99</v>
      </c>
      <c r="L24" s="141">
        <v>19.989999999999998</v>
      </c>
      <c r="M24" s="10">
        <v>9.49</v>
      </c>
      <c r="N24" s="10">
        <v>18.989999999999998</v>
      </c>
      <c r="O24" s="10"/>
    </row>
    <row r="25" spans="1:15" x14ac:dyDescent="0.3">
      <c r="A25" s="12" t="s">
        <v>129</v>
      </c>
      <c r="B25" s="9">
        <v>9.49</v>
      </c>
      <c r="C25" s="100">
        <v>5.79</v>
      </c>
      <c r="D25" s="9">
        <v>19.989999999999998</v>
      </c>
      <c r="E25" s="100">
        <v>13.69</v>
      </c>
      <c r="F25" s="100">
        <v>17.989999999999998</v>
      </c>
      <c r="G25" s="100">
        <v>13.89</v>
      </c>
      <c r="H25" s="100">
        <v>13.49</v>
      </c>
      <c r="I25" s="9">
        <v>13.49</v>
      </c>
      <c r="J25" s="101">
        <v>9.99</v>
      </c>
      <c r="K25" s="101">
        <v>9.99</v>
      </c>
      <c r="L25" s="101">
        <v>24.99</v>
      </c>
      <c r="M25" s="101">
        <v>9.49</v>
      </c>
      <c r="N25" s="10">
        <v>18.989999999999998</v>
      </c>
      <c r="O25" s="101"/>
    </row>
    <row r="26" spans="1:15" x14ac:dyDescent="0.3">
      <c r="A26" s="12" t="s">
        <v>130</v>
      </c>
      <c r="B26" s="9">
        <v>9.49</v>
      </c>
      <c r="C26" s="100">
        <v>5.79</v>
      </c>
      <c r="D26" s="9">
        <v>19.989999999999998</v>
      </c>
      <c r="E26" s="100">
        <v>13.69</v>
      </c>
      <c r="F26" s="100">
        <v>17.989999999999998</v>
      </c>
      <c r="G26" s="100">
        <v>13.89</v>
      </c>
      <c r="H26" s="100">
        <v>13.49</v>
      </c>
      <c r="I26" s="9">
        <v>13.49</v>
      </c>
      <c r="J26" s="101">
        <v>9.99</v>
      </c>
      <c r="K26" s="101">
        <v>9.99</v>
      </c>
      <c r="L26" s="101">
        <v>24.99</v>
      </c>
      <c r="M26" s="101">
        <v>9.49</v>
      </c>
      <c r="N26" s="10">
        <v>18.989999999999998</v>
      </c>
      <c r="O26" s="101"/>
    </row>
    <row r="27" spans="1:15" x14ac:dyDescent="0.3">
      <c r="A27" s="8" t="s">
        <v>131</v>
      </c>
      <c r="B27" s="9">
        <v>9.49</v>
      </c>
      <c r="C27" s="140">
        <v>5.79</v>
      </c>
      <c r="D27" s="9">
        <v>19.989999999999998</v>
      </c>
      <c r="E27" s="140">
        <v>13.69</v>
      </c>
      <c r="F27" s="140">
        <v>17.989999999999998</v>
      </c>
      <c r="G27" s="140">
        <v>13.89</v>
      </c>
      <c r="H27" s="140">
        <v>13.49</v>
      </c>
      <c r="I27" s="9">
        <v>13.49</v>
      </c>
      <c r="J27" s="9">
        <v>8.99</v>
      </c>
      <c r="K27" s="141">
        <v>7.99</v>
      </c>
      <c r="L27" s="141">
        <v>19.989999999999998</v>
      </c>
      <c r="M27" s="10">
        <v>9.49</v>
      </c>
      <c r="N27" s="10">
        <v>18.989999999999998</v>
      </c>
      <c r="O27" s="10"/>
    </row>
    <row r="28" spans="1:15" x14ac:dyDescent="0.3">
      <c r="A28" s="12" t="s">
        <v>132</v>
      </c>
      <c r="B28" s="9">
        <v>9.49</v>
      </c>
      <c r="C28" s="100">
        <v>5.79</v>
      </c>
      <c r="D28" s="9">
        <v>19.989999999999998</v>
      </c>
      <c r="E28" s="100">
        <v>13.69</v>
      </c>
      <c r="F28" s="100">
        <v>17.989999999999998</v>
      </c>
      <c r="G28" s="100">
        <v>13.89</v>
      </c>
      <c r="H28" s="100">
        <v>13.49</v>
      </c>
      <c r="I28" s="9">
        <v>13.49</v>
      </c>
      <c r="J28" s="101">
        <v>9.99</v>
      </c>
      <c r="K28" s="101">
        <v>9.99</v>
      </c>
      <c r="L28" s="101">
        <v>24.99</v>
      </c>
      <c r="M28" s="101">
        <v>9.49</v>
      </c>
      <c r="N28" s="10">
        <v>18.989999999999998</v>
      </c>
      <c r="O28" s="101"/>
    </row>
    <row r="29" spans="1:15" x14ac:dyDescent="0.3">
      <c r="A29" s="142" t="s">
        <v>133</v>
      </c>
      <c r="B29" s="9">
        <v>9.49</v>
      </c>
      <c r="C29" s="100">
        <v>5.79</v>
      </c>
      <c r="D29" s="9">
        <v>19.989999999999998</v>
      </c>
      <c r="E29" s="100">
        <v>13.69</v>
      </c>
      <c r="F29" s="100">
        <v>17.989999999999998</v>
      </c>
      <c r="G29" s="100">
        <v>13.89</v>
      </c>
      <c r="H29" s="100">
        <v>13.49</v>
      </c>
      <c r="I29" s="9">
        <v>13.49</v>
      </c>
      <c r="J29" s="101">
        <v>9.99</v>
      </c>
      <c r="K29" s="101">
        <v>9.99</v>
      </c>
      <c r="L29" s="101">
        <v>24.99</v>
      </c>
      <c r="M29" s="101">
        <v>9.49</v>
      </c>
      <c r="N29" s="10">
        <v>18.989999999999998</v>
      </c>
      <c r="O29" s="101"/>
    </row>
    <row r="30" spans="1:15" x14ac:dyDescent="0.3">
      <c r="A30" s="8" t="s">
        <v>134</v>
      </c>
      <c r="B30" s="9">
        <v>9.49</v>
      </c>
      <c r="C30" s="140">
        <v>5.79</v>
      </c>
      <c r="D30" s="9">
        <v>19.989999999999998</v>
      </c>
      <c r="E30" s="140">
        <v>13.69</v>
      </c>
      <c r="F30" s="140">
        <v>17.989999999999998</v>
      </c>
      <c r="G30" s="140">
        <v>13.89</v>
      </c>
      <c r="H30" s="140">
        <v>13.49</v>
      </c>
      <c r="I30" s="9">
        <v>13.49</v>
      </c>
      <c r="J30" s="9">
        <v>8.99</v>
      </c>
      <c r="K30" s="141">
        <v>7.99</v>
      </c>
      <c r="L30" s="141">
        <v>19.989999999999998</v>
      </c>
      <c r="M30" s="10">
        <v>9.49</v>
      </c>
      <c r="N30" s="10">
        <v>18.989999999999998</v>
      </c>
      <c r="O30" s="10"/>
    </row>
    <row r="31" spans="1:15" x14ac:dyDescent="0.3">
      <c r="A31" s="102" t="s">
        <v>135</v>
      </c>
      <c r="B31" s="143"/>
      <c r="C31" s="103"/>
      <c r="D31" s="14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</row>
    <row r="33" spans="1:15" x14ac:dyDescent="0.3">
      <c r="A33" s="104" t="s">
        <v>21</v>
      </c>
      <c r="B33" s="105">
        <v>9.49</v>
      </c>
      <c r="C33" s="106">
        <v>5.79</v>
      </c>
      <c r="D33" s="106">
        <v>19.989999999999998</v>
      </c>
      <c r="E33" s="106">
        <v>13.69</v>
      </c>
      <c r="F33" s="106">
        <v>17.989999999999998</v>
      </c>
      <c r="G33" s="106">
        <v>13.89</v>
      </c>
      <c r="H33" s="106">
        <v>13.49</v>
      </c>
      <c r="I33" s="106">
        <v>12.49</v>
      </c>
      <c r="J33" s="106">
        <v>9.99</v>
      </c>
      <c r="K33" s="106">
        <v>9.99</v>
      </c>
      <c r="L33" s="106">
        <v>24.99</v>
      </c>
      <c r="M33" s="106">
        <v>9.49</v>
      </c>
      <c r="N33" s="106">
        <v>18.989999999999998</v>
      </c>
      <c r="O33" s="106">
        <v>0</v>
      </c>
    </row>
    <row r="34" spans="1:15" x14ac:dyDescent="0.3">
      <c r="I34" t="s">
        <v>153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C2EC2-6726-492A-94B4-C8C972019649}">
  <sheetPr>
    <tabColor rgb="FFFFC000"/>
  </sheetPr>
  <dimension ref="A1:V34"/>
  <sheetViews>
    <sheetView zoomScale="70" zoomScaleNormal="70" workbookViewId="0">
      <selection activeCell="E23" sqref="E23"/>
    </sheetView>
  </sheetViews>
  <sheetFormatPr defaultRowHeight="14.4" x14ac:dyDescent="0.3"/>
  <cols>
    <col min="1" max="3" width="13.109375" bestFit="1" customWidth="1"/>
    <col min="4" max="4" width="14.109375" bestFit="1" customWidth="1"/>
    <col min="5" max="6" width="13.109375" bestFit="1" customWidth="1"/>
    <col min="7" max="7" width="14.10937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109375" customWidth="1"/>
    <col min="13" max="15" width="13.109375" bestFit="1" customWidth="1"/>
  </cols>
  <sheetData>
    <row r="1" spans="1:22" x14ac:dyDescent="0.3">
      <c r="A1" s="138" t="s">
        <v>152</v>
      </c>
      <c r="B1" s="138" t="s">
        <v>152</v>
      </c>
      <c r="C1" s="138" t="s">
        <v>152</v>
      </c>
      <c r="D1" s="138" t="s">
        <v>152</v>
      </c>
      <c r="E1" s="138" t="s">
        <v>152</v>
      </c>
      <c r="F1" s="138" t="s">
        <v>152</v>
      </c>
      <c r="G1" s="138" t="s">
        <v>152</v>
      </c>
      <c r="H1" s="138" t="s">
        <v>152</v>
      </c>
      <c r="I1" s="138" t="s">
        <v>152</v>
      </c>
      <c r="J1" s="138" t="s">
        <v>152</v>
      </c>
      <c r="K1" s="138" t="s">
        <v>152</v>
      </c>
      <c r="L1" s="138" t="s">
        <v>152</v>
      </c>
      <c r="M1" s="138" t="s">
        <v>152</v>
      </c>
      <c r="N1" s="138" t="s">
        <v>152</v>
      </c>
      <c r="O1" s="138" t="s">
        <v>152</v>
      </c>
    </row>
    <row r="2" spans="1:22" ht="31.2" x14ac:dyDescent="0.3">
      <c r="A2" s="98" t="s">
        <v>98</v>
      </c>
      <c r="B2" s="176" t="s">
        <v>138</v>
      </c>
      <c r="C2" s="177" t="s">
        <v>139</v>
      </c>
      <c r="D2" s="176" t="s">
        <v>140</v>
      </c>
      <c r="E2" s="176" t="s">
        <v>141</v>
      </c>
      <c r="F2" s="177" t="s">
        <v>142</v>
      </c>
      <c r="G2" s="176" t="s">
        <v>143</v>
      </c>
      <c r="H2" s="177" t="s">
        <v>144</v>
      </c>
      <c r="I2" s="176" t="s">
        <v>145</v>
      </c>
      <c r="J2" s="178" t="s">
        <v>146</v>
      </c>
      <c r="K2" s="178" t="s">
        <v>147</v>
      </c>
      <c r="L2" s="178" t="s">
        <v>148</v>
      </c>
      <c r="M2" s="176" t="s">
        <v>149</v>
      </c>
      <c r="N2" s="177" t="s">
        <v>150</v>
      </c>
      <c r="O2" s="176" t="s">
        <v>187</v>
      </c>
      <c r="P2" s="176" t="s">
        <v>188</v>
      </c>
      <c r="Q2" s="176" t="s">
        <v>189</v>
      </c>
      <c r="R2" s="176" t="s">
        <v>190</v>
      </c>
      <c r="S2" s="176" t="s">
        <v>191</v>
      </c>
      <c r="T2" s="176" t="s">
        <v>192</v>
      </c>
      <c r="U2" s="176" t="s">
        <v>193</v>
      </c>
      <c r="V2" t="s">
        <v>194</v>
      </c>
    </row>
    <row r="3" spans="1:22" x14ac:dyDescent="0.3">
      <c r="A3" s="8" t="s">
        <v>108</v>
      </c>
      <c r="B3" s="9">
        <v>9.49</v>
      </c>
      <c r="C3" s="140">
        <v>5.79</v>
      </c>
      <c r="D3" s="9">
        <v>19.989999999999998</v>
      </c>
      <c r="E3" s="140">
        <v>13.69</v>
      </c>
      <c r="F3" s="140">
        <v>18.989999999999998</v>
      </c>
      <c r="G3" s="140">
        <v>13.89</v>
      </c>
      <c r="H3" s="140">
        <v>13.49</v>
      </c>
      <c r="I3" s="9">
        <v>13.49</v>
      </c>
      <c r="J3" s="9">
        <v>8.99</v>
      </c>
      <c r="K3" s="141">
        <v>7.99</v>
      </c>
      <c r="L3" s="141">
        <v>19.989999999999998</v>
      </c>
      <c r="M3" s="10">
        <v>9.49</v>
      </c>
      <c r="N3" s="10">
        <v>18.989999999999998</v>
      </c>
      <c r="O3" s="10">
        <v>7.99</v>
      </c>
      <c r="P3">
        <v>8.6</v>
      </c>
      <c r="Q3">
        <v>4.99</v>
      </c>
      <c r="R3">
        <v>5.99</v>
      </c>
      <c r="S3">
        <v>36</v>
      </c>
      <c r="T3">
        <v>36</v>
      </c>
      <c r="U3">
        <v>27</v>
      </c>
      <c r="V3">
        <v>48</v>
      </c>
    </row>
    <row r="4" spans="1:22" x14ac:dyDescent="0.3">
      <c r="A4" s="8" t="s">
        <v>109</v>
      </c>
      <c r="B4" s="9">
        <v>9.49</v>
      </c>
      <c r="C4" s="140">
        <v>5.79</v>
      </c>
      <c r="D4" s="9">
        <v>19.989999999999998</v>
      </c>
      <c r="E4" s="140">
        <v>13.69</v>
      </c>
      <c r="F4" s="140">
        <v>18.989999999999998</v>
      </c>
      <c r="G4" s="140">
        <v>13.89</v>
      </c>
      <c r="H4" s="140">
        <v>13.49</v>
      </c>
      <c r="I4" s="9">
        <v>13.49</v>
      </c>
      <c r="J4" s="9">
        <v>8.99</v>
      </c>
      <c r="K4" s="141">
        <v>7.99</v>
      </c>
      <c r="L4" s="141">
        <v>19.989999999999998</v>
      </c>
      <c r="M4" s="10">
        <v>9.49</v>
      </c>
      <c r="N4" s="10">
        <v>18.989999999999998</v>
      </c>
      <c r="O4" s="10">
        <v>7.99</v>
      </c>
      <c r="P4">
        <v>8.6</v>
      </c>
      <c r="Q4">
        <v>4.99</v>
      </c>
      <c r="R4">
        <v>5.99</v>
      </c>
      <c r="S4">
        <v>36</v>
      </c>
      <c r="T4">
        <v>36</v>
      </c>
      <c r="U4">
        <v>27</v>
      </c>
      <c r="V4">
        <v>48</v>
      </c>
    </row>
    <row r="5" spans="1:22" x14ac:dyDescent="0.3">
      <c r="A5" s="8" t="s">
        <v>110</v>
      </c>
      <c r="B5" s="9">
        <v>9.49</v>
      </c>
      <c r="C5" s="140">
        <v>5.79</v>
      </c>
      <c r="D5" s="9">
        <v>19.989999999999998</v>
      </c>
      <c r="E5" s="140">
        <v>13.69</v>
      </c>
      <c r="F5" s="140">
        <v>18.989999999999998</v>
      </c>
      <c r="G5" s="140">
        <v>13.89</v>
      </c>
      <c r="H5" s="140">
        <v>13.49</v>
      </c>
      <c r="I5" s="9">
        <v>13.49</v>
      </c>
      <c r="J5" s="9">
        <v>8.99</v>
      </c>
      <c r="K5" s="141">
        <v>7.99</v>
      </c>
      <c r="L5" s="141">
        <v>19.989999999999998</v>
      </c>
      <c r="M5" s="10">
        <v>9.49</v>
      </c>
      <c r="N5" s="10">
        <v>18.989999999999998</v>
      </c>
      <c r="O5" s="10">
        <v>7.99</v>
      </c>
      <c r="P5">
        <v>8.6</v>
      </c>
      <c r="Q5">
        <v>4.99</v>
      </c>
      <c r="R5">
        <v>5.99</v>
      </c>
      <c r="S5">
        <v>36</v>
      </c>
      <c r="T5">
        <v>36</v>
      </c>
      <c r="U5">
        <v>27</v>
      </c>
      <c r="V5">
        <v>48</v>
      </c>
    </row>
    <row r="6" spans="1:22" x14ac:dyDescent="0.3">
      <c r="A6" s="8" t="s">
        <v>111</v>
      </c>
      <c r="B6" s="9">
        <v>9.49</v>
      </c>
      <c r="C6" s="140">
        <v>5.79</v>
      </c>
      <c r="D6" s="9">
        <v>19.989999999999998</v>
      </c>
      <c r="E6" s="140">
        <v>13.69</v>
      </c>
      <c r="F6" s="140">
        <v>18.989999999999998</v>
      </c>
      <c r="G6" s="140">
        <v>13.89</v>
      </c>
      <c r="H6" s="140">
        <v>13.49</v>
      </c>
      <c r="I6" s="9">
        <v>13.49</v>
      </c>
      <c r="J6" s="9">
        <v>8.99</v>
      </c>
      <c r="K6" s="141">
        <v>7.99</v>
      </c>
      <c r="L6" s="141">
        <v>19.989999999999998</v>
      </c>
      <c r="M6" s="10">
        <v>9.49</v>
      </c>
      <c r="N6" s="10">
        <v>18.989999999999998</v>
      </c>
      <c r="O6" s="10">
        <v>7.99</v>
      </c>
      <c r="P6">
        <v>8.6</v>
      </c>
      <c r="Q6">
        <v>4.99</v>
      </c>
      <c r="R6">
        <v>5.99</v>
      </c>
      <c r="S6">
        <v>36</v>
      </c>
      <c r="T6">
        <v>36</v>
      </c>
      <c r="U6">
        <v>27</v>
      </c>
      <c r="V6">
        <v>48</v>
      </c>
    </row>
    <row r="7" spans="1:22" x14ac:dyDescent="0.3">
      <c r="A7" s="8" t="s">
        <v>112</v>
      </c>
      <c r="B7" s="9">
        <v>9.49</v>
      </c>
      <c r="C7" s="140">
        <v>5.79</v>
      </c>
      <c r="D7" s="9">
        <v>19.989999999999998</v>
      </c>
      <c r="E7" s="140">
        <v>13.69</v>
      </c>
      <c r="F7" s="140">
        <v>18.989999999999998</v>
      </c>
      <c r="G7" s="140">
        <v>13.89</v>
      </c>
      <c r="H7" s="140">
        <v>13.49</v>
      </c>
      <c r="I7" s="9">
        <v>13.49</v>
      </c>
      <c r="J7" s="9">
        <v>8.99</v>
      </c>
      <c r="K7" s="141">
        <v>7.99</v>
      </c>
      <c r="L7" s="141">
        <v>19.989999999999998</v>
      </c>
      <c r="M7" s="10">
        <v>9.49</v>
      </c>
      <c r="N7" s="10">
        <v>18.989999999999998</v>
      </c>
      <c r="O7" s="10">
        <v>7.99</v>
      </c>
      <c r="P7">
        <v>8.6</v>
      </c>
      <c r="Q7">
        <v>4.99</v>
      </c>
      <c r="R7">
        <v>5.99</v>
      </c>
      <c r="S7">
        <v>36</v>
      </c>
      <c r="T7">
        <v>36</v>
      </c>
      <c r="U7">
        <v>27</v>
      </c>
      <c r="V7">
        <v>48</v>
      </c>
    </row>
    <row r="8" spans="1:22" x14ac:dyDescent="0.3">
      <c r="A8" s="8" t="s">
        <v>113</v>
      </c>
      <c r="B8" s="9">
        <v>9.49</v>
      </c>
      <c r="C8" s="140">
        <v>5.79</v>
      </c>
      <c r="D8" s="9">
        <v>19.989999999999998</v>
      </c>
      <c r="E8" s="140">
        <v>13.69</v>
      </c>
      <c r="F8" s="140">
        <v>18.989999999999998</v>
      </c>
      <c r="G8" s="140">
        <v>13.89</v>
      </c>
      <c r="H8" s="140">
        <v>13.49</v>
      </c>
      <c r="I8" s="9">
        <v>13.49</v>
      </c>
      <c r="J8" s="9">
        <v>8.99</v>
      </c>
      <c r="K8" s="141">
        <v>7.99</v>
      </c>
      <c r="L8" s="141">
        <v>19.989999999999998</v>
      </c>
      <c r="M8" s="10">
        <v>9.49</v>
      </c>
      <c r="N8" s="10">
        <v>18.989999999999998</v>
      </c>
      <c r="O8" s="10">
        <v>7.99</v>
      </c>
      <c r="P8">
        <v>8.6</v>
      </c>
      <c r="Q8">
        <v>4.99</v>
      </c>
      <c r="R8">
        <v>5.99</v>
      </c>
      <c r="S8">
        <v>36</v>
      </c>
      <c r="T8">
        <v>36</v>
      </c>
      <c r="U8">
        <v>27</v>
      </c>
      <c r="V8">
        <v>48</v>
      </c>
    </row>
    <row r="9" spans="1:22" x14ac:dyDescent="0.3">
      <c r="A9" s="8" t="s">
        <v>114</v>
      </c>
      <c r="B9" s="9">
        <v>9.49</v>
      </c>
      <c r="C9" s="140">
        <v>5.79</v>
      </c>
      <c r="D9" s="9">
        <v>19.989999999999998</v>
      </c>
      <c r="E9" s="140">
        <v>13.69</v>
      </c>
      <c r="F9" s="140">
        <v>18.989999999999998</v>
      </c>
      <c r="G9" s="140">
        <v>13.89</v>
      </c>
      <c r="H9" s="140">
        <v>13.49</v>
      </c>
      <c r="I9" s="9">
        <v>13.49</v>
      </c>
      <c r="J9" s="9">
        <v>8.99</v>
      </c>
      <c r="K9" s="141">
        <v>7.99</v>
      </c>
      <c r="L9" s="141">
        <v>19.989999999999998</v>
      </c>
      <c r="M9" s="10">
        <v>9.49</v>
      </c>
      <c r="N9" s="10">
        <v>18.989999999999998</v>
      </c>
      <c r="O9" s="10">
        <v>7.99</v>
      </c>
      <c r="P9">
        <v>8.6</v>
      </c>
      <c r="Q9">
        <v>4.99</v>
      </c>
      <c r="R9">
        <v>5.99</v>
      </c>
      <c r="S9">
        <v>36</v>
      </c>
      <c r="T9">
        <v>36</v>
      </c>
      <c r="U9">
        <v>27</v>
      </c>
      <c r="V9">
        <v>48</v>
      </c>
    </row>
    <row r="10" spans="1:22" ht="18" x14ac:dyDescent="0.35">
      <c r="A10" s="11" t="s">
        <v>115</v>
      </c>
      <c r="B10" s="9">
        <v>9.49</v>
      </c>
      <c r="C10" s="140">
        <v>5.79</v>
      </c>
      <c r="D10" s="9">
        <v>19.989999999999998</v>
      </c>
      <c r="E10" s="140">
        <v>13.69</v>
      </c>
      <c r="F10" s="140">
        <v>18.989999999999998</v>
      </c>
      <c r="G10" s="140">
        <v>13.89</v>
      </c>
      <c r="H10" s="140">
        <v>13.49</v>
      </c>
      <c r="I10" s="9">
        <v>13.49</v>
      </c>
      <c r="J10" s="144">
        <v>9.99</v>
      </c>
      <c r="K10" s="144">
        <v>9.99</v>
      </c>
      <c r="L10" s="144">
        <v>24.99</v>
      </c>
      <c r="M10" s="10">
        <v>9.49</v>
      </c>
      <c r="N10" s="10">
        <v>18.989999999999998</v>
      </c>
      <c r="O10" s="10">
        <v>7.99</v>
      </c>
      <c r="P10">
        <v>8.6</v>
      </c>
      <c r="Q10">
        <v>4.99</v>
      </c>
      <c r="R10">
        <v>5.99</v>
      </c>
      <c r="S10">
        <v>36</v>
      </c>
      <c r="T10">
        <v>36</v>
      </c>
      <c r="U10">
        <v>27</v>
      </c>
      <c r="V10">
        <v>48</v>
      </c>
    </row>
    <row r="11" spans="1:22" x14ac:dyDescent="0.3">
      <c r="A11" s="8" t="s">
        <v>116</v>
      </c>
      <c r="B11" s="9">
        <v>9.49</v>
      </c>
      <c r="C11" s="140">
        <v>5.79</v>
      </c>
      <c r="D11" s="9">
        <v>19.989999999999998</v>
      </c>
      <c r="E11" s="140">
        <v>13.69</v>
      </c>
      <c r="F11" s="140">
        <v>18.989999999999998</v>
      </c>
      <c r="G11" s="140">
        <v>13.89</v>
      </c>
      <c r="H11" s="140">
        <v>13.49</v>
      </c>
      <c r="I11" s="9">
        <v>13.49</v>
      </c>
      <c r="J11" s="9">
        <v>8.99</v>
      </c>
      <c r="K11" s="141">
        <v>7.99</v>
      </c>
      <c r="L11" s="141">
        <v>19.989999999999998</v>
      </c>
      <c r="M11" s="10">
        <v>9.49</v>
      </c>
      <c r="N11" s="10">
        <v>18.989999999999998</v>
      </c>
      <c r="O11" s="10">
        <v>7.99</v>
      </c>
      <c r="P11">
        <v>8.6</v>
      </c>
      <c r="Q11">
        <v>4.99</v>
      </c>
      <c r="R11">
        <v>5.99</v>
      </c>
      <c r="S11">
        <v>36</v>
      </c>
      <c r="T11">
        <v>36</v>
      </c>
      <c r="U11">
        <v>27</v>
      </c>
      <c r="V11">
        <v>48</v>
      </c>
    </row>
    <row r="12" spans="1:22" x14ac:dyDescent="0.3">
      <c r="A12" s="8" t="s">
        <v>117</v>
      </c>
      <c r="B12" s="9">
        <v>9.49</v>
      </c>
      <c r="C12" s="140">
        <v>5.79</v>
      </c>
      <c r="D12" s="9">
        <v>19.989999999999998</v>
      </c>
      <c r="E12" s="140">
        <v>13.69</v>
      </c>
      <c r="F12" s="140">
        <v>18.989999999999998</v>
      </c>
      <c r="G12" s="140">
        <v>13.89</v>
      </c>
      <c r="H12" s="140">
        <v>13.49</v>
      </c>
      <c r="I12" s="9">
        <v>13.49</v>
      </c>
      <c r="J12" s="9">
        <v>8.99</v>
      </c>
      <c r="K12" s="141">
        <v>7.99</v>
      </c>
      <c r="L12" s="141">
        <v>19.989999999999998</v>
      </c>
      <c r="M12" s="10">
        <v>9.49</v>
      </c>
      <c r="N12" s="10">
        <v>18.989999999999998</v>
      </c>
      <c r="O12" s="10">
        <v>7.99</v>
      </c>
      <c r="P12">
        <v>8.6</v>
      </c>
      <c r="Q12">
        <v>4.99</v>
      </c>
      <c r="R12">
        <v>5.99</v>
      </c>
      <c r="S12">
        <v>36</v>
      </c>
      <c r="T12">
        <v>36</v>
      </c>
      <c r="U12">
        <v>27</v>
      </c>
      <c r="V12">
        <v>48</v>
      </c>
    </row>
    <row r="13" spans="1:22" x14ac:dyDescent="0.3">
      <c r="A13" s="12" t="s">
        <v>118</v>
      </c>
      <c r="B13" s="9">
        <v>9.49</v>
      </c>
      <c r="C13" s="140">
        <v>5.79</v>
      </c>
      <c r="D13" s="9">
        <v>19.989999999999998</v>
      </c>
      <c r="E13" s="100">
        <v>13.69</v>
      </c>
      <c r="F13" s="140">
        <v>18.989999999999998</v>
      </c>
      <c r="G13" s="100">
        <v>13.89</v>
      </c>
      <c r="H13" s="140">
        <v>13.49</v>
      </c>
      <c r="I13" s="9">
        <v>13.49</v>
      </c>
      <c r="J13" s="101">
        <v>9.99</v>
      </c>
      <c r="K13" s="101">
        <v>9.99</v>
      </c>
      <c r="L13" s="101">
        <v>24.99</v>
      </c>
      <c r="M13" s="101">
        <v>9.49</v>
      </c>
      <c r="N13" s="10">
        <v>18.989999999999998</v>
      </c>
      <c r="O13" s="101">
        <v>7.99</v>
      </c>
      <c r="P13">
        <v>8.6</v>
      </c>
      <c r="Q13">
        <v>4.99</v>
      </c>
      <c r="R13">
        <v>5.99</v>
      </c>
      <c r="S13">
        <v>36</v>
      </c>
      <c r="T13">
        <v>36</v>
      </c>
      <c r="U13">
        <v>27</v>
      </c>
      <c r="V13">
        <v>48</v>
      </c>
    </row>
    <row r="14" spans="1:22" x14ac:dyDescent="0.3">
      <c r="A14" s="8" t="s">
        <v>119</v>
      </c>
      <c r="B14" s="9">
        <v>9.49</v>
      </c>
      <c r="C14" s="140">
        <v>5.79</v>
      </c>
      <c r="D14" s="9">
        <v>19.989999999999998</v>
      </c>
      <c r="E14" s="140">
        <v>13.69</v>
      </c>
      <c r="F14" s="140">
        <v>18.989999999999998</v>
      </c>
      <c r="G14" s="140">
        <v>13.89</v>
      </c>
      <c r="H14" s="140">
        <v>13.49</v>
      </c>
      <c r="I14" s="9">
        <v>13.49</v>
      </c>
      <c r="J14" s="9">
        <v>8.99</v>
      </c>
      <c r="K14" s="141">
        <v>7.99</v>
      </c>
      <c r="L14" s="141">
        <v>19.989999999999998</v>
      </c>
      <c r="M14" s="10">
        <v>9.49</v>
      </c>
      <c r="N14" s="10">
        <v>18.989999999999998</v>
      </c>
      <c r="O14" s="10">
        <v>7.99</v>
      </c>
      <c r="P14">
        <v>8.6</v>
      </c>
      <c r="Q14">
        <v>4.99</v>
      </c>
      <c r="R14">
        <v>5.99</v>
      </c>
      <c r="S14">
        <v>36</v>
      </c>
      <c r="T14">
        <v>36</v>
      </c>
      <c r="U14">
        <v>27</v>
      </c>
      <c r="V14">
        <v>48</v>
      </c>
    </row>
    <row r="15" spans="1:22" x14ac:dyDescent="0.3">
      <c r="A15" s="8" t="s">
        <v>120</v>
      </c>
      <c r="B15" s="9">
        <v>9.49</v>
      </c>
      <c r="C15" s="140">
        <v>5.79</v>
      </c>
      <c r="D15" s="9">
        <v>19.989999999999998</v>
      </c>
      <c r="E15" s="140">
        <v>13.69</v>
      </c>
      <c r="F15" s="140">
        <v>18.989999999999998</v>
      </c>
      <c r="G15" s="140">
        <v>13.89</v>
      </c>
      <c r="H15" s="140">
        <v>13.49</v>
      </c>
      <c r="I15" s="9">
        <v>13.49</v>
      </c>
      <c r="J15" s="9">
        <v>8.99</v>
      </c>
      <c r="K15" s="141">
        <v>7.99</v>
      </c>
      <c r="L15" s="141">
        <v>19.989999999999998</v>
      </c>
      <c r="M15" s="10">
        <v>9.49</v>
      </c>
      <c r="N15" s="10">
        <v>18.989999999999998</v>
      </c>
      <c r="O15" s="10">
        <v>7.99</v>
      </c>
      <c r="P15">
        <v>8.6</v>
      </c>
      <c r="Q15">
        <v>4.99</v>
      </c>
      <c r="R15">
        <v>5.99</v>
      </c>
      <c r="S15">
        <v>36</v>
      </c>
      <c r="T15">
        <v>36</v>
      </c>
      <c r="U15">
        <v>27</v>
      </c>
      <c r="V15">
        <v>48</v>
      </c>
    </row>
    <row r="16" spans="1:22" x14ac:dyDescent="0.3">
      <c r="A16" s="8" t="s">
        <v>121</v>
      </c>
      <c r="B16" s="9">
        <v>9.49</v>
      </c>
      <c r="C16" s="140">
        <v>5.79</v>
      </c>
      <c r="D16" s="9">
        <v>19.989999999999998</v>
      </c>
      <c r="E16" s="140">
        <v>13.69</v>
      </c>
      <c r="F16" s="140">
        <v>18.989999999999998</v>
      </c>
      <c r="G16" s="140">
        <v>13.89</v>
      </c>
      <c r="H16" s="140">
        <v>13.49</v>
      </c>
      <c r="I16" s="9">
        <v>13.49</v>
      </c>
      <c r="J16" s="9">
        <v>8.99</v>
      </c>
      <c r="K16" s="141">
        <v>7.99</v>
      </c>
      <c r="L16" s="141">
        <v>19.989999999999998</v>
      </c>
      <c r="M16" s="10">
        <v>9.49</v>
      </c>
      <c r="N16" s="10">
        <v>18.989999999999998</v>
      </c>
      <c r="O16" s="10">
        <v>7.99</v>
      </c>
      <c r="P16">
        <v>8.6</v>
      </c>
      <c r="Q16">
        <v>4.99</v>
      </c>
      <c r="R16">
        <v>5.99</v>
      </c>
      <c r="S16">
        <v>36</v>
      </c>
      <c r="T16">
        <v>36</v>
      </c>
      <c r="U16">
        <v>27</v>
      </c>
      <c r="V16">
        <v>48</v>
      </c>
    </row>
    <row r="17" spans="1:22" x14ac:dyDescent="0.3">
      <c r="A17" s="8" t="s">
        <v>122</v>
      </c>
      <c r="B17" s="9">
        <v>9.49</v>
      </c>
      <c r="C17" s="140">
        <v>5.79</v>
      </c>
      <c r="D17" s="9">
        <v>19.989999999999998</v>
      </c>
      <c r="E17" s="140">
        <v>13.69</v>
      </c>
      <c r="F17" s="140">
        <v>18.989999999999998</v>
      </c>
      <c r="G17" s="140">
        <v>13.89</v>
      </c>
      <c r="H17" s="140">
        <v>13.49</v>
      </c>
      <c r="I17" s="9">
        <v>13.49</v>
      </c>
      <c r="J17" s="9">
        <v>8.99</v>
      </c>
      <c r="K17" s="141">
        <v>7.99</v>
      </c>
      <c r="L17" s="141">
        <v>19.989999999999998</v>
      </c>
      <c r="M17" s="10">
        <v>9.49</v>
      </c>
      <c r="N17" s="10">
        <v>18.989999999999998</v>
      </c>
      <c r="O17" s="10">
        <v>7.99</v>
      </c>
      <c r="P17">
        <v>8.6</v>
      </c>
      <c r="Q17">
        <v>4.99</v>
      </c>
      <c r="R17">
        <v>5.99</v>
      </c>
      <c r="S17">
        <v>36</v>
      </c>
      <c r="T17">
        <v>36</v>
      </c>
      <c r="U17">
        <v>27</v>
      </c>
      <c r="V17">
        <v>48</v>
      </c>
    </row>
    <row r="18" spans="1:22" x14ac:dyDescent="0.3">
      <c r="A18" s="8" t="s">
        <v>123</v>
      </c>
      <c r="B18" s="9">
        <v>9.49</v>
      </c>
      <c r="C18" s="140">
        <v>5.79</v>
      </c>
      <c r="D18" s="9">
        <v>19.989999999999998</v>
      </c>
      <c r="E18" s="140">
        <v>13.69</v>
      </c>
      <c r="F18" s="140">
        <v>18.989999999999998</v>
      </c>
      <c r="G18" s="140">
        <v>13.89</v>
      </c>
      <c r="H18" s="140">
        <v>13.49</v>
      </c>
      <c r="I18" s="9">
        <v>13.49</v>
      </c>
      <c r="J18" s="9">
        <v>8.99</v>
      </c>
      <c r="K18" s="141">
        <v>7.99</v>
      </c>
      <c r="L18" s="141">
        <v>19.989999999999998</v>
      </c>
      <c r="M18" s="10">
        <v>9.49</v>
      </c>
      <c r="N18" s="10">
        <v>18.989999999999998</v>
      </c>
      <c r="O18" s="10">
        <v>7.99</v>
      </c>
      <c r="P18">
        <v>8.6</v>
      </c>
      <c r="Q18">
        <v>4.99</v>
      </c>
      <c r="R18">
        <v>5.99</v>
      </c>
      <c r="S18">
        <v>36</v>
      </c>
      <c r="T18">
        <v>36</v>
      </c>
      <c r="U18">
        <v>27</v>
      </c>
      <c r="V18">
        <v>48</v>
      </c>
    </row>
    <row r="19" spans="1:22" x14ac:dyDescent="0.3">
      <c r="A19" s="8" t="s">
        <v>124</v>
      </c>
      <c r="B19" s="9">
        <v>9.49</v>
      </c>
      <c r="C19" s="140">
        <v>5.79</v>
      </c>
      <c r="D19" s="9">
        <v>19.989999999999998</v>
      </c>
      <c r="E19" s="140">
        <v>13.69</v>
      </c>
      <c r="F19" s="140">
        <v>18.989999999999998</v>
      </c>
      <c r="G19" s="140">
        <v>13.89</v>
      </c>
      <c r="H19" s="140">
        <v>13.49</v>
      </c>
      <c r="I19" s="9">
        <v>13.49</v>
      </c>
      <c r="J19" s="9">
        <v>8.99</v>
      </c>
      <c r="K19" s="141">
        <v>7.99</v>
      </c>
      <c r="L19" s="141">
        <v>19.989999999999998</v>
      </c>
      <c r="M19" s="10">
        <v>9.49</v>
      </c>
      <c r="N19" s="10">
        <v>18.989999999999998</v>
      </c>
      <c r="O19" s="10">
        <v>7.99</v>
      </c>
      <c r="P19">
        <v>8.6</v>
      </c>
      <c r="Q19">
        <v>4.99</v>
      </c>
      <c r="R19">
        <v>5.99</v>
      </c>
      <c r="S19">
        <v>36</v>
      </c>
      <c r="T19">
        <v>36</v>
      </c>
      <c r="U19">
        <v>27</v>
      </c>
      <c r="V19">
        <v>48</v>
      </c>
    </row>
    <row r="20" spans="1:22" x14ac:dyDescent="0.3">
      <c r="A20" s="13" t="s">
        <v>10</v>
      </c>
      <c r="B20" s="14">
        <v>9.49</v>
      </c>
      <c r="C20" s="140">
        <v>5.79</v>
      </c>
      <c r="D20" s="14">
        <v>19.989999999999998</v>
      </c>
      <c r="E20" s="100">
        <v>13.69</v>
      </c>
      <c r="F20" s="140">
        <v>18.989999999999998</v>
      </c>
      <c r="G20" s="100">
        <v>13.89</v>
      </c>
      <c r="H20" s="140">
        <v>13.49</v>
      </c>
      <c r="I20" s="9">
        <v>13.49</v>
      </c>
      <c r="J20" s="101">
        <v>9.99</v>
      </c>
      <c r="K20" s="101">
        <v>9.99</v>
      </c>
      <c r="L20" s="101">
        <v>24.99</v>
      </c>
      <c r="M20" s="101">
        <v>9.49</v>
      </c>
      <c r="N20" s="10">
        <v>18.989999999999998</v>
      </c>
      <c r="O20" s="101">
        <v>7.99</v>
      </c>
      <c r="P20">
        <v>8.6</v>
      </c>
      <c r="Q20">
        <v>4.99</v>
      </c>
      <c r="R20">
        <v>5.99</v>
      </c>
      <c r="S20">
        <v>36</v>
      </c>
      <c r="T20">
        <v>36</v>
      </c>
      <c r="U20">
        <v>27</v>
      </c>
      <c r="V20">
        <v>48</v>
      </c>
    </row>
    <row r="21" spans="1:22" x14ac:dyDescent="0.3">
      <c r="A21" s="12" t="s">
        <v>125</v>
      </c>
      <c r="B21" s="9">
        <v>9.49</v>
      </c>
      <c r="C21" s="140">
        <v>5.79</v>
      </c>
      <c r="D21" s="9">
        <v>19.989999999999998</v>
      </c>
      <c r="E21" s="100">
        <v>13.69</v>
      </c>
      <c r="F21" s="140">
        <v>18.989999999999998</v>
      </c>
      <c r="G21" s="100">
        <v>13.89</v>
      </c>
      <c r="H21" s="140">
        <v>13.49</v>
      </c>
      <c r="I21" s="9">
        <v>13.49</v>
      </c>
      <c r="J21" s="101">
        <v>9.99</v>
      </c>
      <c r="K21" s="101">
        <v>9.99</v>
      </c>
      <c r="L21" s="101">
        <v>24.99</v>
      </c>
      <c r="M21" s="101">
        <v>9.49</v>
      </c>
      <c r="N21" s="10">
        <v>18.989999999999998</v>
      </c>
      <c r="O21" s="101">
        <v>7.99</v>
      </c>
      <c r="P21">
        <v>8.6</v>
      </c>
      <c r="Q21">
        <v>4.99</v>
      </c>
      <c r="R21">
        <v>5.99</v>
      </c>
      <c r="S21">
        <v>36</v>
      </c>
      <c r="T21">
        <v>36</v>
      </c>
      <c r="U21">
        <v>27</v>
      </c>
      <c r="V21">
        <v>48</v>
      </c>
    </row>
    <row r="22" spans="1:22" x14ac:dyDescent="0.3">
      <c r="A22" s="8" t="s">
        <v>126</v>
      </c>
      <c r="B22" s="9">
        <v>9.49</v>
      </c>
      <c r="C22" s="140">
        <v>5.79</v>
      </c>
      <c r="D22" s="9">
        <v>19.989999999999998</v>
      </c>
      <c r="E22" s="140">
        <v>13.69</v>
      </c>
      <c r="F22" s="140">
        <v>18.989999999999998</v>
      </c>
      <c r="G22" s="140">
        <v>13.89</v>
      </c>
      <c r="H22" s="140">
        <v>13.49</v>
      </c>
      <c r="I22" s="9">
        <v>13.49</v>
      </c>
      <c r="J22" s="9">
        <v>8.99</v>
      </c>
      <c r="K22" s="141">
        <v>7.99</v>
      </c>
      <c r="L22" s="141">
        <v>19.989999999999998</v>
      </c>
      <c r="M22" s="10">
        <v>9.49</v>
      </c>
      <c r="N22" s="10">
        <v>18.989999999999998</v>
      </c>
      <c r="O22" s="10">
        <v>7.99</v>
      </c>
      <c r="P22">
        <v>8.6</v>
      </c>
      <c r="Q22">
        <v>4.99</v>
      </c>
      <c r="R22">
        <v>5.99</v>
      </c>
      <c r="S22">
        <v>36</v>
      </c>
      <c r="T22">
        <v>36</v>
      </c>
      <c r="U22">
        <v>27</v>
      </c>
      <c r="V22">
        <v>48</v>
      </c>
    </row>
    <row r="23" spans="1:22" x14ac:dyDescent="0.3">
      <c r="A23" s="8" t="s">
        <v>127</v>
      </c>
      <c r="B23" s="9">
        <v>9.49</v>
      </c>
      <c r="C23" s="140">
        <v>5.79</v>
      </c>
      <c r="D23" s="9">
        <v>19.989999999999998</v>
      </c>
      <c r="E23" s="140">
        <v>13.69</v>
      </c>
      <c r="F23" s="140">
        <v>18.989999999999998</v>
      </c>
      <c r="G23" s="140">
        <v>13.89</v>
      </c>
      <c r="H23" s="140">
        <v>13.49</v>
      </c>
      <c r="I23" s="9">
        <v>13.49</v>
      </c>
      <c r="J23" s="9">
        <v>8.99</v>
      </c>
      <c r="K23" s="141">
        <v>7.99</v>
      </c>
      <c r="L23" s="141">
        <v>19.989999999999998</v>
      </c>
      <c r="M23" s="10">
        <v>9.49</v>
      </c>
      <c r="N23" s="10">
        <v>18.989999999999998</v>
      </c>
      <c r="O23" s="10">
        <v>7.99</v>
      </c>
      <c r="P23">
        <v>8.6</v>
      </c>
      <c r="Q23">
        <v>4.99</v>
      </c>
      <c r="R23">
        <v>5.99</v>
      </c>
      <c r="S23">
        <v>36</v>
      </c>
      <c r="T23">
        <v>36</v>
      </c>
      <c r="U23">
        <v>27</v>
      </c>
      <c r="V23">
        <v>48</v>
      </c>
    </row>
    <row r="24" spans="1:22" x14ac:dyDescent="0.3">
      <c r="A24" s="8" t="s">
        <v>128</v>
      </c>
      <c r="B24" s="9">
        <v>9.49</v>
      </c>
      <c r="C24" s="140">
        <v>5.79</v>
      </c>
      <c r="D24" s="9">
        <v>19.989999999999998</v>
      </c>
      <c r="E24" s="140">
        <v>13.69</v>
      </c>
      <c r="F24" s="140">
        <v>18.989999999999998</v>
      </c>
      <c r="G24" s="140">
        <v>13.89</v>
      </c>
      <c r="H24" s="140">
        <v>13.49</v>
      </c>
      <c r="I24" s="9">
        <v>13.49</v>
      </c>
      <c r="J24" s="9">
        <v>8.99</v>
      </c>
      <c r="K24" s="141">
        <v>7.99</v>
      </c>
      <c r="L24" s="141">
        <v>19.989999999999998</v>
      </c>
      <c r="M24" s="10">
        <v>9.49</v>
      </c>
      <c r="N24" s="10">
        <v>18.989999999999998</v>
      </c>
      <c r="O24" s="10">
        <v>7.99</v>
      </c>
      <c r="P24">
        <v>8.6</v>
      </c>
      <c r="Q24">
        <v>4.99</v>
      </c>
      <c r="R24">
        <v>5.99</v>
      </c>
      <c r="S24">
        <v>36</v>
      </c>
      <c r="T24">
        <v>36</v>
      </c>
      <c r="U24">
        <v>27</v>
      </c>
      <c r="V24">
        <v>48</v>
      </c>
    </row>
    <row r="25" spans="1:22" x14ac:dyDescent="0.3">
      <c r="A25" s="12" t="s">
        <v>129</v>
      </c>
      <c r="B25" s="9">
        <v>9.49</v>
      </c>
      <c r="C25" s="140">
        <v>5.79</v>
      </c>
      <c r="D25" s="9">
        <v>19.989999999999998</v>
      </c>
      <c r="E25" s="100">
        <v>13.69</v>
      </c>
      <c r="F25" s="140">
        <v>18.989999999999998</v>
      </c>
      <c r="G25" s="100">
        <v>13.89</v>
      </c>
      <c r="H25" s="140">
        <v>13.49</v>
      </c>
      <c r="I25" s="9">
        <v>13.49</v>
      </c>
      <c r="J25" s="101">
        <v>9.99</v>
      </c>
      <c r="K25" s="101">
        <v>9.99</v>
      </c>
      <c r="L25" s="101">
        <v>24.99</v>
      </c>
      <c r="M25" s="101">
        <v>9.49</v>
      </c>
      <c r="N25" s="10">
        <v>18.989999999999998</v>
      </c>
      <c r="O25" s="101">
        <v>7.99</v>
      </c>
      <c r="P25">
        <v>8.6</v>
      </c>
      <c r="Q25">
        <v>4.99</v>
      </c>
      <c r="R25">
        <v>5.99</v>
      </c>
      <c r="S25">
        <v>36</v>
      </c>
      <c r="T25">
        <v>36</v>
      </c>
      <c r="U25">
        <v>27</v>
      </c>
      <c r="V25">
        <v>48</v>
      </c>
    </row>
    <row r="26" spans="1:22" x14ac:dyDescent="0.3">
      <c r="A26" s="12" t="s">
        <v>130</v>
      </c>
      <c r="B26" s="9">
        <v>9.49</v>
      </c>
      <c r="C26" s="140">
        <v>5.79</v>
      </c>
      <c r="D26" s="9">
        <v>19.989999999999998</v>
      </c>
      <c r="E26" s="100">
        <v>13.69</v>
      </c>
      <c r="F26" s="140">
        <v>18.989999999999998</v>
      </c>
      <c r="G26" s="100">
        <v>13.89</v>
      </c>
      <c r="H26" s="140">
        <v>13.49</v>
      </c>
      <c r="I26" s="9">
        <v>13.49</v>
      </c>
      <c r="J26" s="101">
        <v>9.99</v>
      </c>
      <c r="K26" s="101">
        <v>9.99</v>
      </c>
      <c r="L26" s="101">
        <v>24.99</v>
      </c>
      <c r="M26" s="101">
        <v>9.49</v>
      </c>
      <c r="N26" s="10">
        <v>18.989999999999998</v>
      </c>
      <c r="O26" s="101">
        <v>7.99</v>
      </c>
      <c r="P26">
        <v>8.6</v>
      </c>
      <c r="Q26">
        <v>4.99</v>
      </c>
      <c r="R26">
        <v>5.99</v>
      </c>
      <c r="S26">
        <v>36</v>
      </c>
      <c r="T26">
        <v>36</v>
      </c>
      <c r="U26">
        <v>27</v>
      </c>
      <c r="V26">
        <v>48</v>
      </c>
    </row>
    <row r="27" spans="1:22" x14ac:dyDescent="0.3">
      <c r="A27" s="8" t="s">
        <v>131</v>
      </c>
      <c r="B27" s="9">
        <v>9.49</v>
      </c>
      <c r="C27" s="140">
        <v>5.79</v>
      </c>
      <c r="D27" s="9">
        <v>19.989999999999998</v>
      </c>
      <c r="E27" s="140">
        <v>13.69</v>
      </c>
      <c r="F27" s="140">
        <v>18.989999999999998</v>
      </c>
      <c r="G27" s="140">
        <v>13.89</v>
      </c>
      <c r="H27" s="140">
        <v>13.49</v>
      </c>
      <c r="I27" s="9">
        <v>13.49</v>
      </c>
      <c r="J27" s="9">
        <v>8.99</v>
      </c>
      <c r="K27" s="141">
        <v>7.99</v>
      </c>
      <c r="L27" s="141">
        <v>19.989999999999998</v>
      </c>
      <c r="M27" s="10">
        <v>9.49</v>
      </c>
      <c r="N27" s="10">
        <v>18.989999999999998</v>
      </c>
      <c r="O27" s="10">
        <v>7.99</v>
      </c>
      <c r="P27">
        <v>8.6</v>
      </c>
      <c r="Q27">
        <v>4.99</v>
      </c>
      <c r="R27">
        <v>5.99</v>
      </c>
      <c r="S27">
        <v>36</v>
      </c>
      <c r="T27">
        <v>36</v>
      </c>
      <c r="U27">
        <v>27</v>
      </c>
      <c r="V27">
        <v>48</v>
      </c>
    </row>
    <row r="28" spans="1:22" x14ac:dyDescent="0.3">
      <c r="A28" s="12" t="s">
        <v>132</v>
      </c>
      <c r="B28" s="9">
        <v>9.49</v>
      </c>
      <c r="C28" s="140">
        <v>5.79</v>
      </c>
      <c r="D28" s="9">
        <v>19.989999999999998</v>
      </c>
      <c r="E28" s="100">
        <v>13.69</v>
      </c>
      <c r="F28" s="140">
        <v>18.989999999999998</v>
      </c>
      <c r="G28" s="100">
        <v>13.89</v>
      </c>
      <c r="H28" s="140">
        <v>13.49</v>
      </c>
      <c r="I28" s="9">
        <v>13.49</v>
      </c>
      <c r="J28" s="101">
        <v>9.99</v>
      </c>
      <c r="K28" s="101">
        <v>9.99</v>
      </c>
      <c r="L28" s="101">
        <v>24.99</v>
      </c>
      <c r="M28" s="101">
        <v>9.49</v>
      </c>
      <c r="N28" s="10">
        <v>18.989999999999998</v>
      </c>
      <c r="O28" s="101">
        <v>7.99</v>
      </c>
      <c r="P28">
        <v>8.6</v>
      </c>
      <c r="Q28">
        <v>4.99</v>
      </c>
      <c r="R28">
        <v>5.99</v>
      </c>
      <c r="S28">
        <v>36</v>
      </c>
      <c r="T28">
        <v>36</v>
      </c>
      <c r="U28">
        <v>27</v>
      </c>
      <c r="V28">
        <v>48</v>
      </c>
    </row>
    <row r="29" spans="1:22" x14ac:dyDescent="0.3">
      <c r="A29" s="142" t="s">
        <v>133</v>
      </c>
      <c r="B29" s="9">
        <v>9.49</v>
      </c>
      <c r="C29" s="140">
        <v>5.79</v>
      </c>
      <c r="D29" s="9">
        <v>19.989999999999998</v>
      </c>
      <c r="E29" s="100">
        <v>13.69</v>
      </c>
      <c r="F29" s="140">
        <v>18.989999999999998</v>
      </c>
      <c r="G29" s="100">
        <v>13.89</v>
      </c>
      <c r="H29" s="140">
        <v>13.49</v>
      </c>
      <c r="I29" s="9">
        <v>13.49</v>
      </c>
      <c r="J29" s="101">
        <v>9.99</v>
      </c>
      <c r="K29" s="101">
        <v>9.99</v>
      </c>
      <c r="L29" s="101">
        <v>24.99</v>
      </c>
      <c r="M29" s="101">
        <v>9.49</v>
      </c>
      <c r="N29" s="10">
        <v>18.989999999999998</v>
      </c>
      <c r="O29" s="101">
        <v>7.99</v>
      </c>
      <c r="P29">
        <v>8.6</v>
      </c>
      <c r="Q29">
        <v>4.99</v>
      </c>
      <c r="R29">
        <v>5.99</v>
      </c>
      <c r="S29">
        <v>36</v>
      </c>
      <c r="T29">
        <v>36</v>
      </c>
      <c r="U29">
        <v>27</v>
      </c>
      <c r="V29">
        <v>48</v>
      </c>
    </row>
    <row r="30" spans="1:22" x14ac:dyDescent="0.3">
      <c r="A30" s="8" t="s">
        <v>134</v>
      </c>
      <c r="B30" s="9">
        <v>9.49</v>
      </c>
      <c r="C30" s="140">
        <v>5.79</v>
      </c>
      <c r="D30" s="9">
        <v>19.989999999999998</v>
      </c>
      <c r="E30" s="140">
        <v>13.69</v>
      </c>
      <c r="F30" s="140">
        <v>18.989999999999998</v>
      </c>
      <c r="G30" s="140">
        <v>13.89</v>
      </c>
      <c r="H30" s="140">
        <v>13.49</v>
      </c>
      <c r="I30" s="9">
        <v>13.49</v>
      </c>
      <c r="J30" s="9">
        <v>8.99</v>
      </c>
      <c r="K30" s="141">
        <v>7.99</v>
      </c>
      <c r="L30" s="141">
        <v>19.989999999999998</v>
      </c>
      <c r="M30" s="10">
        <v>9.49</v>
      </c>
      <c r="N30" s="10">
        <v>18.989999999999998</v>
      </c>
      <c r="O30" s="10">
        <v>7.99</v>
      </c>
      <c r="P30">
        <v>8.6</v>
      </c>
      <c r="Q30">
        <v>4.99</v>
      </c>
      <c r="R30">
        <v>5.99</v>
      </c>
      <c r="S30">
        <v>36</v>
      </c>
      <c r="T30">
        <v>36</v>
      </c>
      <c r="U30">
        <v>27</v>
      </c>
      <c r="V30">
        <v>48</v>
      </c>
    </row>
    <row r="31" spans="1:22" x14ac:dyDescent="0.3">
      <c r="A31" s="102" t="s">
        <v>135</v>
      </c>
      <c r="B31" s="143"/>
      <c r="C31" s="103"/>
      <c r="D31" s="14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</row>
    <row r="33" spans="1:15" x14ac:dyDescent="0.3">
      <c r="A33" s="104" t="s">
        <v>21</v>
      </c>
      <c r="B33" s="105">
        <v>9.49</v>
      </c>
      <c r="C33" s="106">
        <v>5.79</v>
      </c>
      <c r="D33" s="106">
        <v>19.989999999999998</v>
      </c>
      <c r="E33" s="106">
        <v>13.69</v>
      </c>
      <c r="F33" s="106">
        <v>17.989999999999998</v>
      </c>
      <c r="G33" s="106">
        <v>13.89</v>
      </c>
      <c r="H33" s="106">
        <v>13.49</v>
      </c>
      <c r="I33" s="106">
        <v>12.49</v>
      </c>
      <c r="J33" s="106">
        <v>9.99</v>
      </c>
      <c r="K33" s="106">
        <v>9.99</v>
      </c>
      <c r="L33" s="106">
        <v>24.99</v>
      </c>
      <c r="M33" s="106">
        <v>9.49</v>
      </c>
      <c r="N33" s="106">
        <v>18.989999999999998</v>
      </c>
      <c r="O33" s="106">
        <v>0</v>
      </c>
    </row>
    <row r="34" spans="1:15" x14ac:dyDescent="0.3">
      <c r="I34" t="s">
        <v>153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952CCAF917F4542B44D953DC577C987" ma:contentTypeVersion="16" ma:contentTypeDescription="Crie um novo documento." ma:contentTypeScope="" ma:versionID="f5e84c2a592e76d56bbbd4bd12db6994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18baec009220313167bf842860059cd9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Props1.xml><?xml version="1.0" encoding="utf-8"?>
<ds:datastoreItem xmlns:ds="http://schemas.openxmlformats.org/officeDocument/2006/customXml" ds:itemID="{749FC98D-CCF4-4528-AED5-BE11FA685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948755-05C8-4167-A3C9-C94CCA2819F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9703B89-4E86-42C3-8CFA-2C60C30C5718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Tabelas</vt:lpstr>
      <vt:lpstr>Planilha1</vt:lpstr>
      <vt:lpstr>ST BISCOITINHOS</vt:lpstr>
      <vt:lpstr>ST PAPAPASTA</vt:lpstr>
      <vt:lpstr>ST PALITINHOS</vt:lpstr>
      <vt:lpstr>ST BISCOTTI</vt:lpstr>
      <vt:lpstr>ST CEREAL</vt:lpstr>
      <vt:lpstr>ST CEREAL SABOR POUCH 170</vt:lpstr>
      <vt:lpstr>ST MULTI 170 POUCH</vt:lpstr>
      <vt:lpstr>ST MULTI 500 POUCH</vt:lpstr>
      <vt:lpstr>PREÇOS</vt:lpstr>
      <vt:lpstr>PSC PAPAPA</vt:lpstr>
      <vt:lpstr>PSC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João Vitor Tadra</cp:lastModifiedBy>
  <cp:revision/>
  <dcterms:created xsi:type="dcterms:W3CDTF">2022-06-23T15:46:56Z</dcterms:created>
  <dcterms:modified xsi:type="dcterms:W3CDTF">2026-05-25T13:46:49Z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